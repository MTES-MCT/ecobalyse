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Déploiement/Docs durabilité velis/"/>
    </mc:Choice>
  </mc:AlternateContent>
  <xr:revisionPtr revIDLastSave="1329" documentId="8_{A9DBE46B-E045-4925-B148-C85EF391763F}" xr6:coauthVersionLast="47" xr6:coauthVersionMax="47" xr10:uidLastSave="{96F87F11-689B-4909-A577-A696CB4D5820}"/>
  <bookViews>
    <workbookView xWindow="25974" yWindow="-68" windowWidth="26301" windowHeight="14169" xr2:uid="{C97B7321-4489-4B42-AFDE-F23D709B74D2}"/>
  </bookViews>
  <sheets>
    <sheet name="VAE L1e-A" sheetId="1" r:id="rId1"/>
    <sheet name="Batterie &lt;25kg, hors VAE L1e-A" sheetId="10" r:id="rId2"/>
    <sheet name="Batterie &gt;25kg" sheetId="11" r:id="rId3"/>
    <sheet name="Details Critères" sheetId="5" r:id="rId4"/>
    <sheet name="Not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1" l="1"/>
  <c r="M3" i="11"/>
  <c r="K8" i="11"/>
  <c r="K9" i="11"/>
  <c r="K10" i="11"/>
  <c r="K11" i="11"/>
  <c r="K7" i="11"/>
  <c r="I12" i="11"/>
  <c r="K14" i="11" s="1"/>
  <c r="M12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K6" i="11"/>
  <c r="H6" i="11"/>
  <c r="G6" i="11"/>
  <c r="F6" i="11"/>
  <c r="E6" i="11"/>
  <c r="D6" i="11"/>
  <c r="C6" i="11"/>
  <c r="K5" i="11"/>
  <c r="H5" i="11"/>
  <c r="G5" i="11"/>
  <c r="F5" i="11"/>
  <c r="E5" i="11"/>
  <c r="D5" i="11"/>
  <c r="C5" i="11"/>
  <c r="K4" i="11"/>
  <c r="H4" i="11"/>
  <c r="G4" i="11"/>
  <c r="F4" i="11"/>
  <c r="E4" i="11"/>
  <c r="D4" i="11"/>
  <c r="C4" i="11"/>
  <c r="K3" i="11"/>
  <c r="H3" i="11"/>
  <c r="G3" i="11"/>
  <c r="F3" i="11"/>
  <c r="E3" i="11"/>
  <c r="D3" i="11"/>
  <c r="C3" i="11"/>
  <c r="I7" i="10"/>
  <c r="M7" i="10"/>
  <c r="M3" i="10"/>
  <c r="H9" i="10"/>
  <c r="G9" i="10"/>
  <c r="F9" i="10"/>
  <c r="E9" i="10"/>
  <c r="D9" i="10"/>
  <c r="C9" i="10"/>
  <c r="H8" i="10"/>
  <c r="G8" i="10"/>
  <c r="F8" i="10"/>
  <c r="E8" i="10"/>
  <c r="D8" i="10"/>
  <c r="C8" i="10"/>
  <c r="K9" i="10"/>
  <c r="H7" i="10"/>
  <c r="G7" i="10"/>
  <c r="F7" i="10"/>
  <c r="E7" i="10"/>
  <c r="D7" i="10"/>
  <c r="C7" i="10"/>
  <c r="K6" i="10"/>
  <c r="H6" i="10"/>
  <c r="G6" i="10"/>
  <c r="F6" i="10"/>
  <c r="E6" i="10"/>
  <c r="D6" i="10"/>
  <c r="C6" i="10"/>
  <c r="K5" i="10"/>
  <c r="H5" i="10"/>
  <c r="G5" i="10"/>
  <c r="F5" i="10"/>
  <c r="E5" i="10"/>
  <c r="D5" i="10"/>
  <c r="C5" i="10"/>
  <c r="K4" i="10"/>
  <c r="H4" i="10"/>
  <c r="G4" i="10"/>
  <c r="F4" i="10"/>
  <c r="E4" i="10"/>
  <c r="D4" i="10"/>
  <c r="C4" i="10"/>
  <c r="K3" i="10"/>
  <c r="H3" i="10"/>
  <c r="G3" i="10"/>
  <c r="F3" i="10"/>
  <c r="E3" i="10"/>
  <c r="D3" i="10"/>
  <c r="C3" i="10"/>
  <c r="M7" i="1"/>
  <c r="I7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E3" i="1"/>
  <c r="F3" i="1"/>
  <c r="G3" i="1"/>
  <c r="H3" i="1"/>
  <c r="D3" i="1"/>
  <c r="C3" i="1"/>
  <c r="M3" i="1"/>
  <c r="M1" i="1" s="1"/>
  <c r="M1" i="11" l="1"/>
  <c r="K12" i="11"/>
  <c r="K13" i="11"/>
  <c r="K7" i="10"/>
  <c r="M1" i="10"/>
  <c r="K8" i="10"/>
  <c r="K3" i="1" l="1"/>
  <c r="K6" i="1"/>
  <c r="K5" i="1"/>
  <c r="K4" i="1"/>
  <c r="K7" i="1" l="1"/>
  <c r="K8" i="1"/>
  <c r="C12" i="2" l="1"/>
  <c r="C14" i="2" s="1"/>
</calcChain>
</file>

<file path=xl/sharedStrings.xml><?xml version="1.0" encoding="utf-8"?>
<sst xmlns="http://schemas.openxmlformats.org/spreadsheetml/2006/main" count="248" uniqueCount="156">
  <si>
    <t>Compteur kilométrique véhicule / moteur</t>
  </si>
  <si>
    <t>Etre capable de connaitre le nombre de kilomètres parcourus par le véhicule (moteur)</t>
  </si>
  <si>
    <t>Passeport digital</t>
  </si>
  <si>
    <t>Le passeport digital inclut des informations sur les véhicules, dont une identification unique, des données sur les composants, son historique de maintenance…</t>
  </si>
  <si>
    <t>Accès à l'état de santé de la batterie (à définir)</t>
  </si>
  <si>
    <t>Permet de valoriser la batterie et d'identifier sa durée de vie restante</t>
  </si>
  <si>
    <t>Pouvoir enlever facilement la batterie et la remplacer par une autre identique</t>
  </si>
  <si>
    <t xml:space="preserve">Chimie de la batterie indiquée sur le pack </t>
  </si>
  <si>
    <t>Permet d'identifier visuellement un problème et d'accéder aux composants.</t>
  </si>
  <si>
    <t>Remplacement de cellules possible</t>
  </si>
  <si>
    <t>Remplacement des cellules à l'intérieur d'un module</t>
  </si>
  <si>
    <t>Réseau de garages habilités pour la réparation de la batterie</t>
  </si>
  <si>
    <t>Permettre le démontage / montage du véhicule dans la durée</t>
  </si>
  <si>
    <t xml:space="preserve">J'installe un compteur kilométrique sur mon véhicule </t>
  </si>
  <si>
    <t xml:space="preserve">Je permets le retrait de la batterie </t>
  </si>
  <si>
    <t xml:space="preserve">Je permets le remplacement des cellules à l'intérieur d'un module </t>
  </si>
  <si>
    <t xml:space="preserve">Je dispose d'un réseau de garages habiltés pour la réparation des batteries </t>
  </si>
  <si>
    <t>Leviers pour améliorer la réparabilité des produits</t>
  </si>
  <si>
    <t>Je favorise la réparabilité globale de mon véhicule</t>
  </si>
  <si>
    <t xml:space="preserve">Pourquoi ce critère ? </t>
  </si>
  <si>
    <t>A</t>
  </si>
  <si>
    <t>B</t>
  </si>
  <si>
    <t>C</t>
  </si>
  <si>
    <t>D</t>
  </si>
  <si>
    <t>Oui</t>
  </si>
  <si>
    <t>Non</t>
  </si>
  <si>
    <t>Oui, par tout utilisateur</t>
  </si>
  <si>
    <t>Professionnel indépendant</t>
  </si>
  <si>
    <t>Professionnel qualifié pour la réparation du type de véhicule concerné, sans qu'il ait à posséder des outils ou habilitations spécifiques au constructeur</t>
  </si>
  <si>
    <t>Oui, par un professionel indépendant</t>
  </si>
  <si>
    <t>Pas de garage en UE</t>
  </si>
  <si>
    <t>Au moins un garage en UE</t>
  </si>
  <si>
    <t>Au moins un garage en France</t>
  </si>
  <si>
    <t>A1</t>
  </si>
  <si>
    <t>A2</t>
  </si>
  <si>
    <t>A3</t>
  </si>
  <si>
    <t>B1</t>
  </si>
  <si>
    <t>B2</t>
  </si>
  <si>
    <t>B3</t>
  </si>
  <si>
    <t>B5</t>
  </si>
  <si>
    <t xml:space="preserve">Je favorise la réparabilité et le remplacement de la batterie </t>
  </si>
  <si>
    <t>Capable de fournir des pièces spécifiques constructeur, dispose d'outils et d'une expertise spécifique sur le véhicule qui est nécessaire à sa réparation</t>
  </si>
  <si>
    <t>Garage habilité</t>
  </si>
  <si>
    <t>C1</t>
  </si>
  <si>
    <t>C3</t>
  </si>
  <si>
    <t>Commentaires / compléments</t>
  </si>
  <si>
    <t xml:space="preserve">Votre note </t>
  </si>
  <si>
    <t xml:space="preserve">Je mets à disposition des consommateurs des informations permettant de jauger l'état de santé de mes batteries </t>
  </si>
  <si>
    <t xml:space="preserve">Non </t>
  </si>
  <si>
    <t xml:space="preserve">Je peux intégrer une batterie d'un autre constructeur </t>
  </si>
  <si>
    <t xml:space="preserve">Oui par un professionnel indépendant </t>
  </si>
  <si>
    <t xml:space="preserve">Oui par un garage agréé </t>
  </si>
  <si>
    <t xml:space="preserve">Permet d'améliorer la réparabilité globale du véhicule </t>
  </si>
  <si>
    <t>A4</t>
  </si>
  <si>
    <t>Durée de garantie de la batterie</t>
  </si>
  <si>
    <t>Augmente les chance d'une longue durée de vie de la batterie</t>
  </si>
  <si>
    <t>Je mets à disposition un passeport digital de mes produits, intégrant : 
- documentation technique du véhicule
- carnet d'entretien et maintenance
- empreinte environnementale</t>
  </si>
  <si>
    <t xml:space="preserve">Critères </t>
  </si>
  <si>
    <t>Du sujet</t>
  </si>
  <si>
    <t>Oui, par le propriétaire, sans outil</t>
  </si>
  <si>
    <t>Oui, par le propriétaire, avec des outils standards, sans perte de garantie</t>
  </si>
  <si>
    <t>Oui, par un professionnel indépendant</t>
  </si>
  <si>
    <t>Non, ou par un garage agréé</t>
  </si>
  <si>
    <t>Du critère,
finale</t>
  </si>
  <si>
    <t>Du critère,
dans le sujet</t>
  </si>
  <si>
    <t xml:space="preserve">J'affiche des informations sur la chimie des batteries </t>
  </si>
  <si>
    <t>Retrait de la batterie et remplacement par une batterie identique possible</t>
  </si>
  <si>
    <t>Je  facilite le démontage du couvercle de la batterie, et le remplacement de ses composants</t>
  </si>
  <si>
    <t>Démontage du couvercle facile, et remplacement possible des composants (BMS, modules, câbles), sans endommagement de pièce</t>
  </si>
  <si>
    <t>Oui, par un garage agréé</t>
  </si>
  <si>
    <t>12 ans et plus</t>
  </si>
  <si>
    <t>11 ans</t>
  </si>
  <si>
    <t>10 ans</t>
  </si>
  <si>
    <t>9 ans ou moins</t>
  </si>
  <si>
    <t>Durée de disponibilité garantie de la documentation technique, y compris disponibilité des plans pour impression 3D le cas échéant</t>
  </si>
  <si>
    <t>7 ans ou plus</t>
  </si>
  <si>
    <t>5 ou 6 ans</t>
  </si>
  <si>
    <t>3 ou 4 ans</t>
  </si>
  <si>
    <t>2 ans ou moins</t>
  </si>
  <si>
    <t>Permet de remplacer uniquement les pièces endommagées en cas d'accident</t>
  </si>
  <si>
    <t>Permet au recycleur de mettre en œuvre les bonnes procédures</t>
  </si>
  <si>
    <t>Je garantie une longue durée de vie pour la batterie, pour une capacité restante de 70% ou plus</t>
  </si>
  <si>
    <t>Oui, éventuellement via un QRCode</t>
  </si>
  <si>
    <t>Non (soudures, (thermal interface material...)</t>
  </si>
  <si>
    <t>Plus de 10 garages en France, ou absence de recours à un garage agréé (cf critères B1, B5, B6)</t>
  </si>
  <si>
    <t xml:space="preserve">Oui, lisible mais réinitialisable avec un outil constructeur </t>
  </si>
  <si>
    <t>Oui, lisible et non réinitialisable</t>
  </si>
  <si>
    <t>Oui, lisible mais réinitialisable par un professionnel indépendant</t>
  </si>
  <si>
    <t xml:space="preserve">Non lisible ou réinitialisable </t>
  </si>
  <si>
    <t xml:space="preserve">Sujets liés à la durabilité </t>
  </si>
  <si>
    <t>Définitions :</t>
  </si>
  <si>
    <t>capacité (en kWh)</t>
  </si>
  <si>
    <t>durée de vie (en kWh)</t>
  </si>
  <si>
    <t>calculette nb de cycles batterie</t>
  </si>
  <si>
    <t>durée de vie (en nb de cycles)</t>
  </si>
  <si>
    <t>conso. (en kWh/100km)</t>
  </si>
  <si>
    <t>durée de vie (en km)</t>
  </si>
  <si>
    <t xml:space="preserve">J'assure la disponibilité des pièces détachées dans le temps (hors batterie) </t>
  </si>
  <si>
    <t>Permet d'assurer la réparabilité du véhicule dans la durée</t>
  </si>
  <si>
    <t>C2</t>
  </si>
  <si>
    <t>Echelle de durée à caler selon les retours constructeurs</t>
  </si>
  <si>
    <t>garantie à 15 ans ou 2000 cycles</t>
  </si>
  <si>
    <t>garantie à 10 ans ou 1000 cycles</t>
  </si>
  <si>
    <t>Garanti à 8 ans ou 500 cycles</t>
  </si>
  <si>
    <t>Non garanti à 8 ans et 500 cycles</t>
  </si>
  <si>
    <t>Batterie fixée sur le chassis, non intégrée</t>
  </si>
  <si>
    <t>Batterie intégrée dans le chassis</t>
  </si>
  <si>
    <t>Connectique batterie-véhicule propriétaire</t>
  </si>
  <si>
    <t>Protocole de communication batterie-véhicule propriétaire</t>
  </si>
  <si>
    <t>Possibilité d'intégrer une batterie d'un autre constructeur, dans le futur - mécanique</t>
  </si>
  <si>
    <t>Possibilité d'intégrer une batterie d'un autre constructeur, dans le futur - connectique électrique</t>
  </si>
  <si>
    <t>Possibilité d'intégrer une batterie d'un autre constructeur, dans le futur - communication</t>
  </si>
  <si>
    <t>Protocole de communication batterie-véhicule non spécifique et open source</t>
  </si>
  <si>
    <t>Protocole de communication batterie-véhicule non spécifique</t>
  </si>
  <si>
    <t>Protocole de communication batterie-véhicule spécifique, mais en libre usage</t>
  </si>
  <si>
    <t>Connectique batterie-véhicule non spécifique et open source</t>
  </si>
  <si>
    <t>Connectique batterie-véhicule non spécifique</t>
  </si>
  <si>
    <t>Connectique batterie-véhicule spécifique, mais en libre usage</t>
  </si>
  <si>
    <t>Assure la capacité à maintenir le véhicule en fonctionnement en cas de défaillance de la batterie (et de son fabricant)</t>
  </si>
  <si>
    <t>Durée de disponibilité garantie de la documentation technique (capacité, tension, cellules, protocole le cas échéant)</t>
  </si>
  <si>
    <t>Facilite le remplacement de la batterie en cas de défaillance</t>
  </si>
  <si>
    <t>10 ans et plus</t>
  </si>
  <si>
    <t>C4</t>
  </si>
  <si>
    <t>Note</t>
  </si>
  <si>
    <t>coefficient de durabilité</t>
  </si>
  <si>
    <t>moyenne par sujet</t>
  </si>
  <si>
    <t>Coefficient de durabilité :</t>
  </si>
  <si>
    <t>J'assure la disponibilité de la documentation technique, y compris en cas de disparition de ma structure</t>
  </si>
  <si>
    <t>J'assure la disponibilité de la documentation technique, y compris en cas de disparition du fabricant</t>
  </si>
  <si>
    <t>Durée de disponibilité garantie des pièces détachées (hors batterie) (10/10 si pas de pièce propriétaire)</t>
  </si>
  <si>
    <t>Pondération
VE batterie &gt;25kg</t>
  </si>
  <si>
    <t>Obligatoire hors VAE et L1e-A
Article R317-5 - Code de la route</t>
  </si>
  <si>
    <t>règlement batterie (UE) 2023/1542, article 11, MTL: 18/02/2027</t>
  </si>
  <si>
    <t>règlement batterie (UE) 2023/1542, article 13</t>
  </si>
  <si>
    <t>règlement batterie (UE) 2023/1542, article 38 : 10ans</t>
  </si>
  <si>
    <t>Pondération
VAE et L1e-A</t>
  </si>
  <si>
    <t>Pondération
MTL batterie &lt;25kg, hors VAE et L1e-A</t>
  </si>
  <si>
    <t>A5</t>
  </si>
  <si>
    <t xml:space="preserve">Je favorise une longue durée de vie et la confiance dans la 2ème main </t>
  </si>
  <si>
    <t>Je favorise la réparabilité de mon véhicule</t>
  </si>
  <si>
    <t>Indice de réparabilité VAE (noté de 0 à 10)</t>
  </si>
  <si>
    <t>Réseau de garages habilités pour la réparation du véhicule</t>
  </si>
  <si>
    <t>Plus de 10 garages en France</t>
  </si>
  <si>
    <t>Utilisation de logiciels libres ou absence de logiciels</t>
  </si>
  <si>
    <t>Les logiciels sont propriétaires, Européens</t>
  </si>
  <si>
    <t>Les logiciels sont propriétaires, tout ou partie non Européens</t>
  </si>
  <si>
    <t>L'utilisateur peut mettre à jour les logiciels pour des besoins de sécurités ou de maintenance. Leur opérabilité et la protection des données est garantie</t>
  </si>
  <si>
    <t xml:space="preserve">Je dispose d'un réseau de garages ou ateliers habilités pour la réparation du véhicule </t>
  </si>
  <si>
    <t>Je garantie une évolutivité et une souveraineté logicielle du véhicule pour les fonctions de conduite et de sécurité</t>
  </si>
  <si>
    <t>Les logiciels sont propriétaires, Européens. Les mises à jours sont gratuites et garanties 15 ans ou plus</t>
  </si>
  <si>
    <t xml:space="preserve"> </t>
  </si>
  <si>
    <t>Non applicable</t>
  </si>
  <si>
    <t>B4</t>
  </si>
  <si>
    <t>Grille de conversion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</si>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</sst>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/10&quot;"/>
    <numFmt numFmtId="165" formatCode="0&quot; /10&quot;"/>
    <numFmt numFmtId="166" formatCode="0.0%"/>
    <numFmt numFmtId="167" formatCode="#,##0.0"/>
  </numFmts>
  <fonts count="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4"/>
      <name val="Calibri"/>
      <family val="2"/>
    </font>
    <font>
      <b/>
      <sz val="14"/>
      <color theme="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8" borderId="2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 wrapText="1" readingOrder="1"/>
    </xf>
    <xf numFmtId="0" fontId="11" fillId="7" borderId="3" xfId="0" applyFont="1" applyFill="1" applyBorder="1" applyAlignment="1">
      <alignment horizontal="center" vertical="center" wrapText="1" readingOrder="1"/>
    </xf>
    <xf numFmtId="0" fontId="11" fillId="8" borderId="3" xfId="0" applyFont="1" applyFill="1" applyBorder="1" applyAlignment="1">
      <alignment horizontal="center" vertical="center" wrapText="1" readingOrder="1"/>
    </xf>
    <xf numFmtId="165" fontId="12" fillId="9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3" fillId="0" borderId="0" xfId="0" applyFont="1" applyAlignment="1">
      <alignment vertical="center" wrapText="1"/>
    </xf>
    <xf numFmtId="166" fontId="7" fillId="0" borderId="1" xfId="0" applyNumberFormat="1" applyFont="1" applyBorder="1" applyAlignment="1">
      <alignment horizontal="center" vertical="center" wrapText="1" readingOrder="1"/>
    </xf>
    <xf numFmtId="166" fontId="7" fillId="3" borderId="1" xfId="0" applyNumberFormat="1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vertical="center"/>
    </xf>
    <xf numFmtId="0" fontId="7" fillId="3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vertical="center" wrapText="1" readingOrder="1"/>
    </xf>
    <xf numFmtId="0" fontId="8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166" fontId="7" fillId="12" borderId="1" xfId="0" applyNumberFormat="1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vertical="center" wrapText="1" readingOrder="1"/>
    </xf>
    <xf numFmtId="164" fontId="10" fillId="0" borderId="1" xfId="0" applyNumberFormat="1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 readingOrder="1"/>
    </xf>
    <xf numFmtId="9" fontId="6" fillId="0" borderId="2" xfId="0" applyNumberFormat="1" applyFont="1" applyBorder="1" applyAlignment="1">
      <alignment horizontal="center" vertical="center" wrapText="1" readingOrder="1"/>
    </xf>
    <xf numFmtId="9" fontId="6" fillId="0" borderId="4" xfId="0" applyNumberFormat="1" applyFont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center" wrapText="1" readingOrder="1"/>
    </xf>
    <xf numFmtId="164" fontId="10" fillId="0" borderId="4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/>
    </xf>
    <xf numFmtId="9" fontId="6" fillId="3" borderId="2" xfId="0" applyNumberFormat="1" applyFont="1" applyFill="1" applyBorder="1" applyAlignment="1">
      <alignment horizontal="center" vertical="center" wrapText="1" readingOrder="1"/>
    </xf>
    <xf numFmtId="9" fontId="6" fillId="3" borderId="4" xfId="0" applyNumberFormat="1" applyFont="1" applyFill="1" applyBorder="1" applyAlignment="1">
      <alignment horizontal="center" vertical="center" wrapText="1" readingOrder="1"/>
    </xf>
    <xf numFmtId="9" fontId="6" fillId="3" borderId="3" xfId="0" applyNumberFormat="1" applyFont="1" applyFill="1" applyBorder="1" applyAlignment="1">
      <alignment horizontal="center" vertical="center" wrapText="1" readingOrder="1"/>
    </xf>
    <xf numFmtId="164" fontId="10" fillId="0" borderId="3" xfId="0" applyNumberFormat="1" applyFont="1" applyBorder="1" applyAlignment="1">
      <alignment horizontal="center" vertical="center" wrapText="1" readingOrder="1"/>
    </xf>
    <xf numFmtId="9" fontId="6" fillId="0" borderId="3" xfId="0" applyNumberFormat="1" applyFont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3" fontId="0" fillId="9" borderId="1" xfId="0" applyNumberFormat="1" applyFill="1" applyBorder="1" applyAlignment="1">
      <alignment horizontal="right" vertical="center" indent="1"/>
    </xf>
    <xf numFmtId="3" fontId="0" fillId="0" borderId="1" xfId="0" applyNumberFormat="1" applyBorder="1" applyAlignment="1">
      <alignment horizontal="right" vertical="center" indent="1"/>
    </xf>
    <xf numFmtId="167" fontId="0" fillId="9" borderId="1" xfId="0" applyNumberForma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A2D9-D84F-41A4-9D91-FD966286049E}">
  <sheetPr>
    <tabColor theme="4"/>
    <outlinePr summaryRight="0"/>
  </sheetPr>
  <dimension ref="A1:M14"/>
  <sheetViews>
    <sheetView showGridLines="0" tabSelected="1" zoomScale="85" zoomScaleNormal="85" workbookViewId="0">
      <pane xSplit="3" ySplit="2" topLeftCell="D3" activePane="bottomRight" state="frozen"/>
      <selection activeCell="D14" sqref="D14"/>
      <selection pane="topRight" activeCell="D14" sqref="D14"/>
      <selection pane="bottomLeft" activeCell="D14" sqref="D14"/>
      <selection pane="bottomRight" activeCell="L3" sqref="L3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7" width="24.125" style="4" customWidth="1"/>
    <col min="8" max="8" width="24.125" style="4" customWidth="1" collapsed="1"/>
    <col min="9" max="11" width="13.25" style="4" hidden="1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57" t="s">
        <v>89</v>
      </c>
      <c r="B1" s="57"/>
      <c r="C1" s="59" t="s">
        <v>17</v>
      </c>
      <c r="D1" s="58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60" t="s">
        <v>135</v>
      </c>
      <c r="J1" s="60"/>
      <c r="K1" s="60"/>
      <c r="L1" s="45" t="s">
        <v>126</v>
      </c>
      <c r="M1" s="46">
        <f>SUMPRODUCT(I3:I8,M3:M8)/10+0.5</f>
        <v>0.5</v>
      </c>
    </row>
    <row r="2" spans="1:13" ht="32.6" x14ac:dyDescent="0.25">
      <c r="A2" s="57"/>
      <c r="B2" s="57"/>
      <c r="C2" s="59"/>
      <c r="D2" s="58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3" t="s">
        <v>138</v>
      </c>
      <c r="B3" s="5" t="s">
        <v>33</v>
      </c>
      <c r="C3" s="24" t="str">
        <f>_xlfn.XLOOKUP($B3,'Details Critères'!$B$3:$B$39,'Details Critères'!C$3:C$39,,0)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Critères'!$B$3:$B$39,'Details Critères'!D$3:D$39,,0)</f>
        <v>Passeport digital</v>
      </c>
      <c r="E3" s="24" t="str">
        <f>_xlfn.XLOOKUP($B3,'Details Critères'!$B$3:$B$39,'Details Critères'!E$3:E$39,,0)</f>
        <v>Oui</v>
      </c>
      <c r="F3" s="24" t="str">
        <f>_xlfn.XLOOKUP($B3,'Details Critères'!$B$3:$B$39,'Details Critères'!F$3:F$39,,0)</f>
        <v xml:space="preserve"> </v>
      </c>
      <c r="G3" s="24" t="str">
        <f>_xlfn.XLOOKUP($B3,'Details Critères'!$B$3:$B$39,'Details Critères'!G$3:G$39,,0)</f>
        <v xml:space="preserve">Non </v>
      </c>
      <c r="H3" s="24" t="str">
        <f>_xlfn.XLOOKUP($B3,'Details Critères'!$B$3:$B$39,'Details Critères'!H$3:H$39,,0)</f>
        <v xml:space="preserve"> </v>
      </c>
      <c r="I3" s="61">
        <v>0.5</v>
      </c>
      <c r="J3" s="29">
        <v>0.1</v>
      </c>
      <c r="K3" s="29">
        <f>I$3*J3</f>
        <v>0.05</v>
      </c>
      <c r="L3" s="19"/>
      <c r="M3" s="63">
        <f>SUMPRODUCT(J3:J6,L3:L6)</f>
        <v>0</v>
      </c>
    </row>
    <row r="4" spans="1:13" ht="65.25" x14ac:dyDescent="0.25">
      <c r="A4" s="54"/>
      <c r="B4" s="5" t="s">
        <v>34</v>
      </c>
      <c r="C4" s="24" t="str">
        <f>_xlfn.XLOOKUP($B4,'Details Critères'!$B$3:$B$39,'Details Critères'!C$3:C$39,,0)</f>
        <v xml:space="preserve">Je mets à disposition des consommateurs des informations permettant de jauger l'état de santé de mes batteries </v>
      </c>
      <c r="D4" s="24" t="str">
        <f>_xlfn.XLOOKUP($B4,'Details Critères'!$B$3:$B$39,'Details Critères'!D$3:D$39,,0)</f>
        <v>Accès à l'état de santé de la batterie (à définir)</v>
      </c>
      <c r="E4" s="24" t="str">
        <f>_xlfn.XLOOKUP($B4,'Details Critères'!$B$3:$B$39,'Details Critères'!E$3:E$39,,0)</f>
        <v>Oui, par tout utilisateur</v>
      </c>
      <c r="F4" s="24" t="str">
        <f>_xlfn.XLOOKUP($B4,'Details Critères'!$B$3:$B$39,'Details Critères'!F$3:F$39,,0)</f>
        <v xml:space="preserve"> </v>
      </c>
      <c r="G4" s="24" t="str">
        <f>_xlfn.XLOOKUP($B4,'Details Critères'!$B$3:$B$39,'Details Critères'!G$3:G$39,,0)</f>
        <v>Oui, par un professionel indépendant</v>
      </c>
      <c r="H4" s="24" t="str">
        <f>_xlfn.XLOOKUP($B4,'Details Critères'!$B$3:$B$39,'Details Critères'!H$3:H$39,,0)</f>
        <v>Non</v>
      </c>
      <c r="I4" s="62"/>
      <c r="J4" s="29">
        <v>0.3</v>
      </c>
      <c r="K4" s="29">
        <f>I$3*J4</f>
        <v>0.15</v>
      </c>
      <c r="L4" s="19"/>
      <c r="M4" s="64"/>
    </row>
    <row r="5" spans="1:13" ht="48.9" x14ac:dyDescent="0.25">
      <c r="A5" s="54"/>
      <c r="B5" s="5" t="s">
        <v>35</v>
      </c>
      <c r="C5" s="24" t="str">
        <f>_xlfn.XLOOKUP($B5,'Details Critères'!$B$3:$B$39,'Details Critères'!C$3:C$39,,0)</f>
        <v>Je garantie une longue durée de vie pour la batterie, pour une capacité restante de 70% ou plus</v>
      </c>
      <c r="D5" s="24" t="str">
        <f>_xlfn.XLOOKUP($B5,'Details Critères'!$B$3:$B$39,'Details Critères'!D$3:D$39,,0)</f>
        <v>Durée de garantie de la batterie</v>
      </c>
      <c r="E5" s="24" t="str">
        <f>_xlfn.XLOOKUP($B5,'Details Critères'!$B$3:$B$39,'Details Critères'!E$3:E$39,,0)</f>
        <v>garantie à 15 ans ou 2000 cycles</v>
      </c>
      <c r="F5" s="24" t="str">
        <f>_xlfn.XLOOKUP($B5,'Details Critères'!$B$3:$B$39,'Details Critères'!F$3:F$39,,0)</f>
        <v>garantie à 10 ans ou 1000 cycles</v>
      </c>
      <c r="G5" s="24" t="str">
        <f>_xlfn.XLOOKUP($B5,'Details Critères'!$B$3:$B$39,'Details Critères'!G$3:G$39,,0)</f>
        <v>Garanti à 8 ans ou 500 cycles</v>
      </c>
      <c r="H5" s="24" t="str">
        <f>_xlfn.XLOOKUP($B5,'Details Critères'!$B$3:$B$39,'Details Critères'!H$3:H$39,,0)</f>
        <v>Non garanti à 8 ans et 500 cycles</v>
      </c>
      <c r="I5" s="62"/>
      <c r="J5" s="29">
        <v>0.3</v>
      </c>
      <c r="K5" s="29">
        <f>I$3*J5</f>
        <v>0.15</v>
      </c>
      <c r="L5" s="19"/>
      <c r="M5" s="64"/>
    </row>
    <row r="6" spans="1:13" ht="65.25" x14ac:dyDescent="0.25">
      <c r="A6" s="54"/>
      <c r="B6" s="5" t="s">
        <v>53</v>
      </c>
      <c r="C6" s="24" t="str">
        <f>_xlfn.XLOOKUP($B6,'Details Critères'!$B$3:$B$39,'Details Critères'!C$3:C$39,,0)</f>
        <v xml:space="preserve">J'installe un compteur kilométrique sur mon véhicule </v>
      </c>
      <c r="D6" s="24" t="str">
        <f>_xlfn.XLOOKUP($B6,'Details Critères'!$B$3:$B$39,'Details Critères'!D$3:D$39,,0)</f>
        <v>Compteur kilométrique véhicule / moteur</v>
      </c>
      <c r="E6" s="24" t="str">
        <f>_xlfn.XLOOKUP($B6,'Details Critères'!$B$3:$B$39,'Details Critères'!E$3:E$39,,0)</f>
        <v>Oui, lisible et non réinitialisable</v>
      </c>
      <c r="F6" s="24" t="str">
        <f>_xlfn.XLOOKUP($B6,'Details Critères'!$B$3:$B$39,'Details Critères'!F$3:F$39,,0)</f>
        <v xml:space="preserve">Oui, lisible mais réinitialisable avec un outil constructeur </v>
      </c>
      <c r="G6" s="24" t="str">
        <f>_xlfn.XLOOKUP($B6,'Details Critères'!$B$3:$B$39,'Details Critères'!G$3:G$39,,0)</f>
        <v>Oui, lisible mais réinitialisable par un professionnel indépendant</v>
      </c>
      <c r="H6" s="24" t="str">
        <f>_xlfn.XLOOKUP($B6,'Details Critères'!$B$3:$B$39,'Details Critères'!H$3:H$39,,0)</f>
        <v xml:space="preserve">Non lisible ou réinitialisable </v>
      </c>
      <c r="I6" s="62"/>
      <c r="J6" s="29">
        <v>0.3</v>
      </c>
      <c r="K6" s="29">
        <f>I$3*J6</f>
        <v>0.15</v>
      </c>
      <c r="L6" s="19"/>
      <c r="M6" s="64"/>
    </row>
    <row r="7" spans="1:13" ht="65.25" x14ac:dyDescent="0.25">
      <c r="A7" s="56" t="s">
        <v>18</v>
      </c>
      <c r="B7" s="5" t="s">
        <v>43</v>
      </c>
      <c r="C7" s="24" t="str">
        <f>_xlfn.XLOOKUP($B7,'Details Critères'!$B$3:$B$39,'Details Critères'!C$3:C$39,,0)</f>
        <v>J'assure la disponibilité de la documentation technique, y compris en cas de disparition de ma structure</v>
      </c>
      <c r="D7" s="24" t="str">
        <f>_xlfn.XLOOKUP($B7,'Details Critères'!$B$3:$B$39,'Details Critères'!D$3:D$39,,0)</f>
        <v>Durée de disponibilité garantie de la documentation technique, y compris disponibilité des plans pour impression 3D le cas échéant</v>
      </c>
      <c r="E7" s="24" t="str">
        <f>_xlfn.XLOOKUP($B7,'Details Critères'!$B$3:$B$39,'Details Critères'!E$3:E$39,,0)</f>
        <v>12 ans et plus</v>
      </c>
      <c r="F7" s="24" t="str">
        <f>_xlfn.XLOOKUP($B7,'Details Critères'!$B$3:$B$39,'Details Critères'!F$3:F$39,,0)</f>
        <v>11 ans</v>
      </c>
      <c r="G7" s="24" t="str">
        <f>_xlfn.XLOOKUP($B7,'Details Critères'!$B$3:$B$39,'Details Critères'!G$3:G$39,,0)</f>
        <v>10 ans</v>
      </c>
      <c r="H7" s="24" t="str">
        <f>_xlfn.XLOOKUP($B7,'Details Critères'!$B$3:$B$39,'Details Critères'!H$3:H$39,,0)</f>
        <v>9 ans ou moins</v>
      </c>
      <c r="I7" s="55">
        <f>1-I3</f>
        <v>0.5</v>
      </c>
      <c r="J7" s="30">
        <v>0.4</v>
      </c>
      <c r="K7" s="30">
        <f>I$7*J7</f>
        <v>0.2</v>
      </c>
      <c r="L7" s="19"/>
      <c r="M7" s="49">
        <f>SUMPRODUCT(J7:J8,L7:L8)</f>
        <v>0</v>
      </c>
    </row>
    <row r="8" spans="1:13" ht="32.6" x14ac:dyDescent="0.25">
      <c r="A8" s="56"/>
      <c r="B8" s="5" t="s">
        <v>44</v>
      </c>
      <c r="C8" s="24" t="str">
        <f>_xlfn.XLOOKUP($B8,'Details Critères'!$B$3:$B$39,'Details Critères'!C$3:C$39,,0)</f>
        <v>Je favorise la réparabilité de mon véhicule</v>
      </c>
      <c r="D8" s="24" t="str">
        <f>_xlfn.XLOOKUP($B8,'Details Critères'!$B$3:$B$39,'Details Critères'!D$3:D$39,,0)</f>
        <v>Indice de réparabilité VAE (noté de 0 à 10)</v>
      </c>
      <c r="E8" s="50" t="str">
        <f>_xlfn.XLOOKUP($B8,'Details Critères'!$B$3:$B$39,'Details Critères'!E$3:E$39,,0)</f>
        <v>Non applicable</v>
      </c>
      <c r="F8" s="51"/>
      <c r="G8" s="51"/>
      <c r="H8" s="52"/>
      <c r="I8" s="55"/>
      <c r="J8" s="30">
        <v>0.6</v>
      </c>
      <c r="K8" s="30">
        <f>I$7*J8</f>
        <v>0.3</v>
      </c>
      <c r="L8" s="19"/>
      <c r="M8" s="49"/>
    </row>
    <row r="9" spans="1:13" x14ac:dyDescent="0.25">
      <c r="M9" s="7"/>
    </row>
    <row r="10" spans="1:13" x14ac:dyDescent="0.25">
      <c r="M10" s="7"/>
    </row>
    <row r="11" spans="1:13" x14ac:dyDescent="0.25">
      <c r="M11" s="7"/>
    </row>
    <row r="12" spans="1:13" x14ac:dyDescent="0.25">
      <c r="M12" s="7"/>
    </row>
    <row r="13" spans="1:13" x14ac:dyDescent="0.25">
      <c r="M13" s="7"/>
    </row>
    <row r="14" spans="1:13" x14ac:dyDescent="0.25">
      <c r="M14" s="7"/>
    </row>
  </sheetData>
  <mergeCells count="12">
    <mergeCell ref="A1:A2"/>
    <mergeCell ref="D1:D2"/>
    <mergeCell ref="C1:C2"/>
    <mergeCell ref="B1:B2"/>
    <mergeCell ref="I1:K1"/>
    <mergeCell ref="M7:M8"/>
    <mergeCell ref="E8:H8"/>
    <mergeCell ref="A3:A6"/>
    <mergeCell ref="I7:I8"/>
    <mergeCell ref="A7:A8"/>
    <mergeCell ref="I3:I6"/>
    <mergeCell ref="M3:M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FFD-5D9A-496E-8EF8-D7A6CBF974B6}">
  <sheetPr>
    <tabColor theme="4"/>
    <outlinePr summaryRight="0"/>
  </sheetPr>
  <dimension ref="A1:M15"/>
  <sheetViews>
    <sheetView showGridLines="0" zoomScale="85" zoomScaleNormal="85" workbookViewId="0">
      <pane xSplit="3" ySplit="2" topLeftCell="D3" activePane="bottomRight" state="frozen"/>
      <selection activeCell="D14" sqref="D14"/>
      <selection pane="topRight" activeCell="D14" sqref="D14"/>
      <selection pane="bottomLeft" activeCell="D14" sqref="D14"/>
      <selection pane="bottomRight" activeCell="L3" sqref="L3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7" width="24.125" style="4" customWidth="1"/>
    <col min="8" max="8" width="24.125" style="4" customWidth="1" collapsed="1"/>
    <col min="9" max="11" width="13.25" style="4" hidden="1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57" t="s">
        <v>89</v>
      </c>
      <c r="B1" s="57"/>
      <c r="C1" s="59" t="s">
        <v>17</v>
      </c>
      <c r="D1" s="58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71" t="s">
        <v>136</v>
      </c>
      <c r="J1" s="72"/>
      <c r="K1" s="73"/>
      <c r="L1" s="45" t="s">
        <v>126</v>
      </c>
      <c r="M1" s="46">
        <f>SUMPRODUCT(I3:I9,M3:M9)/10+0.5</f>
        <v>0.5</v>
      </c>
    </row>
    <row r="2" spans="1:13" ht="32.6" x14ac:dyDescent="0.25">
      <c r="A2" s="57"/>
      <c r="B2" s="57"/>
      <c r="C2" s="59"/>
      <c r="D2" s="58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3" t="s">
        <v>138</v>
      </c>
      <c r="B3" s="5" t="s">
        <v>33</v>
      </c>
      <c r="C3" s="24" t="str">
        <f>_xlfn.XLOOKUP($B3,'Details Critères'!$B$3:$B$39,'Details Critères'!C$3:C$39,,0)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Critères'!$B$3:$B$39,'Details Critères'!D$3:D$39,,0)</f>
        <v>Passeport digital</v>
      </c>
      <c r="E3" s="24" t="str">
        <f>_xlfn.XLOOKUP($B3,'Details Critères'!$B$3:$B$39,'Details Critères'!E$3:E$39,,0)</f>
        <v>Oui</v>
      </c>
      <c r="F3" s="24" t="str">
        <f>_xlfn.XLOOKUP($B3,'Details Critères'!$B$3:$B$39,'Details Critères'!F$3:F$39,,0)</f>
        <v xml:space="preserve"> </v>
      </c>
      <c r="G3" s="24" t="str">
        <f>_xlfn.XLOOKUP($B3,'Details Critères'!$B$3:$B$39,'Details Critères'!G$3:G$39,,0)</f>
        <v xml:space="preserve">Non </v>
      </c>
      <c r="H3" s="24" t="str">
        <f>_xlfn.XLOOKUP($B3,'Details Critères'!$B$3:$B$39,'Details Critères'!H$3:H$39,,0)</f>
        <v xml:space="preserve"> </v>
      </c>
      <c r="I3" s="61">
        <v>0.5</v>
      </c>
      <c r="J3" s="29">
        <v>0.2</v>
      </c>
      <c r="K3" s="29">
        <f>I$3*J3</f>
        <v>0.1</v>
      </c>
      <c r="L3" s="19"/>
      <c r="M3" s="63">
        <f>SUMPRODUCT(J3:J6,L3:L6)</f>
        <v>0</v>
      </c>
    </row>
    <row r="4" spans="1:13" ht="65.25" x14ac:dyDescent="0.25">
      <c r="A4" s="54"/>
      <c r="B4" s="5" t="s">
        <v>34</v>
      </c>
      <c r="C4" s="24" t="str">
        <f>_xlfn.XLOOKUP($B4,'Details Critères'!$B$3:$B$39,'Details Critères'!C$3:C$39,,0)</f>
        <v xml:space="preserve">Je mets à disposition des consommateurs des informations permettant de jauger l'état de santé de mes batteries </v>
      </c>
      <c r="D4" s="24" t="str">
        <f>_xlfn.XLOOKUP($B4,'Details Critères'!$B$3:$B$39,'Details Critères'!D$3:D$39,,0)</f>
        <v>Accès à l'état de santé de la batterie (à définir)</v>
      </c>
      <c r="E4" s="24" t="str">
        <f>_xlfn.XLOOKUP($B4,'Details Critères'!$B$3:$B$39,'Details Critères'!E$3:E$39,,0)</f>
        <v>Oui, par tout utilisateur</v>
      </c>
      <c r="F4" s="24" t="str">
        <f>_xlfn.XLOOKUP($B4,'Details Critères'!$B$3:$B$39,'Details Critères'!F$3:F$39,,0)</f>
        <v xml:space="preserve"> </v>
      </c>
      <c r="G4" s="24" t="str">
        <f>_xlfn.XLOOKUP($B4,'Details Critères'!$B$3:$B$39,'Details Critères'!G$3:G$39,,0)</f>
        <v>Oui, par un professionel indépendant</v>
      </c>
      <c r="H4" s="24" t="str">
        <f>_xlfn.XLOOKUP($B4,'Details Critères'!$B$3:$B$39,'Details Critères'!H$3:H$39,,0)</f>
        <v>Non</v>
      </c>
      <c r="I4" s="62"/>
      <c r="J4" s="29">
        <v>0.3</v>
      </c>
      <c r="K4" s="29">
        <f>I$3*J4</f>
        <v>0.15</v>
      </c>
      <c r="L4" s="19"/>
      <c r="M4" s="64"/>
    </row>
    <row r="5" spans="1:13" ht="48.9" x14ac:dyDescent="0.25">
      <c r="A5" s="54"/>
      <c r="B5" s="5" t="s">
        <v>35</v>
      </c>
      <c r="C5" s="24" t="str">
        <f>_xlfn.XLOOKUP($B5,'Details Critères'!$B$3:$B$39,'Details Critères'!C$3:C$39,,0)</f>
        <v>Je garantie une longue durée de vie pour la batterie, pour une capacité restante de 70% ou plus</v>
      </c>
      <c r="D5" s="24" t="str">
        <f>_xlfn.XLOOKUP($B5,'Details Critères'!$B$3:$B$39,'Details Critères'!D$3:D$39,,0)</f>
        <v>Durée de garantie de la batterie</v>
      </c>
      <c r="E5" s="24" t="str">
        <f>_xlfn.XLOOKUP($B5,'Details Critères'!$B$3:$B$39,'Details Critères'!E$3:E$39,,0)</f>
        <v>garantie à 15 ans ou 2000 cycles</v>
      </c>
      <c r="F5" s="24" t="str">
        <f>_xlfn.XLOOKUP($B5,'Details Critères'!$B$3:$B$39,'Details Critères'!F$3:F$39,,0)</f>
        <v>garantie à 10 ans ou 1000 cycles</v>
      </c>
      <c r="G5" s="24" t="str">
        <f>_xlfn.XLOOKUP($B5,'Details Critères'!$B$3:$B$39,'Details Critères'!G$3:G$39,,0)</f>
        <v>Garanti à 8 ans ou 500 cycles</v>
      </c>
      <c r="H5" s="24" t="str">
        <f>_xlfn.XLOOKUP($B5,'Details Critères'!$B$3:$B$39,'Details Critères'!H$3:H$39,,0)</f>
        <v>Non garanti à 8 ans et 500 cycles</v>
      </c>
      <c r="I5" s="62"/>
      <c r="J5" s="29">
        <v>0.3</v>
      </c>
      <c r="K5" s="29">
        <f>I$3*J5</f>
        <v>0.15</v>
      </c>
      <c r="L5" s="19"/>
      <c r="M5" s="64"/>
    </row>
    <row r="6" spans="1:13" ht="81.55" x14ac:dyDescent="0.25">
      <c r="A6" s="65"/>
      <c r="B6" s="5" t="s">
        <v>137</v>
      </c>
      <c r="C6" s="24" t="str">
        <f>_xlfn.XLOOKUP($B6,'Details Critères'!$B$3:$B$39,'Details Critères'!C$3:C$39,,0)</f>
        <v>Je garantie une évolutivité et une souveraineté logicielle du véhicule pour les fonctions de conduite et de sécurité</v>
      </c>
      <c r="D6" s="24" t="str">
        <f>_xlfn.XLOOKUP($B6,'Details Critères'!$B$3:$B$39,'Details Critères'!D$3:D$39,,0)</f>
        <v>L'utilisateur peut mettre à jour les logiciels pour des besoins de sécurités ou de maintenance. Leur opérabilité et la protection des données est garantie</v>
      </c>
      <c r="E6" s="24" t="str">
        <f>_xlfn.XLOOKUP($B6,'Details Critères'!$B$3:$B$39,'Details Critères'!E$3:E$39,,0)</f>
        <v>Utilisation de logiciels libres ou absence de logiciels</v>
      </c>
      <c r="F6" s="24" t="str">
        <f>_xlfn.XLOOKUP($B6,'Details Critères'!$B$3:$B$39,'Details Critères'!F$3:F$39,,0)</f>
        <v>Les logiciels sont propriétaires, Européens. Les mises à jours sont gratuites et garanties 15 ans ou plus</v>
      </c>
      <c r="G6" s="24" t="str">
        <f>_xlfn.XLOOKUP($B6,'Details Critères'!$B$3:$B$39,'Details Critères'!G$3:G$39,,0)</f>
        <v>Les logiciels sont propriétaires, Européens</v>
      </c>
      <c r="H6" s="24" t="str">
        <f>_xlfn.XLOOKUP($B6,'Details Critères'!$B$3:$B$39,'Details Critères'!H$3:H$39,,0)</f>
        <v>Les logiciels sont propriétaires, tout ou partie non Européens</v>
      </c>
      <c r="I6" s="70"/>
      <c r="J6" s="29">
        <v>0.2</v>
      </c>
      <c r="K6" s="29">
        <f>I$3*J6</f>
        <v>0.1</v>
      </c>
      <c r="L6" s="19"/>
      <c r="M6" s="69"/>
    </row>
    <row r="7" spans="1:13" ht="65.25" x14ac:dyDescent="0.25">
      <c r="A7" s="53" t="s">
        <v>18</v>
      </c>
      <c r="B7" s="5" t="s">
        <v>43</v>
      </c>
      <c r="C7" s="24" t="str">
        <f>_xlfn.XLOOKUP($B7,'Details Critères'!$B$3:$B$39,'Details Critères'!C$3:C$39,,0)</f>
        <v>J'assure la disponibilité de la documentation technique, y compris en cas de disparition de ma structure</v>
      </c>
      <c r="D7" s="24" t="str">
        <f>_xlfn.XLOOKUP($B7,'Details Critères'!$B$3:$B$39,'Details Critères'!D$3:D$39,,0)</f>
        <v>Durée de disponibilité garantie de la documentation technique, y compris disponibilité des plans pour impression 3D le cas échéant</v>
      </c>
      <c r="E7" s="24" t="str">
        <f>_xlfn.XLOOKUP($B7,'Details Critères'!$B$3:$B$39,'Details Critères'!E$3:E$39,,0)</f>
        <v>12 ans et plus</v>
      </c>
      <c r="F7" s="24" t="str">
        <f>_xlfn.XLOOKUP($B7,'Details Critères'!$B$3:$B$39,'Details Critères'!F$3:F$39,,0)</f>
        <v>11 ans</v>
      </c>
      <c r="G7" s="24" t="str">
        <f>_xlfn.XLOOKUP($B7,'Details Critères'!$B$3:$B$39,'Details Critères'!G$3:G$39,,0)</f>
        <v>10 ans</v>
      </c>
      <c r="H7" s="24" t="str">
        <f>_xlfn.XLOOKUP($B7,'Details Critères'!$B$3:$B$39,'Details Critères'!H$3:H$39,,0)</f>
        <v>9 ans ou moins</v>
      </c>
      <c r="I7" s="66">
        <f>1-I3</f>
        <v>0.5</v>
      </c>
      <c r="J7" s="30">
        <v>0.4</v>
      </c>
      <c r="K7" s="30">
        <f>I$7*J7</f>
        <v>0.2</v>
      </c>
      <c r="L7" s="19"/>
      <c r="M7" s="63">
        <f>SUMPRODUCT(J7:J9,L7:L9)</f>
        <v>0</v>
      </c>
    </row>
    <row r="8" spans="1:13" ht="48.9" x14ac:dyDescent="0.25">
      <c r="A8" s="54"/>
      <c r="B8" s="5" t="s">
        <v>99</v>
      </c>
      <c r="C8" s="24" t="str">
        <f>_xlfn.XLOOKUP($B8,'Details Critères'!$B$3:$B$39,'Details Critères'!C$3:C$39,,0)</f>
        <v xml:space="preserve">Je dispose d'un réseau de garages ou ateliers habilités pour la réparation du véhicule </v>
      </c>
      <c r="D8" s="24" t="str">
        <f>_xlfn.XLOOKUP($B8,'Details Critères'!$B$3:$B$39,'Details Critères'!D$3:D$39,,0)</f>
        <v>Réseau de garages habilités pour la réparation du véhicule</v>
      </c>
      <c r="E8" s="24" t="str">
        <f>_xlfn.XLOOKUP($B8,'Details Critères'!$B$3:$B$39,'Details Critères'!E$3:E$39,,0)</f>
        <v>Plus de 10 garages en France</v>
      </c>
      <c r="F8" s="24" t="str">
        <f>_xlfn.XLOOKUP($B8,'Details Critères'!$B$3:$B$39,'Details Critères'!F$3:F$39,,0)</f>
        <v>Au moins un garage en France</v>
      </c>
      <c r="G8" s="24" t="str">
        <f>_xlfn.XLOOKUP($B8,'Details Critères'!$B$3:$B$39,'Details Critères'!G$3:G$39,,0)</f>
        <v>Au moins un garage en UE</v>
      </c>
      <c r="H8" s="24" t="str">
        <f>_xlfn.XLOOKUP($B8,'Details Critères'!$B$3:$B$39,'Details Critères'!H$3:H$39,,0)</f>
        <v>Pas de garage en UE</v>
      </c>
      <c r="I8" s="67"/>
      <c r="J8" s="30">
        <v>0.3</v>
      </c>
      <c r="K8" s="30">
        <f>I$7*J8</f>
        <v>0.15</v>
      </c>
      <c r="L8" s="19"/>
      <c r="M8" s="64"/>
    </row>
    <row r="9" spans="1:13" ht="48.9" x14ac:dyDescent="0.25">
      <c r="A9" s="65"/>
      <c r="B9" s="5" t="s">
        <v>122</v>
      </c>
      <c r="C9" s="24" t="str">
        <f>_xlfn.XLOOKUP($B9,'Details Critères'!$B$3:$B$39,'Details Critères'!C$3:C$39,,0)</f>
        <v xml:space="preserve">J'assure la disponibilité des pièces détachées dans le temps (hors batterie) </v>
      </c>
      <c r="D9" s="24" t="str">
        <f>_xlfn.XLOOKUP($B9,'Details Critères'!$B$3:$B$39,'Details Critères'!D$3:D$39,,0)</f>
        <v>Durée de disponibilité garantie des pièces détachées (hors batterie) (10/10 si pas de pièce propriétaire)</v>
      </c>
      <c r="E9" s="24" t="str">
        <f>_xlfn.XLOOKUP($B9,'Details Critères'!$B$3:$B$39,'Details Critères'!E$3:E$39,,0)</f>
        <v>7 ans ou plus</v>
      </c>
      <c r="F9" s="24" t="str">
        <f>_xlfn.XLOOKUP($B9,'Details Critères'!$B$3:$B$39,'Details Critères'!F$3:F$39,,0)</f>
        <v>5 ou 6 ans</v>
      </c>
      <c r="G9" s="24" t="str">
        <f>_xlfn.XLOOKUP($B9,'Details Critères'!$B$3:$B$39,'Details Critères'!G$3:G$39,,0)</f>
        <v>3 ou 4 ans</v>
      </c>
      <c r="H9" s="24" t="str">
        <f>_xlfn.XLOOKUP($B9,'Details Critères'!$B$3:$B$39,'Details Critères'!H$3:H$39,,0)</f>
        <v>2 ans ou moins</v>
      </c>
      <c r="I9" s="68"/>
      <c r="J9" s="30">
        <v>0.3</v>
      </c>
      <c r="K9" s="30">
        <f>I$7*J9</f>
        <v>0.15</v>
      </c>
      <c r="L9" s="19"/>
      <c r="M9" s="69"/>
    </row>
    <row r="10" spans="1:13" x14ac:dyDescent="0.25">
      <c r="M10" s="7"/>
    </row>
    <row r="11" spans="1:13" x14ac:dyDescent="0.25">
      <c r="M11" s="7"/>
    </row>
    <row r="12" spans="1:13" x14ac:dyDescent="0.25">
      <c r="M12" s="7"/>
    </row>
    <row r="13" spans="1:13" x14ac:dyDescent="0.25">
      <c r="M13" s="7"/>
    </row>
    <row r="14" spans="1:13" x14ac:dyDescent="0.25">
      <c r="M14" s="7"/>
    </row>
    <row r="15" spans="1:13" x14ac:dyDescent="0.25">
      <c r="M15" s="7"/>
    </row>
  </sheetData>
  <mergeCells count="11">
    <mergeCell ref="A1:A2"/>
    <mergeCell ref="B1:B2"/>
    <mergeCell ref="C1:C2"/>
    <mergeCell ref="D1:D2"/>
    <mergeCell ref="I1:K1"/>
    <mergeCell ref="A7:A9"/>
    <mergeCell ref="I7:I9"/>
    <mergeCell ref="M7:M9"/>
    <mergeCell ref="A3:A6"/>
    <mergeCell ref="I3:I6"/>
    <mergeCell ref="M3:M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3C34-AA8B-4220-A83C-C7B7D313F52F}">
  <sheetPr>
    <tabColor theme="4"/>
    <outlinePr summaryRight="0"/>
  </sheetPr>
  <dimension ref="A1:M20"/>
  <sheetViews>
    <sheetView showGridLines="0" zoomScale="85" zoomScaleNormal="85" workbookViewId="0">
      <pane xSplit="3" ySplit="2" topLeftCell="D3" activePane="bottomRight" state="frozen"/>
      <selection activeCell="D7" sqref="D7"/>
      <selection pane="topRight" activeCell="D7" sqref="D7"/>
      <selection pane="bottomLeft" activeCell="D7" sqref="D7"/>
      <selection pane="bottomRight" activeCell="L3" sqref="L3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7" width="24.125" style="4" customWidth="1"/>
    <col min="8" max="8" width="24.125" style="4" customWidth="1" collapsed="1"/>
    <col min="9" max="11" width="13.25" style="4" hidden="1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57" t="s">
        <v>89</v>
      </c>
      <c r="B1" s="57"/>
      <c r="C1" s="59" t="s">
        <v>17</v>
      </c>
      <c r="D1" s="58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71" t="s">
        <v>130</v>
      </c>
      <c r="J1" s="72"/>
      <c r="K1" s="73"/>
      <c r="L1" s="45" t="s">
        <v>126</v>
      </c>
      <c r="M1" s="46">
        <f>SUMPRODUCT(I3:I14,M3:M14)/10+0.5</f>
        <v>0.5</v>
      </c>
    </row>
    <row r="2" spans="1:13" ht="32.6" x14ac:dyDescent="0.25">
      <c r="A2" s="57"/>
      <c r="B2" s="57"/>
      <c r="C2" s="59"/>
      <c r="D2" s="58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3" t="s">
        <v>138</v>
      </c>
      <c r="B3" s="5" t="s">
        <v>33</v>
      </c>
      <c r="C3" s="24" t="str">
        <f>_xlfn.XLOOKUP($B3,'Details Critères'!$B$3:$B$39,'Details Critères'!C$3:C$39,,0)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Critères'!$B$3:$B$39,'Details Critères'!D$3:D$39,,0)</f>
        <v>Passeport digital</v>
      </c>
      <c r="E3" s="24" t="str">
        <f>_xlfn.XLOOKUP($B3,'Details Critères'!$B$3:$B$39,'Details Critères'!E$3:E$39,,0)</f>
        <v>Oui</v>
      </c>
      <c r="F3" s="24" t="str">
        <f>_xlfn.XLOOKUP($B3,'Details Critères'!$B$3:$B$39,'Details Critères'!F$3:F$39,,0)</f>
        <v xml:space="preserve"> </v>
      </c>
      <c r="G3" s="24" t="str">
        <f>_xlfn.XLOOKUP($B3,'Details Critères'!$B$3:$B$39,'Details Critères'!G$3:G$39,,0)</f>
        <v xml:space="preserve">Non </v>
      </c>
      <c r="H3" s="24" t="str">
        <f>_xlfn.XLOOKUP($B3,'Details Critères'!$B$3:$B$39,'Details Critères'!H$3:H$39,,0)</f>
        <v xml:space="preserve"> </v>
      </c>
      <c r="I3" s="61">
        <v>0.25</v>
      </c>
      <c r="J3" s="29">
        <v>0.2</v>
      </c>
      <c r="K3" s="29">
        <f>I$3*J3</f>
        <v>0.05</v>
      </c>
      <c r="L3" s="19"/>
      <c r="M3" s="63">
        <f>SUMPRODUCT(J3:J6,L3:L6)</f>
        <v>0</v>
      </c>
    </row>
    <row r="4" spans="1:13" ht="65.25" x14ac:dyDescent="0.25">
      <c r="A4" s="54"/>
      <c r="B4" s="5" t="s">
        <v>34</v>
      </c>
      <c r="C4" s="24" t="str">
        <f>_xlfn.XLOOKUP($B4,'Details Critères'!$B$3:$B$39,'Details Critères'!C$3:C$39,,0)</f>
        <v xml:space="preserve">Je mets à disposition des consommateurs des informations permettant de jauger l'état de santé de mes batteries </v>
      </c>
      <c r="D4" s="24" t="str">
        <f>_xlfn.XLOOKUP($B4,'Details Critères'!$B$3:$B$39,'Details Critères'!D$3:D$39,,0)</f>
        <v>Accès à l'état de santé de la batterie (à définir)</v>
      </c>
      <c r="E4" s="24" t="str">
        <f>_xlfn.XLOOKUP($B4,'Details Critères'!$B$3:$B$39,'Details Critères'!E$3:E$39,,0)</f>
        <v>Oui, par tout utilisateur</v>
      </c>
      <c r="F4" s="24" t="str">
        <f>_xlfn.XLOOKUP($B4,'Details Critères'!$B$3:$B$39,'Details Critères'!F$3:F$39,,0)</f>
        <v xml:space="preserve"> </v>
      </c>
      <c r="G4" s="24" t="str">
        <f>_xlfn.XLOOKUP($B4,'Details Critères'!$B$3:$B$39,'Details Critères'!G$3:G$39,,0)</f>
        <v>Oui, par un professionel indépendant</v>
      </c>
      <c r="H4" s="24" t="str">
        <f>_xlfn.XLOOKUP($B4,'Details Critères'!$B$3:$B$39,'Details Critères'!H$3:H$39,,0)</f>
        <v>Non</v>
      </c>
      <c r="I4" s="62"/>
      <c r="J4" s="29">
        <v>0.3</v>
      </c>
      <c r="K4" s="29">
        <f>I$3*J4</f>
        <v>7.4999999999999997E-2</v>
      </c>
      <c r="L4" s="19"/>
      <c r="M4" s="64"/>
    </row>
    <row r="5" spans="1:13" ht="48.9" x14ac:dyDescent="0.25">
      <c r="A5" s="54"/>
      <c r="B5" s="5" t="s">
        <v>35</v>
      </c>
      <c r="C5" s="24" t="str">
        <f>_xlfn.XLOOKUP($B5,'Details Critères'!$B$3:$B$39,'Details Critères'!C$3:C$39,,0)</f>
        <v>Je garantie une longue durée de vie pour la batterie, pour une capacité restante de 70% ou plus</v>
      </c>
      <c r="D5" s="24" t="str">
        <f>_xlfn.XLOOKUP($B5,'Details Critères'!$B$3:$B$39,'Details Critères'!D$3:D$39,,0)</f>
        <v>Durée de garantie de la batterie</v>
      </c>
      <c r="E5" s="24" t="str">
        <f>_xlfn.XLOOKUP($B5,'Details Critères'!$B$3:$B$39,'Details Critères'!E$3:E$39,,0)</f>
        <v>garantie à 15 ans ou 2000 cycles</v>
      </c>
      <c r="F5" s="24" t="str">
        <f>_xlfn.XLOOKUP($B5,'Details Critères'!$B$3:$B$39,'Details Critères'!F$3:F$39,,0)</f>
        <v>garantie à 10 ans ou 1000 cycles</v>
      </c>
      <c r="G5" s="24" t="str">
        <f>_xlfn.XLOOKUP($B5,'Details Critères'!$B$3:$B$39,'Details Critères'!G$3:G$39,,0)</f>
        <v>Garanti à 8 ans ou 500 cycles</v>
      </c>
      <c r="H5" s="24" t="str">
        <f>_xlfn.XLOOKUP($B5,'Details Critères'!$B$3:$B$39,'Details Critères'!H$3:H$39,,0)</f>
        <v>Non garanti à 8 ans et 500 cycles</v>
      </c>
      <c r="I5" s="62"/>
      <c r="J5" s="29">
        <v>0.3</v>
      </c>
      <c r="K5" s="29">
        <f>I$3*J5</f>
        <v>7.4999999999999997E-2</v>
      </c>
      <c r="L5" s="19"/>
      <c r="M5" s="64"/>
    </row>
    <row r="6" spans="1:13" ht="81.55" x14ac:dyDescent="0.25">
      <c r="A6" s="65"/>
      <c r="B6" s="5" t="s">
        <v>137</v>
      </c>
      <c r="C6" s="24" t="str">
        <f>_xlfn.XLOOKUP($B6,'Details Critères'!$B$3:$B$39,'Details Critères'!C$3:C$39,,0)</f>
        <v>Je garantie une évolutivité et une souveraineté logicielle du véhicule pour les fonctions de conduite et de sécurité</v>
      </c>
      <c r="D6" s="24" t="str">
        <f>_xlfn.XLOOKUP($B6,'Details Critères'!$B$3:$B$39,'Details Critères'!D$3:D$39,,0)</f>
        <v>L'utilisateur peut mettre à jour les logiciels pour des besoins de sécurités ou de maintenance. Leur opérabilité et la protection des données est garantie</v>
      </c>
      <c r="E6" s="24" t="str">
        <f>_xlfn.XLOOKUP($B6,'Details Critères'!$B$3:$B$39,'Details Critères'!E$3:E$39,,0)</f>
        <v>Utilisation de logiciels libres ou absence de logiciels</v>
      </c>
      <c r="F6" s="24" t="str">
        <f>_xlfn.XLOOKUP($B6,'Details Critères'!$B$3:$B$39,'Details Critères'!F$3:F$39,,0)</f>
        <v>Les logiciels sont propriétaires, Européens. Les mises à jours sont gratuites et garanties 15 ans ou plus</v>
      </c>
      <c r="G6" s="24" t="str">
        <f>_xlfn.XLOOKUP($B6,'Details Critères'!$B$3:$B$39,'Details Critères'!G$3:G$39,,0)</f>
        <v>Les logiciels sont propriétaires, Européens</v>
      </c>
      <c r="H6" s="24" t="str">
        <f>_xlfn.XLOOKUP($B6,'Details Critères'!$B$3:$B$39,'Details Critères'!H$3:H$39,,0)</f>
        <v>Les logiciels sont propriétaires, tout ou partie non Européens</v>
      </c>
      <c r="I6" s="70"/>
      <c r="J6" s="29">
        <v>0.2</v>
      </c>
      <c r="K6" s="29">
        <f>I$3*J6</f>
        <v>0.05</v>
      </c>
      <c r="L6" s="19"/>
      <c r="M6" s="69"/>
    </row>
    <row r="7" spans="1:13" ht="65.25" x14ac:dyDescent="0.25">
      <c r="A7" s="56" t="s">
        <v>40</v>
      </c>
      <c r="B7" s="5" t="s">
        <v>36</v>
      </c>
      <c r="C7" s="24" t="str">
        <f>_xlfn.XLOOKUP($B7,'Details Critères'!$B$3:$B$39,'Details Critères'!C$3:C$39,,0)</f>
        <v xml:space="preserve">Je permets le retrait de la batterie </v>
      </c>
      <c r="D7" s="24" t="str">
        <f>_xlfn.XLOOKUP($B7,'Details Critères'!$B$3:$B$39,'Details Critères'!D$3:D$39,,0)</f>
        <v>Retrait de la batterie et remplacement par une batterie identique possible</v>
      </c>
      <c r="E7" s="24" t="str">
        <f>_xlfn.XLOOKUP($B7,'Details Critères'!$B$3:$B$39,'Details Critères'!E$3:E$39,,0)</f>
        <v>Oui, par le propriétaire, sans outil</v>
      </c>
      <c r="F7" s="24" t="str">
        <f>_xlfn.XLOOKUP($B7,'Details Critères'!$B$3:$B$39,'Details Critères'!F$3:F$39,,0)</f>
        <v>Oui, par le propriétaire, avec des outils standards, sans perte de garantie</v>
      </c>
      <c r="G7" s="24" t="str">
        <f>_xlfn.XLOOKUP($B7,'Details Critères'!$B$3:$B$39,'Details Critères'!G$3:G$39,,0)</f>
        <v>Oui, par un professionnel indépendant</v>
      </c>
      <c r="H7" s="24" t="str">
        <f>_xlfn.XLOOKUP($B7,'Details Critères'!$B$3:$B$39,'Details Critères'!H$3:H$39,,0)</f>
        <v>Non, ou par un garage agréé</v>
      </c>
      <c r="I7" s="67">
        <v>0.25</v>
      </c>
      <c r="J7" s="30">
        <v>0.2</v>
      </c>
      <c r="K7" s="30">
        <f>$I$7*J7</f>
        <v>0.05</v>
      </c>
      <c r="L7" s="19"/>
      <c r="M7" s="49">
        <f>SUMPRODUCT(J7:J11,L7:L11)</f>
        <v>0</v>
      </c>
    </row>
    <row r="8" spans="1:13" ht="65.25" x14ac:dyDescent="0.25">
      <c r="A8" s="56"/>
      <c r="B8" s="5" t="s">
        <v>37</v>
      </c>
      <c r="C8" s="24" t="str">
        <f>_xlfn.XLOOKUP($B8,'Details Critères'!$B$3:$B$39,'Details Critères'!C$3:C$39,,0)</f>
        <v xml:space="preserve">Je peux intégrer une batterie d'un autre constructeur </v>
      </c>
      <c r="D8" s="24" t="str">
        <f>_xlfn.XLOOKUP($B8,'Details Critères'!$B$3:$B$39,'Details Critères'!D$3:D$39,,0)</f>
        <v>Possibilité d'intégrer une batterie d'un autre constructeur, dans le futur - communication</v>
      </c>
      <c r="E8" s="24" t="str">
        <f>_xlfn.XLOOKUP($B8,'Details Critères'!$B$3:$B$39,'Details Critères'!E$3:E$39,,0)</f>
        <v>Protocole de communication batterie-véhicule non spécifique et open source</v>
      </c>
      <c r="F8" s="24" t="str">
        <f>_xlfn.XLOOKUP($B8,'Details Critères'!$B$3:$B$39,'Details Critères'!F$3:F$39,,0)</f>
        <v>Protocole de communication batterie-véhicule non spécifique</v>
      </c>
      <c r="G8" s="24" t="str">
        <f>_xlfn.XLOOKUP($B8,'Details Critères'!$B$3:$B$39,'Details Critères'!G$3:G$39,,0)</f>
        <v>Protocole de communication batterie-véhicule spécifique, mais en libre usage</v>
      </c>
      <c r="H8" s="24" t="str">
        <f>_xlfn.XLOOKUP($B8,'Details Critères'!$B$3:$B$39,'Details Critères'!H$3:H$39,,0)</f>
        <v>Protocole de communication batterie-véhicule propriétaire</v>
      </c>
      <c r="I8" s="67"/>
      <c r="J8" s="30">
        <v>0.2</v>
      </c>
      <c r="K8" s="30">
        <f t="shared" ref="K8:K11" si="0">$I$7*J8</f>
        <v>0.05</v>
      </c>
      <c r="L8" s="19"/>
      <c r="M8" s="49"/>
    </row>
    <row r="9" spans="1:13" ht="65.25" x14ac:dyDescent="0.25">
      <c r="A9" s="56"/>
      <c r="B9" s="5" t="s">
        <v>38</v>
      </c>
      <c r="C9" s="24" t="str">
        <f>_xlfn.XLOOKUP($B9,'Details Critères'!$B$3:$B$39,'Details Critères'!C$3:C$39,,0)</f>
        <v>Je  facilite le démontage du couvercle de la batterie, et le remplacement de ses composants</v>
      </c>
      <c r="D9" s="24" t="str">
        <f>_xlfn.XLOOKUP($B9,'Details Critères'!$B$3:$B$39,'Details Critères'!D$3:D$39,,0)</f>
        <v>Démontage du couvercle facile, et remplacement possible des composants (BMS, modules, câbles), sans endommagement de pièce</v>
      </c>
      <c r="E9" s="24" t="str">
        <f>_xlfn.XLOOKUP($B9,'Details Critères'!$B$3:$B$39,'Details Critères'!E$3:E$39,,0)</f>
        <v>Oui, par un professionnel indépendant</v>
      </c>
      <c r="F9" s="24" t="str">
        <f>_xlfn.XLOOKUP($B9,'Details Critères'!$B$3:$B$39,'Details Critères'!F$3:F$39,,0)</f>
        <v xml:space="preserve"> </v>
      </c>
      <c r="G9" s="24" t="str">
        <f>_xlfn.XLOOKUP($B9,'Details Critères'!$B$3:$B$39,'Details Critères'!G$3:G$39,,0)</f>
        <v>Oui, par un garage agréé</v>
      </c>
      <c r="H9" s="24" t="str">
        <f>_xlfn.XLOOKUP($B9,'Details Critères'!$B$3:$B$39,'Details Critères'!H$3:H$39,,0)</f>
        <v>Non (soudures, (thermal interface material...)</v>
      </c>
      <c r="I9" s="67"/>
      <c r="J9" s="30">
        <v>0.2</v>
      </c>
      <c r="K9" s="30">
        <f t="shared" si="0"/>
        <v>0.05</v>
      </c>
      <c r="L9" s="19"/>
      <c r="M9" s="49"/>
    </row>
    <row r="10" spans="1:13" ht="32.6" x14ac:dyDescent="0.25">
      <c r="A10" s="56"/>
      <c r="B10" s="5" t="s">
        <v>152</v>
      </c>
      <c r="C10" s="24" t="str">
        <f>_xlfn.XLOOKUP($B10,'Details Critères'!$B$3:$B$39,'Details Critères'!C$3:C$39,,0)</f>
        <v xml:space="preserve">Je permets le remplacement des cellules à l'intérieur d'un module </v>
      </c>
      <c r="D10" s="24" t="str">
        <f>_xlfn.XLOOKUP($B10,'Details Critères'!$B$3:$B$39,'Details Critères'!D$3:D$39,,0)</f>
        <v>Remplacement de cellules possible</v>
      </c>
      <c r="E10" s="24" t="str">
        <f>_xlfn.XLOOKUP($B10,'Details Critères'!$B$3:$B$39,'Details Critères'!E$3:E$39,,0)</f>
        <v xml:space="preserve">Oui par un professionnel indépendant </v>
      </c>
      <c r="F10" s="24" t="str">
        <f>_xlfn.XLOOKUP($B10,'Details Critères'!$B$3:$B$39,'Details Critères'!F$3:F$39,,0)</f>
        <v xml:space="preserve">Oui par un garage agréé </v>
      </c>
      <c r="G10" s="24" t="str">
        <f>_xlfn.XLOOKUP($B10,'Details Critères'!$B$3:$B$39,'Details Critères'!G$3:G$39,,0)</f>
        <v xml:space="preserve"> </v>
      </c>
      <c r="H10" s="24" t="str">
        <f>_xlfn.XLOOKUP($B10,'Details Critères'!$B$3:$B$39,'Details Critères'!H$3:H$39,,0)</f>
        <v>Non</v>
      </c>
      <c r="I10" s="67"/>
      <c r="J10" s="30">
        <v>0.2</v>
      </c>
      <c r="K10" s="30">
        <f t="shared" si="0"/>
        <v>0.05</v>
      </c>
      <c r="L10" s="19"/>
      <c r="M10" s="49"/>
    </row>
    <row r="11" spans="1:13" ht="81.55" x14ac:dyDescent="0.25">
      <c r="A11" s="56"/>
      <c r="B11" s="5" t="s">
        <v>39</v>
      </c>
      <c r="C11" s="24" t="str">
        <f>_xlfn.XLOOKUP($B11,'Details Critères'!$B$3:$B$39,'Details Critères'!C$3:C$39,,0)</f>
        <v xml:space="preserve">Je dispose d'un réseau de garages habiltés pour la réparation des batteries </v>
      </c>
      <c r="D11" s="24" t="str">
        <f>_xlfn.XLOOKUP($B11,'Details Critères'!$B$3:$B$39,'Details Critères'!D$3:D$39,,0)</f>
        <v>Réseau de garages habilités pour la réparation de la batterie</v>
      </c>
      <c r="E11" s="24" t="str">
        <f>_xlfn.XLOOKUP($B11,'Details Critères'!$B$3:$B$39,'Details Critères'!E$3:E$39,,0)</f>
        <v>Plus de 10 garages en France, ou absence de recours à un garage agréé (cf critères B1, B5, B6)</v>
      </c>
      <c r="F11" s="24" t="str">
        <f>_xlfn.XLOOKUP($B11,'Details Critères'!$B$3:$B$39,'Details Critères'!F$3:F$39,,0)</f>
        <v>Au moins un garage en France</v>
      </c>
      <c r="G11" s="24" t="str">
        <f>_xlfn.XLOOKUP($B11,'Details Critères'!$B$3:$B$39,'Details Critères'!G$3:G$39,,0)</f>
        <v>Au moins un garage en UE</v>
      </c>
      <c r="H11" s="24" t="str">
        <f>_xlfn.XLOOKUP($B11,'Details Critères'!$B$3:$B$39,'Details Critères'!H$3:H$39,,0)</f>
        <v>Pas de garage en UE</v>
      </c>
      <c r="I11" s="68"/>
      <c r="J11" s="30">
        <v>0.2</v>
      </c>
      <c r="K11" s="30">
        <f t="shared" si="0"/>
        <v>0.05</v>
      </c>
      <c r="L11" s="19"/>
      <c r="M11" s="49"/>
    </row>
    <row r="12" spans="1:13" ht="65.25" x14ac:dyDescent="0.25">
      <c r="A12" s="53" t="s">
        <v>18</v>
      </c>
      <c r="B12" s="5" t="s">
        <v>43</v>
      </c>
      <c r="C12" s="24" t="str">
        <f>_xlfn.XLOOKUP($B12,'Details Critères'!$B$3:$B$39,'Details Critères'!C$3:C$39,,0)</f>
        <v>J'assure la disponibilité de la documentation technique, y compris en cas de disparition de ma structure</v>
      </c>
      <c r="D12" s="24" t="str">
        <f>_xlfn.XLOOKUP($B12,'Details Critères'!$B$3:$B$39,'Details Critères'!D$3:D$39,,0)</f>
        <v>Durée de disponibilité garantie de la documentation technique, y compris disponibilité des plans pour impression 3D le cas échéant</v>
      </c>
      <c r="E12" s="24" t="str">
        <f>_xlfn.XLOOKUP($B12,'Details Critères'!$B$3:$B$39,'Details Critères'!E$3:E$39,,0)</f>
        <v>12 ans et plus</v>
      </c>
      <c r="F12" s="24" t="str">
        <f>_xlfn.XLOOKUP($B12,'Details Critères'!$B$3:$B$39,'Details Critères'!F$3:F$39,,0)</f>
        <v>11 ans</v>
      </c>
      <c r="G12" s="24" t="str">
        <f>_xlfn.XLOOKUP($B12,'Details Critères'!$B$3:$B$39,'Details Critères'!G$3:G$39,,0)</f>
        <v>10 ans</v>
      </c>
      <c r="H12" s="24" t="str">
        <f>_xlfn.XLOOKUP($B12,'Details Critères'!$B$3:$B$39,'Details Critères'!H$3:H$39,,0)</f>
        <v>9 ans ou moins</v>
      </c>
      <c r="I12" s="66">
        <f>1-I3-I7</f>
        <v>0.5</v>
      </c>
      <c r="J12" s="30">
        <v>0.4</v>
      </c>
      <c r="K12" s="30">
        <f>I$12*J12</f>
        <v>0.2</v>
      </c>
      <c r="L12" s="19"/>
      <c r="M12" s="63">
        <f>SUMPRODUCT(J12:J14,L12:L14)</f>
        <v>0</v>
      </c>
    </row>
    <row r="13" spans="1:13" ht="48.9" x14ac:dyDescent="0.25">
      <c r="A13" s="54"/>
      <c r="B13" s="5" t="s">
        <v>99</v>
      </c>
      <c r="C13" s="24" t="str">
        <f>_xlfn.XLOOKUP($B13,'Details Critères'!$B$3:$B$39,'Details Critères'!C$3:C$39,,0)</f>
        <v xml:space="preserve">Je dispose d'un réseau de garages ou ateliers habilités pour la réparation du véhicule </v>
      </c>
      <c r="D13" s="24" t="str">
        <f>_xlfn.XLOOKUP($B13,'Details Critères'!$B$3:$B$39,'Details Critères'!D$3:D$39,,0)</f>
        <v>Réseau de garages habilités pour la réparation du véhicule</v>
      </c>
      <c r="E13" s="24" t="str">
        <f>_xlfn.XLOOKUP($B13,'Details Critères'!$B$3:$B$39,'Details Critères'!E$3:E$39,,0)</f>
        <v>Plus de 10 garages en France</v>
      </c>
      <c r="F13" s="24" t="str">
        <f>_xlfn.XLOOKUP($B13,'Details Critères'!$B$3:$B$39,'Details Critères'!F$3:F$39,,0)</f>
        <v>Au moins un garage en France</v>
      </c>
      <c r="G13" s="24" t="str">
        <f>_xlfn.XLOOKUP($B13,'Details Critères'!$B$3:$B$39,'Details Critères'!G$3:G$39,,0)</f>
        <v>Au moins un garage en UE</v>
      </c>
      <c r="H13" s="24" t="str">
        <f>_xlfn.XLOOKUP($B13,'Details Critères'!$B$3:$B$39,'Details Critères'!H$3:H$39,,0)</f>
        <v>Pas de garage en UE</v>
      </c>
      <c r="I13" s="67"/>
      <c r="J13" s="30">
        <v>0.3</v>
      </c>
      <c r="K13" s="30">
        <f>I$12*J13</f>
        <v>0.15</v>
      </c>
      <c r="L13" s="19"/>
      <c r="M13" s="64"/>
    </row>
    <row r="14" spans="1:13" ht="48.9" x14ac:dyDescent="0.25">
      <c r="A14" s="65"/>
      <c r="B14" s="5" t="s">
        <v>122</v>
      </c>
      <c r="C14" s="24" t="str">
        <f>_xlfn.XLOOKUP($B14,'Details Critères'!$B$3:$B$39,'Details Critères'!C$3:C$39,,0)</f>
        <v xml:space="preserve">J'assure la disponibilité des pièces détachées dans le temps (hors batterie) </v>
      </c>
      <c r="D14" s="24" t="str">
        <f>_xlfn.XLOOKUP($B14,'Details Critères'!$B$3:$B$39,'Details Critères'!D$3:D$39,,0)</f>
        <v>Durée de disponibilité garantie des pièces détachées (hors batterie) (10/10 si pas de pièce propriétaire)</v>
      </c>
      <c r="E14" s="24" t="str">
        <f>_xlfn.XLOOKUP($B14,'Details Critères'!$B$3:$B$39,'Details Critères'!E$3:E$39,,0)</f>
        <v>7 ans ou plus</v>
      </c>
      <c r="F14" s="24" t="str">
        <f>_xlfn.XLOOKUP($B14,'Details Critères'!$B$3:$B$39,'Details Critères'!F$3:F$39,,0)</f>
        <v>5 ou 6 ans</v>
      </c>
      <c r="G14" s="24" t="str">
        <f>_xlfn.XLOOKUP($B14,'Details Critères'!$B$3:$B$39,'Details Critères'!G$3:G$39,,0)</f>
        <v>3 ou 4 ans</v>
      </c>
      <c r="H14" s="24" t="str">
        <f>_xlfn.XLOOKUP($B14,'Details Critères'!$B$3:$B$39,'Details Critères'!H$3:H$39,,0)</f>
        <v>2 ans ou moins</v>
      </c>
      <c r="I14" s="68"/>
      <c r="J14" s="30">
        <v>0.3</v>
      </c>
      <c r="K14" s="30">
        <f>I$12*J14</f>
        <v>0.15</v>
      </c>
      <c r="L14" s="19"/>
      <c r="M14" s="69"/>
    </row>
    <row r="15" spans="1:13" x14ac:dyDescent="0.25">
      <c r="M15" s="7"/>
    </row>
    <row r="16" spans="1:13" x14ac:dyDescent="0.25">
      <c r="M16" s="7"/>
    </row>
    <row r="17" spans="13:13" x14ac:dyDescent="0.25">
      <c r="M17" s="7"/>
    </row>
    <row r="18" spans="13:13" x14ac:dyDescent="0.25">
      <c r="M18" s="7"/>
    </row>
    <row r="19" spans="13:13" x14ac:dyDescent="0.25">
      <c r="M19" s="7"/>
    </row>
    <row r="20" spans="13:13" x14ac:dyDescent="0.25">
      <c r="M20" s="7"/>
    </row>
  </sheetData>
  <mergeCells count="14">
    <mergeCell ref="I1:K1"/>
    <mergeCell ref="A3:A6"/>
    <mergeCell ref="I3:I6"/>
    <mergeCell ref="M3:M6"/>
    <mergeCell ref="A1:A2"/>
    <mergeCell ref="B1:B2"/>
    <mergeCell ref="C1:C2"/>
    <mergeCell ref="D1:D2"/>
    <mergeCell ref="A7:A11"/>
    <mergeCell ref="I7:I11"/>
    <mergeCell ref="M7:M11"/>
    <mergeCell ref="A12:A14"/>
    <mergeCell ref="I12:I14"/>
    <mergeCell ref="M12:M1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ACD2-6CE3-4767-95E8-4FD7DE1F45B2}">
  <sheetPr>
    <outlinePr summaryRight="0"/>
  </sheetPr>
  <dimension ref="A1:J20"/>
  <sheetViews>
    <sheetView showGridLines="0" zoomScale="85" zoomScaleNormal="85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E1" sqref="A1:XFD1"/>
    </sheetView>
  </sheetViews>
  <sheetFormatPr baseColWidth="10" defaultColWidth="11.5" defaultRowHeight="16.3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8" width="24.125" style="4" customWidth="1"/>
    <col min="9" max="9" width="44.125" style="37" customWidth="1"/>
    <col min="10" max="10" width="32.75" style="42" customWidth="1"/>
    <col min="11" max="16384" width="11.5" style="4"/>
  </cols>
  <sheetData>
    <row r="1" spans="1:10" ht="19.05" x14ac:dyDescent="0.25">
      <c r="A1" s="57" t="s">
        <v>89</v>
      </c>
      <c r="B1" s="57"/>
      <c r="C1" s="59" t="s">
        <v>17</v>
      </c>
      <c r="D1" s="58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77" t="s">
        <v>19</v>
      </c>
      <c r="J1" s="79" t="s">
        <v>45</v>
      </c>
    </row>
    <row r="2" spans="1:10" ht="19.05" x14ac:dyDescent="0.25">
      <c r="A2" s="57"/>
      <c r="B2" s="57"/>
      <c r="C2" s="59"/>
      <c r="D2" s="58"/>
      <c r="E2" s="15">
        <v>10</v>
      </c>
      <c r="F2" s="16">
        <v>6</v>
      </c>
      <c r="G2" s="17">
        <v>3</v>
      </c>
      <c r="H2" s="18">
        <v>0</v>
      </c>
      <c r="I2" s="78"/>
      <c r="J2" s="80"/>
    </row>
    <row r="3" spans="1:10" ht="97.85" x14ac:dyDescent="0.25">
      <c r="A3" s="53" t="s">
        <v>138</v>
      </c>
      <c r="B3" s="5" t="s">
        <v>33</v>
      </c>
      <c r="C3" s="24" t="s">
        <v>56</v>
      </c>
      <c r="D3" s="25" t="s">
        <v>2</v>
      </c>
      <c r="E3" s="20" t="s">
        <v>24</v>
      </c>
      <c r="F3" s="20" t="s">
        <v>150</v>
      </c>
      <c r="G3" s="20" t="s">
        <v>48</v>
      </c>
      <c r="H3" s="20" t="s">
        <v>150</v>
      </c>
      <c r="I3" s="33" t="s">
        <v>3</v>
      </c>
      <c r="J3" s="20"/>
    </row>
    <row r="4" spans="1:10" ht="65.25" x14ac:dyDescent="0.25">
      <c r="A4" s="54"/>
      <c r="B4" s="5" t="s">
        <v>34</v>
      </c>
      <c r="C4" s="24" t="s">
        <v>47</v>
      </c>
      <c r="D4" s="25" t="s">
        <v>4</v>
      </c>
      <c r="E4" s="20" t="s">
        <v>26</v>
      </c>
      <c r="F4" s="20" t="s">
        <v>150</v>
      </c>
      <c r="G4" s="20" t="s">
        <v>29</v>
      </c>
      <c r="H4" s="20" t="s">
        <v>25</v>
      </c>
      <c r="I4" s="33" t="s">
        <v>5</v>
      </c>
      <c r="J4" s="38"/>
    </row>
    <row r="5" spans="1:10" ht="48.9" x14ac:dyDescent="0.25">
      <c r="A5" s="54"/>
      <c r="B5" s="5" t="s">
        <v>35</v>
      </c>
      <c r="C5" s="24" t="s">
        <v>81</v>
      </c>
      <c r="D5" s="25" t="s">
        <v>54</v>
      </c>
      <c r="E5" s="20" t="s">
        <v>101</v>
      </c>
      <c r="F5" s="20" t="s">
        <v>102</v>
      </c>
      <c r="G5" s="20" t="s">
        <v>103</v>
      </c>
      <c r="H5" s="20" t="s">
        <v>104</v>
      </c>
      <c r="I5" s="33" t="s">
        <v>55</v>
      </c>
      <c r="J5" s="20"/>
    </row>
    <row r="6" spans="1:10" ht="65.25" x14ac:dyDescent="0.25">
      <c r="A6" s="54"/>
      <c r="B6" s="5" t="s">
        <v>53</v>
      </c>
      <c r="C6" s="24" t="s">
        <v>13</v>
      </c>
      <c r="D6" s="25" t="s">
        <v>0</v>
      </c>
      <c r="E6" s="20" t="s">
        <v>86</v>
      </c>
      <c r="F6" s="20" t="s">
        <v>85</v>
      </c>
      <c r="G6" s="20" t="s">
        <v>87</v>
      </c>
      <c r="H6" s="20" t="s">
        <v>88</v>
      </c>
      <c r="I6" s="33" t="s">
        <v>1</v>
      </c>
      <c r="J6" s="20" t="s">
        <v>131</v>
      </c>
    </row>
    <row r="7" spans="1:10" ht="81.55" x14ac:dyDescent="0.25">
      <c r="A7" s="65"/>
      <c r="B7" s="5" t="s">
        <v>137</v>
      </c>
      <c r="C7" s="26" t="s">
        <v>148</v>
      </c>
      <c r="D7" s="25" t="s">
        <v>146</v>
      </c>
      <c r="E7" s="20" t="s">
        <v>143</v>
      </c>
      <c r="F7" s="20" t="s">
        <v>149</v>
      </c>
      <c r="G7" s="20" t="s">
        <v>144</v>
      </c>
      <c r="H7" s="20" t="s">
        <v>145</v>
      </c>
      <c r="I7" s="33"/>
      <c r="J7" s="20"/>
    </row>
    <row r="8" spans="1:10" ht="81.55" customHeight="1" x14ac:dyDescent="0.25">
      <c r="A8" s="74" t="s">
        <v>40</v>
      </c>
      <c r="B8" s="5" t="s">
        <v>36</v>
      </c>
      <c r="C8" s="24" t="s">
        <v>14</v>
      </c>
      <c r="D8" s="9" t="s">
        <v>66</v>
      </c>
      <c r="E8" s="21" t="s">
        <v>59</v>
      </c>
      <c r="F8" s="21" t="s">
        <v>60</v>
      </c>
      <c r="G8" s="21" t="s">
        <v>61</v>
      </c>
      <c r="H8" s="21" t="s">
        <v>62</v>
      </c>
      <c r="I8" s="34" t="s">
        <v>6</v>
      </c>
      <c r="J8" s="21" t="s">
        <v>132</v>
      </c>
    </row>
    <row r="9" spans="1:10" ht="65.25" x14ac:dyDescent="0.25">
      <c r="A9" s="75"/>
      <c r="B9" s="5" t="s">
        <v>37</v>
      </c>
      <c r="C9" s="24" t="s">
        <v>49</v>
      </c>
      <c r="D9" s="9" t="s">
        <v>111</v>
      </c>
      <c r="E9" s="21" t="s">
        <v>112</v>
      </c>
      <c r="F9" s="21" t="s">
        <v>113</v>
      </c>
      <c r="G9" s="21" t="s">
        <v>114</v>
      </c>
      <c r="H9" s="21" t="s">
        <v>108</v>
      </c>
      <c r="I9" s="48" t="s">
        <v>118</v>
      </c>
      <c r="J9" s="21" t="s">
        <v>132</v>
      </c>
    </row>
    <row r="10" spans="1:10" ht="65.25" x14ac:dyDescent="0.25">
      <c r="A10" s="75"/>
      <c r="B10" s="22" t="s">
        <v>38</v>
      </c>
      <c r="C10" s="26" t="s">
        <v>67</v>
      </c>
      <c r="D10" s="27" t="s">
        <v>68</v>
      </c>
      <c r="E10" s="21" t="s">
        <v>61</v>
      </c>
      <c r="F10" s="21" t="s">
        <v>150</v>
      </c>
      <c r="G10" s="21" t="s">
        <v>69</v>
      </c>
      <c r="H10" s="21" t="s">
        <v>83</v>
      </c>
      <c r="I10" s="35" t="s">
        <v>8</v>
      </c>
      <c r="J10" s="21" t="s">
        <v>132</v>
      </c>
    </row>
    <row r="11" spans="1:10" ht="48.9" x14ac:dyDescent="0.25">
      <c r="A11" s="75"/>
      <c r="B11" s="22" t="s">
        <v>152</v>
      </c>
      <c r="C11" s="24" t="s">
        <v>15</v>
      </c>
      <c r="D11" s="9" t="s">
        <v>9</v>
      </c>
      <c r="E11" s="21" t="s">
        <v>50</v>
      </c>
      <c r="F11" s="21" t="s">
        <v>51</v>
      </c>
      <c r="G11" s="21" t="s">
        <v>150</v>
      </c>
      <c r="H11" s="21" t="s">
        <v>25</v>
      </c>
      <c r="I11" s="34" t="s">
        <v>10</v>
      </c>
      <c r="J11" s="21" t="s">
        <v>132</v>
      </c>
    </row>
    <row r="12" spans="1:10" ht="81.55" x14ac:dyDescent="0.25">
      <c r="A12" s="75"/>
      <c r="B12" s="22" t="s">
        <v>39</v>
      </c>
      <c r="C12" s="24" t="s">
        <v>16</v>
      </c>
      <c r="D12" s="9" t="s">
        <v>11</v>
      </c>
      <c r="E12" s="6" t="s">
        <v>84</v>
      </c>
      <c r="F12" s="6" t="s">
        <v>32</v>
      </c>
      <c r="G12" s="6" t="s">
        <v>31</v>
      </c>
      <c r="H12" s="6" t="s">
        <v>30</v>
      </c>
      <c r="I12" s="36"/>
      <c r="J12" s="21"/>
    </row>
    <row r="13" spans="1:10" ht="32.6" customHeight="1" x14ac:dyDescent="0.25">
      <c r="A13" s="75"/>
      <c r="B13" s="5"/>
      <c r="C13" s="24" t="s">
        <v>65</v>
      </c>
      <c r="D13" s="9" t="s">
        <v>7</v>
      </c>
      <c r="E13" s="21" t="s">
        <v>82</v>
      </c>
      <c r="F13" s="21" t="s">
        <v>150</v>
      </c>
      <c r="G13" s="21" t="s">
        <v>150</v>
      </c>
      <c r="H13" s="21" t="s">
        <v>25</v>
      </c>
      <c r="I13" s="34" t="s">
        <v>80</v>
      </c>
      <c r="J13" s="21" t="s">
        <v>133</v>
      </c>
    </row>
    <row r="14" spans="1:10" ht="48.9" x14ac:dyDescent="0.25">
      <c r="A14" s="75"/>
      <c r="B14" s="5"/>
      <c r="C14" s="24" t="s">
        <v>128</v>
      </c>
      <c r="D14" s="9" t="s">
        <v>119</v>
      </c>
      <c r="E14" s="21" t="s">
        <v>70</v>
      </c>
      <c r="F14" s="21" t="s">
        <v>121</v>
      </c>
      <c r="G14" s="21" t="s">
        <v>150</v>
      </c>
      <c r="H14" s="21" t="s">
        <v>150</v>
      </c>
      <c r="I14" s="34" t="s">
        <v>120</v>
      </c>
      <c r="J14" s="21" t="s">
        <v>134</v>
      </c>
    </row>
    <row r="15" spans="1:10" ht="46.55" customHeight="1" x14ac:dyDescent="0.25">
      <c r="A15" s="75"/>
      <c r="B15" s="5"/>
      <c r="C15" s="24" t="s">
        <v>49</v>
      </c>
      <c r="D15" s="9" t="s">
        <v>109</v>
      </c>
      <c r="E15" s="21" t="s">
        <v>105</v>
      </c>
      <c r="F15" s="21" t="s">
        <v>150</v>
      </c>
      <c r="G15" s="21" t="s">
        <v>106</v>
      </c>
      <c r="H15" s="21" t="s">
        <v>150</v>
      </c>
      <c r="I15" s="48" t="s">
        <v>118</v>
      </c>
      <c r="J15" s="40"/>
    </row>
    <row r="16" spans="1:10" ht="48.9" x14ac:dyDescent="0.25">
      <c r="A16" s="76"/>
      <c r="B16" s="5"/>
      <c r="C16" s="24" t="s">
        <v>49</v>
      </c>
      <c r="D16" s="9" t="s">
        <v>110</v>
      </c>
      <c r="E16" s="21" t="s">
        <v>115</v>
      </c>
      <c r="F16" s="21" t="s">
        <v>116</v>
      </c>
      <c r="G16" s="21" t="s">
        <v>117</v>
      </c>
      <c r="H16" s="21" t="s">
        <v>107</v>
      </c>
      <c r="I16" s="48" t="s">
        <v>118</v>
      </c>
      <c r="J16" s="40"/>
    </row>
    <row r="17" spans="1:10" ht="65.25" x14ac:dyDescent="0.25">
      <c r="A17" s="53" t="s">
        <v>18</v>
      </c>
      <c r="B17" s="5" t="s">
        <v>43</v>
      </c>
      <c r="C17" s="24" t="s">
        <v>127</v>
      </c>
      <c r="D17" s="9" t="s">
        <v>74</v>
      </c>
      <c r="E17" s="21" t="s">
        <v>70</v>
      </c>
      <c r="F17" s="21" t="s">
        <v>71</v>
      </c>
      <c r="G17" s="21" t="s">
        <v>72</v>
      </c>
      <c r="H17" s="21" t="s">
        <v>73</v>
      </c>
      <c r="I17" s="34" t="s">
        <v>12</v>
      </c>
      <c r="J17" s="39"/>
    </row>
    <row r="18" spans="1:10" ht="48.9" x14ac:dyDescent="0.25">
      <c r="A18" s="54"/>
      <c r="B18" s="5" t="s">
        <v>99</v>
      </c>
      <c r="C18" s="26" t="s">
        <v>147</v>
      </c>
      <c r="D18" s="9" t="s">
        <v>141</v>
      </c>
      <c r="E18" s="6" t="s">
        <v>142</v>
      </c>
      <c r="F18" s="6" t="s">
        <v>32</v>
      </c>
      <c r="G18" s="6" t="s">
        <v>31</v>
      </c>
      <c r="H18" s="6" t="s">
        <v>30</v>
      </c>
      <c r="I18" s="36" t="s">
        <v>52</v>
      </c>
      <c r="J18" s="21"/>
    </row>
    <row r="19" spans="1:10" ht="32.6" x14ac:dyDescent="0.25">
      <c r="A19" s="54"/>
      <c r="B19" s="5" t="s">
        <v>44</v>
      </c>
      <c r="C19" s="24" t="s">
        <v>139</v>
      </c>
      <c r="D19" s="9" t="s">
        <v>140</v>
      </c>
      <c r="E19" s="47" t="s">
        <v>151</v>
      </c>
      <c r="F19" s="47" t="s">
        <v>151</v>
      </c>
      <c r="G19" s="47" t="s">
        <v>151</v>
      </c>
      <c r="H19" s="47" t="s">
        <v>151</v>
      </c>
      <c r="I19" s="32" t="s">
        <v>79</v>
      </c>
      <c r="J19" s="41"/>
    </row>
    <row r="20" spans="1:10" ht="48.9" x14ac:dyDescent="0.25">
      <c r="A20" s="65"/>
      <c r="B20" s="5" t="s">
        <v>122</v>
      </c>
      <c r="C20" s="26" t="s">
        <v>97</v>
      </c>
      <c r="D20" s="9" t="s">
        <v>129</v>
      </c>
      <c r="E20" s="6" t="s">
        <v>75</v>
      </c>
      <c r="F20" s="6" t="s">
        <v>76</v>
      </c>
      <c r="G20" s="6" t="s">
        <v>77</v>
      </c>
      <c r="H20" s="6" t="s">
        <v>78</v>
      </c>
      <c r="I20" s="36" t="s">
        <v>98</v>
      </c>
      <c r="J20" s="27" t="s">
        <v>100</v>
      </c>
    </row>
  </sheetData>
  <mergeCells count="9">
    <mergeCell ref="C1:C2"/>
    <mergeCell ref="D1:D2"/>
    <mergeCell ref="I1:I2"/>
    <mergeCell ref="J1:J2"/>
    <mergeCell ref="A17:A20"/>
    <mergeCell ref="A8:A16"/>
    <mergeCell ref="A3:A7"/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6CFF-E438-4F50-B2BB-FEA8655D18AD}">
  <dimension ref="B1:E15"/>
  <sheetViews>
    <sheetView showGridLines="0" workbookViewId="0">
      <selection activeCell="B16" sqref="B16"/>
    </sheetView>
  </sheetViews>
  <sheetFormatPr baseColWidth="10" defaultColWidth="10.875" defaultRowHeight="14.3" x14ac:dyDescent="0.25"/>
  <cols>
    <col min="1" max="1" width="10.875" style="3"/>
    <col min="2" max="2" width="26" style="3" customWidth="1"/>
    <col min="3" max="4" width="13.5" style="3" customWidth="1"/>
    <col min="5" max="5" width="36.125" style="3" customWidth="1"/>
    <col min="6" max="16384" width="10.875" style="3"/>
  </cols>
  <sheetData>
    <row r="1" spans="2:5" x14ac:dyDescent="0.25">
      <c r="B1" s="31" t="s">
        <v>90</v>
      </c>
      <c r="C1" s="31"/>
    </row>
    <row r="2" spans="2:5" ht="38.549999999999997" customHeight="1" x14ac:dyDescent="0.25">
      <c r="B2" s="1" t="s">
        <v>27</v>
      </c>
      <c r="C2" s="81" t="s">
        <v>28</v>
      </c>
      <c r="D2" s="81"/>
      <c r="E2" s="81"/>
    </row>
    <row r="3" spans="2:5" ht="38.549999999999997" customHeight="1" x14ac:dyDescent="0.25">
      <c r="B3" s="1" t="s">
        <v>42</v>
      </c>
      <c r="C3" s="81" t="s">
        <v>41</v>
      </c>
      <c r="D3" s="81"/>
      <c r="E3" s="81"/>
    </row>
    <row r="5" spans="2:5" ht="28.55" x14ac:dyDescent="0.25">
      <c r="B5" s="43" t="s">
        <v>153</v>
      </c>
      <c r="C5" s="44" t="s">
        <v>123</v>
      </c>
      <c r="D5" s="44" t="s">
        <v>124</v>
      </c>
    </row>
    <row r="6" spans="2:5" x14ac:dyDescent="0.25">
      <c r="B6" s="2" t="s">
        <v>154</v>
      </c>
      <c r="C6" s="2">
        <v>0</v>
      </c>
      <c r="D6" s="2">
        <v>0.5</v>
      </c>
    </row>
    <row r="7" spans="2:5" x14ac:dyDescent="0.25">
      <c r="B7" s="2" t="s">
        <v>155</v>
      </c>
      <c r="C7" s="2">
        <v>10</v>
      </c>
      <c r="D7" s="2">
        <v>1.5</v>
      </c>
    </row>
    <row r="9" spans="2:5" x14ac:dyDescent="0.25">
      <c r="B9" s="31" t="s">
        <v>93</v>
      </c>
      <c r="C9" s="31"/>
    </row>
    <row r="10" spans="2:5" x14ac:dyDescent="0.25">
      <c r="B10" s="82" t="s">
        <v>94</v>
      </c>
      <c r="C10" s="83">
        <v>1000</v>
      </c>
    </row>
    <row r="11" spans="2:5" x14ac:dyDescent="0.25">
      <c r="B11" s="82" t="s">
        <v>91</v>
      </c>
      <c r="C11" s="83">
        <v>60</v>
      </c>
    </row>
    <row r="12" spans="2:5" x14ac:dyDescent="0.25">
      <c r="B12" s="82" t="s">
        <v>92</v>
      </c>
      <c r="C12" s="84">
        <f>C10*C11</f>
        <v>60000</v>
      </c>
    </row>
    <row r="13" spans="2:5" x14ac:dyDescent="0.25">
      <c r="B13" s="82" t="s">
        <v>95</v>
      </c>
      <c r="C13" s="85">
        <v>17</v>
      </c>
    </row>
    <row r="14" spans="2:5" x14ac:dyDescent="0.25">
      <c r="B14" s="82" t="s">
        <v>96</v>
      </c>
      <c r="C14" s="84">
        <f>C12*100/C13</f>
        <v>352941.17647058825</v>
      </c>
    </row>
    <row r="15" spans="2:5" x14ac:dyDescent="0.25">
      <c r="B15"/>
      <c r="C15"/>
    </row>
  </sheetData>
  <mergeCells count="2">
    <mergeCell ref="C2:E2"/>
    <mergeCell ref="C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CBF2-4D1D-4A2D-93B9-133B6419AD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982FE4-6A73-4923-AAAC-D22A570B13F8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8a5b8b8d-337d-400e-bf33-e07634618a7c"/>
  </ds:schemaRefs>
</ds:datastoreItem>
</file>

<file path=customXml/itemProps3.xml><?xml version="1.0" encoding="utf-8"?>
<ds:datastoreItem xmlns:ds="http://schemas.openxmlformats.org/officeDocument/2006/customXml" ds:itemID="{941AC25A-AEC2-40C9-B3E5-4B76E08A8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VAE L1e-A</vt:lpstr>
      <vt:lpstr>Batterie &lt;25kg, hors VAE L1e-A</vt:lpstr>
      <vt:lpstr>Batterie &gt;25kg</vt:lpstr>
      <vt:lpstr>Details Critères</vt:lpstr>
      <vt:lpstr>Notes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BOESPFLUG</dc:creator>
  <cp:lastModifiedBy>Nicolas Planchenault</cp:lastModifiedBy>
  <dcterms:created xsi:type="dcterms:W3CDTF">2024-07-19T07:19:39Z</dcterms:created>
  <dcterms:modified xsi:type="dcterms:W3CDTF">2026-06-22T11:33:30Z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