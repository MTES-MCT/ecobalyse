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andeelco.sharepoint.com/sites/KandeelConseil/Shared Documents/General/C-Climat-En/C129 Ecobalyse/3_Mission/Vehicules/Analyse internes/Batteries/"/>
    </mc:Choice>
  </mc:AlternateContent>
  <xr:revisionPtr revIDLastSave="5190" documentId="8_{8C47AAA3-BC2A-46DA-84E8-620723F271F1}" xr6:coauthVersionLast="47" xr6:coauthVersionMax="47" xr10:uidLastSave="{847C338D-91B1-442D-B42A-8D1E84561729}"/>
  <bookViews>
    <workbookView xWindow="25974" yWindow="-68" windowWidth="26301" windowHeight="14169" tabRatio="802" xr2:uid="{F9C9065C-BDA6-4CB2-8539-3A6681CC3239}"/>
  </bookViews>
  <sheets>
    <sheet name="ReadMe" sheetId="12" r:id="rId1"/>
    <sheet name="EV Battery" sheetId="3" r:id="rId2"/>
    <sheet name="Cell &amp; CAM" sheetId="1" r:id="rId3"/>
    <sheet name="&lt;1kWh battery" sheetId="8" r:id="rId4"/>
    <sheet name="cell recycling" sheetId="5" r:id="rId5"/>
    <sheet name="BOM EOL - DA" sheetId="6" r:id="rId6"/>
    <sheet name="Background data" sheetId="7" r:id="rId7"/>
    <sheet name="BOM &amp; cycles" sheetId="2" r:id="rId8"/>
    <sheet name="GREET input data" sheetId="4" r:id="rId9"/>
  </sheets>
  <definedNames>
    <definedName name="_xlnm._FilterDatabase" localSheetId="6" hidden="1">'Background data'!$A$46:$L$87</definedName>
    <definedName name="Battery_Chemistry">'BOM &amp; cycles'!$I$2:$U$2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8" i="3"/>
  <c r="J28" i="2"/>
  <c r="K28" i="2"/>
  <c r="L28" i="2"/>
  <c r="M28" i="2"/>
  <c r="N28" i="2"/>
  <c r="O28" i="2"/>
  <c r="P28" i="2"/>
  <c r="Q28" i="2"/>
  <c r="R28" i="2"/>
  <c r="I28" i="2"/>
  <c r="T8" i="1"/>
  <c r="U8" i="1"/>
  <c r="T9" i="1"/>
  <c r="U9" i="1"/>
  <c r="T10" i="1"/>
  <c r="U10" i="1"/>
  <c r="T11" i="1"/>
  <c r="U11" i="1"/>
  <c r="T12" i="1"/>
  <c r="U12" i="1"/>
  <c r="T13" i="1"/>
  <c r="T67" i="1" s="1"/>
  <c r="U13" i="1"/>
  <c r="U67" i="1" s="1"/>
  <c r="T14" i="1"/>
  <c r="U14" i="1"/>
  <c r="T15" i="1"/>
  <c r="U15" i="1"/>
  <c r="T16" i="1"/>
  <c r="U16" i="1"/>
  <c r="T17" i="1"/>
  <c r="U17" i="1"/>
  <c r="S15" i="1"/>
  <c r="S16" i="1"/>
  <c r="S17" i="1"/>
  <c r="S14" i="1"/>
  <c r="S9" i="1"/>
  <c r="U66" i="1"/>
  <c r="S10" i="1"/>
  <c r="S11" i="1"/>
  <c r="S12" i="1"/>
  <c r="S13" i="1"/>
  <c r="S8" i="1"/>
  <c r="C9" i="3"/>
  <c r="R24" i="3"/>
  <c r="S24" i="3"/>
  <c r="T24" i="3"/>
  <c r="R25" i="3"/>
  <c r="S25" i="3"/>
  <c r="T25" i="3"/>
  <c r="R26" i="3"/>
  <c r="S26" i="3"/>
  <c r="T26" i="3"/>
  <c r="R27" i="3"/>
  <c r="S27" i="3"/>
  <c r="T27" i="3"/>
  <c r="R28" i="3"/>
  <c r="S28" i="3"/>
  <c r="T28" i="3"/>
  <c r="R29" i="3"/>
  <c r="S29" i="3"/>
  <c r="T29" i="3"/>
  <c r="R30" i="3"/>
  <c r="S30" i="3"/>
  <c r="T30" i="3"/>
  <c r="R31" i="3"/>
  <c r="S31" i="3"/>
  <c r="T31" i="3"/>
  <c r="R32" i="3"/>
  <c r="S32" i="3"/>
  <c r="T32" i="3"/>
  <c r="R33" i="3"/>
  <c r="S33" i="3"/>
  <c r="T33" i="3"/>
  <c r="R34" i="3"/>
  <c r="S34" i="3"/>
  <c r="T34" i="3"/>
  <c r="R35" i="3"/>
  <c r="S35" i="3"/>
  <c r="T35" i="3"/>
  <c r="R18" i="3"/>
  <c r="S18" i="3"/>
  <c r="T18" i="3"/>
  <c r="R19" i="3"/>
  <c r="S19" i="3"/>
  <c r="T19" i="3"/>
  <c r="R22" i="2"/>
  <c r="Q22" i="2"/>
  <c r="P22" i="2"/>
  <c r="O22" i="2"/>
  <c r="N22" i="2"/>
  <c r="M22" i="2"/>
  <c r="L22" i="2"/>
  <c r="K22" i="2"/>
  <c r="J22" i="2"/>
  <c r="I22" i="2"/>
  <c r="R21" i="2"/>
  <c r="Q21" i="2"/>
  <c r="P21" i="2"/>
  <c r="O21" i="2"/>
  <c r="N21" i="2"/>
  <c r="M21" i="2"/>
  <c r="L21" i="2"/>
  <c r="K21" i="2"/>
  <c r="J21" i="2"/>
  <c r="I21" i="2"/>
  <c r="R20" i="2"/>
  <c r="Q20" i="2"/>
  <c r="P20" i="2"/>
  <c r="O20" i="2"/>
  <c r="N20" i="2"/>
  <c r="M20" i="2"/>
  <c r="L20" i="2"/>
  <c r="K20" i="2"/>
  <c r="J20" i="2"/>
  <c r="I20" i="2"/>
  <c r="R19" i="2"/>
  <c r="Q19" i="2"/>
  <c r="P19" i="2"/>
  <c r="O19" i="2"/>
  <c r="N19" i="2"/>
  <c r="M19" i="2"/>
  <c r="L19" i="2"/>
  <c r="K19" i="2"/>
  <c r="J19" i="2"/>
  <c r="I19" i="2"/>
  <c r="R18" i="2"/>
  <c r="Q18" i="2"/>
  <c r="P18" i="2"/>
  <c r="O18" i="2"/>
  <c r="N18" i="2"/>
  <c r="M18" i="2"/>
  <c r="L18" i="2"/>
  <c r="K18" i="2"/>
  <c r="J18" i="2"/>
  <c r="I18" i="2"/>
  <c r="R17" i="2"/>
  <c r="Q17" i="2"/>
  <c r="P17" i="2"/>
  <c r="O17" i="2"/>
  <c r="N17" i="2"/>
  <c r="M17" i="2"/>
  <c r="L17" i="2"/>
  <c r="K17" i="2"/>
  <c r="J17" i="2"/>
  <c r="I17" i="2"/>
  <c r="R16" i="2"/>
  <c r="Q16" i="2"/>
  <c r="P16" i="2"/>
  <c r="O16" i="2"/>
  <c r="N16" i="2"/>
  <c r="M16" i="2"/>
  <c r="L16" i="2"/>
  <c r="K16" i="2"/>
  <c r="J16" i="2"/>
  <c r="I16" i="2"/>
  <c r="R15" i="2"/>
  <c r="Q15" i="2"/>
  <c r="P15" i="2"/>
  <c r="O15" i="2"/>
  <c r="N15" i="2"/>
  <c r="M15" i="2"/>
  <c r="L15" i="2"/>
  <c r="K15" i="2"/>
  <c r="J15" i="2"/>
  <c r="I15" i="2"/>
  <c r="R14" i="2"/>
  <c r="Q14" i="2"/>
  <c r="P14" i="2"/>
  <c r="O14" i="2"/>
  <c r="N14" i="2"/>
  <c r="M14" i="2"/>
  <c r="L14" i="2"/>
  <c r="K14" i="2"/>
  <c r="J14" i="2"/>
  <c r="I14" i="2"/>
  <c r="R13" i="2"/>
  <c r="Q13" i="2"/>
  <c r="P13" i="2"/>
  <c r="O13" i="2"/>
  <c r="N13" i="2"/>
  <c r="M13" i="2"/>
  <c r="L13" i="2"/>
  <c r="K13" i="2"/>
  <c r="J13" i="2"/>
  <c r="I13" i="2"/>
  <c r="R12" i="2"/>
  <c r="Q12" i="2"/>
  <c r="P12" i="2"/>
  <c r="O12" i="2"/>
  <c r="N12" i="2"/>
  <c r="M12" i="2"/>
  <c r="L12" i="2"/>
  <c r="K12" i="2"/>
  <c r="J12" i="2"/>
  <c r="I12" i="2"/>
  <c r="R11" i="2"/>
  <c r="Q11" i="2"/>
  <c r="P11" i="2"/>
  <c r="O11" i="2"/>
  <c r="N11" i="2"/>
  <c r="M11" i="2"/>
  <c r="L11" i="2"/>
  <c r="K11" i="2"/>
  <c r="J11" i="2"/>
  <c r="I11" i="2"/>
  <c r="R10" i="2"/>
  <c r="Q10" i="2"/>
  <c r="P10" i="2"/>
  <c r="O10" i="2"/>
  <c r="N10" i="2"/>
  <c r="M10" i="2"/>
  <c r="L10" i="2"/>
  <c r="K10" i="2"/>
  <c r="J10" i="2"/>
  <c r="I10" i="2"/>
  <c r="R9" i="2"/>
  <c r="Q9" i="2"/>
  <c r="P9" i="2"/>
  <c r="O9" i="2"/>
  <c r="N9" i="2"/>
  <c r="M9" i="2"/>
  <c r="L9" i="2"/>
  <c r="K9" i="2"/>
  <c r="J9" i="2"/>
  <c r="I9" i="2"/>
  <c r="R8" i="2"/>
  <c r="Q8" i="2"/>
  <c r="P8" i="2"/>
  <c r="O8" i="2"/>
  <c r="N8" i="2"/>
  <c r="M8" i="2"/>
  <c r="L8" i="2"/>
  <c r="K8" i="2"/>
  <c r="J8" i="2"/>
  <c r="I8" i="2"/>
  <c r="R7" i="2"/>
  <c r="Q7" i="2"/>
  <c r="P7" i="2"/>
  <c r="O7" i="2"/>
  <c r="N7" i="2"/>
  <c r="M7" i="2"/>
  <c r="L7" i="2"/>
  <c r="K7" i="2"/>
  <c r="J7" i="2"/>
  <c r="I7" i="2"/>
  <c r="R6" i="2"/>
  <c r="Q6" i="2"/>
  <c r="P6" i="2"/>
  <c r="O6" i="2"/>
  <c r="N6" i="2"/>
  <c r="M6" i="2"/>
  <c r="L6" i="2"/>
  <c r="K6" i="2"/>
  <c r="J6" i="2"/>
  <c r="I6" i="2"/>
  <c r="R5" i="2"/>
  <c r="Q5" i="2"/>
  <c r="P5" i="2"/>
  <c r="O5" i="2"/>
  <c r="N5" i="2"/>
  <c r="M5" i="2"/>
  <c r="L5" i="2"/>
  <c r="K5" i="2"/>
  <c r="J5" i="2"/>
  <c r="I5" i="2"/>
  <c r="R4" i="2"/>
  <c r="Q4" i="2"/>
  <c r="P4" i="2"/>
  <c r="O4" i="2"/>
  <c r="N4" i="2"/>
  <c r="M4" i="2"/>
  <c r="L4" i="2"/>
  <c r="K4" i="2"/>
  <c r="J4" i="2"/>
  <c r="I4" i="2"/>
  <c r="R3" i="2"/>
  <c r="Q3" i="2"/>
  <c r="P3" i="2"/>
  <c r="O3" i="2"/>
  <c r="N3" i="2"/>
  <c r="M3" i="2"/>
  <c r="L3" i="2"/>
  <c r="K3" i="2"/>
  <c r="J3" i="2"/>
  <c r="I3" i="2"/>
  <c r="R102" i="1"/>
  <c r="Q102" i="1"/>
  <c r="P102" i="1"/>
  <c r="O102" i="1"/>
  <c r="N102" i="1"/>
  <c r="M102" i="1"/>
  <c r="L102" i="1"/>
  <c r="K102" i="1"/>
  <c r="J102" i="1"/>
  <c r="I102" i="1"/>
  <c r="S101" i="1"/>
  <c r="R101" i="1"/>
  <c r="Q101" i="1"/>
  <c r="P101" i="1"/>
  <c r="O101" i="1"/>
  <c r="N101" i="1"/>
  <c r="M101" i="1"/>
  <c r="L101" i="1"/>
  <c r="K101" i="1"/>
  <c r="J101" i="1"/>
  <c r="I101" i="1"/>
  <c r="T100" i="1"/>
  <c r="R100" i="1"/>
  <c r="Q100" i="1"/>
  <c r="P100" i="1"/>
  <c r="O100" i="1"/>
  <c r="N100" i="1"/>
  <c r="M100" i="1"/>
  <c r="L100" i="1"/>
  <c r="K100" i="1"/>
  <c r="J100" i="1"/>
  <c r="I100" i="1"/>
  <c r="U99" i="1"/>
  <c r="R99" i="1"/>
  <c r="Q99" i="1"/>
  <c r="P99" i="1"/>
  <c r="O99" i="1"/>
  <c r="N99" i="1"/>
  <c r="M99" i="1"/>
  <c r="L99" i="1"/>
  <c r="K99" i="1"/>
  <c r="J99" i="1"/>
  <c r="I99" i="1"/>
  <c r="R98" i="1"/>
  <c r="Q98" i="1"/>
  <c r="P98" i="1"/>
  <c r="O98" i="1"/>
  <c r="N98" i="1"/>
  <c r="M98" i="1"/>
  <c r="L98" i="1"/>
  <c r="K98" i="1"/>
  <c r="J98" i="1"/>
  <c r="I98" i="1"/>
  <c r="R97" i="1"/>
  <c r="Q97" i="1"/>
  <c r="P97" i="1"/>
  <c r="O97" i="1"/>
  <c r="N97" i="1"/>
  <c r="M97" i="1"/>
  <c r="L97" i="1"/>
  <c r="K97" i="1"/>
  <c r="J97" i="1"/>
  <c r="I97" i="1"/>
  <c r="R96" i="1"/>
  <c r="Q96" i="1"/>
  <c r="P96" i="1"/>
  <c r="O96" i="1"/>
  <c r="N96" i="1"/>
  <c r="M96" i="1"/>
  <c r="L96" i="1"/>
  <c r="K96" i="1"/>
  <c r="J96" i="1"/>
  <c r="I96" i="1"/>
  <c r="S95" i="1"/>
  <c r="R95" i="1"/>
  <c r="Q95" i="1"/>
  <c r="P95" i="1"/>
  <c r="O95" i="1"/>
  <c r="N95" i="1"/>
  <c r="M95" i="1"/>
  <c r="L95" i="1"/>
  <c r="K95" i="1"/>
  <c r="J95" i="1"/>
  <c r="I95" i="1"/>
  <c r="T94" i="1"/>
  <c r="R94" i="1"/>
  <c r="Q94" i="1"/>
  <c r="P94" i="1"/>
  <c r="O94" i="1"/>
  <c r="N94" i="1"/>
  <c r="M94" i="1"/>
  <c r="L94" i="1"/>
  <c r="K94" i="1"/>
  <c r="J94" i="1"/>
  <c r="I94" i="1"/>
  <c r="U93" i="1"/>
  <c r="R93" i="1"/>
  <c r="Q93" i="1"/>
  <c r="P93" i="1"/>
  <c r="O93" i="1"/>
  <c r="N93" i="1"/>
  <c r="M93" i="1"/>
  <c r="L93" i="1"/>
  <c r="K93" i="1"/>
  <c r="J93" i="1"/>
  <c r="I93" i="1"/>
  <c r="R92" i="1"/>
  <c r="Q92" i="1"/>
  <c r="P92" i="1"/>
  <c r="O92" i="1"/>
  <c r="N92" i="1"/>
  <c r="M92" i="1"/>
  <c r="L92" i="1"/>
  <c r="K92" i="1"/>
  <c r="J92" i="1"/>
  <c r="I92" i="1"/>
  <c r="R91" i="1"/>
  <c r="Q91" i="1"/>
  <c r="P91" i="1"/>
  <c r="O91" i="1"/>
  <c r="N91" i="1"/>
  <c r="M91" i="1"/>
  <c r="L91" i="1"/>
  <c r="K91" i="1"/>
  <c r="J91" i="1"/>
  <c r="I91" i="1"/>
  <c r="R90" i="1"/>
  <c r="Q90" i="1"/>
  <c r="P90" i="1"/>
  <c r="O90" i="1"/>
  <c r="N90" i="1"/>
  <c r="M90" i="1"/>
  <c r="L90" i="1"/>
  <c r="K90" i="1"/>
  <c r="J90" i="1"/>
  <c r="I90" i="1"/>
  <c r="S89" i="1"/>
  <c r="R89" i="1"/>
  <c r="Q89" i="1"/>
  <c r="P89" i="1"/>
  <c r="O89" i="1"/>
  <c r="N89" i="1"/>
  <c r="M89" i="1"/>
  <c r="L89" i="1"/>
  <c r="K89" i="1"/>
  <c r="J89" i="1"/>
  <c r="I89" i="1"/>
  <c r="T88" i="1"/>
  <c r="R88" i="1"/>
  <c r="Q88" i="1"/>
  <c r="P88" i="1"/>
  <c r="O88" i="1"/>
  <c r="N88" i="1"/>
  <c r="M88" i="1"/>
  <c r="L88" i="1"/>
  <c r="K88" i="1"/>
  <c r="J88" i="1"/>
  <c r="I88" i="1"/>
  <c r="U87" i="1"/>
  <c r="R87" i="1"/>
  <c r="Q87" i="1"/>
  <c r="P87" i="1"/>
  <c r="O87" i="1"/>
  <c r="N87" i="1"/>
  <c r="M87" i="1"/>
  <c r="L87" i="1"/>
  <c r="K87" i="1"/>
  <c r="J87" i="1"/>
  <c r="I87" i="1"/>
  <c r="R86" i="1"/>
  <c r="Q86" i="1"/>
  <c r="P86" i="1"/>
  <c r="O86" i="1"/>
  <c r="N86" i="1"/>
  <c r="M86" i="1"/>
  <c r="L86" i="1"/>
  <c r="K86" i="1"/>
  <c r="J86" i="1"/>
  <c r="I86" i="1"/>
  <c r="R85" i="1"/>
  <c r="R72" i="1" s="1"/>
  <c r="Q85" i="1"/>
  <c r="Q72" i="1" s="1"/>
  <c r="P85" i="1"/>
  <c r="P72" i="1" s="1"/>
  <c r="O85" i="1"/>
  <c r="O72" i="1" s="1"/>
  <c r="N85" i="1"/>
  <c r="N72" i="1" s="1"/>
  <c r="M85" i="1"/>
  <c r="M72" i="1" s="1"/>
  <c r="L85" i="1"/>
  <c r="L72" i="1" s="1"/>
  <c r="K85" i="1"/>
  <c r="K72" i="1" s="1"/>
  <c r="J85" i="1"/>
  <c r="J72" i="1" s="1"/>
  <c r="I85" i="1"/>
  <c r="I72" i="1" s="1"/>
  <c r="R84" i="1"/>
  <c r="R70" i="1" s="1"/>
  <c r="Q84" i="1"/>
  <c r="Q70" i="1" s="1"/>
  <c r="P84" i="1"/>
  <c r="P70" i="1" s="1"/>
  <c r="O84" i="1"/>
  <c r="O70" i="1" s="1"/>
  <c r="N84" i="1"/>
  <c r="N70" i="1" s="1"/>
  <c r="M84" i="1"/>
  <c r="M70" i="1" s="1"/>
  <c r="L84" i="1"/>
  <c r="L70" i="1" s="1"/>
  <c r="K84" i="1"/>
  <c r="K70" i="1" s="1"/>
  <c r="J84" i="1"/>
  <c r="J70" i="1" s="1"/>
  <c r="I84" i="1"/>
  <c r="I70" i="1" s="1"/>
  <c r="S83" i="1"/>
  <c r="S71" i="1" s="1"/>
  <c r="R83" i="1"/>
  <c r="R71" i="1" s="1"/>
  <c r="Q83" i="1"/>
  <c r="Q71" i="1" s="1"/>
  <c r="P83" i="1"/>
  <c r="P71" i="1" s="1"/>
  <c r="O83" i="1"/>
  <c r="O71" i="1" s="1"/>
  <c r="N83" i="1"/>
  <c r="N71" i="1" s="1"/>
  <c r="M83" i="1"/>
  <c r="M71" i="1" s="1"/>
  <c r="L83" i="1"/>
  <c r="L71" i="1" s="1"/>
  <c r="K83" i="1"/>
  <c r="K71" i="1" s="1"/>
  <c r="J83" i="1"/>
  <c r="J71" i="1" s="1"/>
  <c r="I83" i="1"/>
  <c r="I71" i="1" s="1"/>
  <c r="T82" i="1"/>
  <c r="R82" i="1"/>
  <c r="Q82" i="1"/>
  <c r="P82" i="1"/>
  <c r="O82" i="1"/>
  <c r="N82" i="1"/>
  <c r="M82" i="1"/>
  <c r="L82" i="1"/>
  <c r="K82" i="1"/>
  <c r="J82" i="1"/>
  <c r="I82" i="1"/>
  <c r="U81" i="1"/>
  <c r="R81" i="1"/>
  <c r="Q81" i="1"/>
  <c r="P81" i="1"/>
  <c r="O81" i="1"/>
  <c r="N81" i="1"/>
  <c r="M81" i="1"/>
  <c r="L81" i="1"/>
  <c r="K81" i="1"/>
  <c r="J81" i="1"/>
  <c r="I81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R68" i="1"/>
  <c r="Q68" i="1"/>
  <c r="P68" i="1"/>
  <c r="O68" i="1"/>
  <c r="N68" i="1"/>
  <c r="M68" i="1"/>
  <c r="L68" i="1"/>
  <c r="K68" i="1"/>
  <c r="J68" i="1"/>
  <c r="I68" i="1"/>
  <c r="R67" i="1"/>
  <c r="Q67" i="1"/>
  <c r="P67" i="1"/>
  <c r="O67" i="1"/>
  <c r="N67" i="1"/>
  <c r="M67" i="1"/>
  <c r="L67" i="1"/>
  <c r="K67" i="1"/>
  <c r="J67" i="1"/>
  <c r="I67" i="1"/>
  <c r="T66" i="1"/>
  <c r="R66" i="1"/>
  <c r="Q66" i="1"/>
  <c r="P66" i="1"/>
  <c r="O66" i="1"/>
  <c r="N66" i="1"/>
  <c r="M66" i="1"/>
  <c r="L66" i="1"/>
  <c r="K66" i="1"/>
  <c r="J66" i="1"/>
  <c r="I66" i="1"/>
  <c r="I20" i="1"/>
  <c r="O20" i="1"/>
  <c r="L21" i="1"/>
  <c r="M21" i="1"/>
  <c r="R21" i="1"/>
  <c r="U25" i="1"/>
  <c r="T25" i="1"/>
  <c r="S25" i="1"/>
  <c r="R25" i="1"/>
  <c r="Q25" i="1"/>
  <c r="Q21" i="1" s="1"/>
  <c r="P25" i="1"/>
  <c r="P21" i="1" s="1"/>
  <c r="O25" i="1"/>
  <c r="O21" i="1" s="1"/>
  <c r="N25" i="1"/>
  <c r="N21" i="1" s="1"/>
  <c r="M25" i="1"/>
  <c r="L25" i="1"/>
  <c r="K25" i="1"/>
  <c r="K21" i="1" s="1"/>
  <c r="J25" i="1"/>
  <c r="J21" i="1" s="1"/>
  <c r="I25" i="1"/>
  <c r="I21" i="1" s="1"/>
  <c r="U24" i="1"/>
  <c r="T24" i="1"/>
  <c r="S24" i="1"/>
  <c r="R24" i="1"/>
  <c r="R20" i="1" s="1"/>
  <c r="Q24" i="1"/>
  <c r="Q20" i="1" s="1"/>
  <c r="P24" i="1"/>
  <c r="P20" i="1" s="1"/>
  <c r="O24" i="1"/>
  <c r="N24" i="1"/>
  <c r="N20" i="1" s="1"/>
  <c r="M24" i="1"/>
  <c r="M20" i="1" s="1"/>
  <c r="L24" i="1"/>
  <c r="L20" i="1" s="1"/>
  <c r="K24" i="1"/>
  <c r="K20" i="1" s="1"/>
  <c r="J24" i="1"/>
  <c r="J20" i="1" s="1"/>
  <c r="I24" i="1"/>
  <c r="S67" i="1"/>
  <c r="U68" i="1"/>
  <c r="T68" i="1"/>
  <c r="S68" i="1"/>
  <c r="S66" i="1"/>
  <c r="U98" i="1"/>
  <c r="T99" i="1"/>
  <c r="S100" i="1"/>
  <c r="U27" i="2"/>
  <c r="T27" i="2"/>
  <c r="S27" i="2"/>
  <c r="U26" i="2"/>
  <c r="T26" i="2"/>
  <c r="S26" i="2"/>
  <c r="U25" i="2"/>
  <c r="T25" i="2"/>
  <c r="S25" i="2"/>
  <c r="U24" i="2"/>
  <c r="T24" i="2"/>
  <c r="S24" i="2"/>
  <c r="S36" i="3"/>
  <c r="S20" i="3"/>
  <c r="U82" i="1" l="1"/>
  <c r="T83" i="1"/>
  <c r="T71" i="1" s="1"/>
  <c r="S84" i="1"/>
  <c r="S70" i="1" s="1"/>
  <c r="U88" i="1"/>
  <c r="T89" i="1"/>
  <c r="S90" i="1"/>
  <c r="U94" i="1"/>
  <c r="T95" i="1"/>
  <c r="S96" i="1"/>
  <c r="U100" i="1"/>
  <c r="T101" i="1"/>
  <c r="S102" i="1"/>
  <c r="U83" i="1"/>
  <c r="U71" i="1" s="1"/>
  <c r="T84" i="1"/>
  <c r="T70" i="1" s="1"/>
  <c r="S85" i="1"/>
  <c r="S72" i="1" s="1"/>
  <c r="U89" i="1"/>
  <c r="T90" i="1"/>
  <c r="S91" i="1"/>
  <c r="U95" i="1"/>
  <c r="T96" i="1"/>
  <c r="S97" i="1"/>
  <c r="U101" i="1"/>
  <c r="T102" i="1"/>
  <c r="U84" i="1"/>
  <c r="U70" i="1" s="1"/>
  <c r="T85" i="1"/>
  <c r="T72" i="1" s="1"/>
  <c r="S86" i="1"/>
  <c r="U90" i="1"/>
  <c r="T91" i="1"/>
  <c r="S92" i="1"/>
  <c r="U96" i="1"/>
  <c r="T97" i="1"/>
  <c r="S98" i="1"/>
  <c r="U102" i="1"/>
  <c r="S81" i="1"/>
  <c r="U85" i="1"/>
  <c r="U72" i="1" s="1"/>
  <c r="T86" i="1"/>
  <c r="S87" i="1"/>
  <c r="U91" i="1"/>
  <c r="T92" i="1"/>
  <c r="S93" i="1"/>
  <c r="U97" i="1"/>
  <c r="T98" i="1"/>
  <c r="S99" i="1"/>
  <c r="T81" i="1"/>
  <c r="S82" i="1"/>
  <c r="U86" i="1"/>
  <c r="T87" i="1"/>
  <c r="S88" i="1"/>
  <c r="U92" i="1"/>
  <c r="T93" i="1"/>
  <c r="S94" i="1"/>
  <c r="K73" i="1"/>
  <c r="Q73" i="1"/>
  <c r="L73" i="1"/>
  <c r="R73" i="1"/>
  <c r="N73" i="1"/>
  <c r="I73" i="1"/>
  <c r="O73" i="1"/>
  <c r="U73" i="1"/>
  <c r="K75" i="1"/>
  <c r="Q75" i="1"/>
  <c r="J75" i="1"/>
  <c r="P75" i="1"/>
  <c r="M75" i="1"/>
  <c r="M73" i="1"/>
  <c r="L75" i="1"/>
  <c r="N75" i="1"/>
  <c r="R75" i="1"/>
  <c r="I75" i="1"/>
  <c r="O75" i="1"/>
  <c r="J73" i="1"/>
  <c r="P73" i="1"/>
  <c r="T20" i="3"/>
  <c r="R20" i="3"/>
  <c r="R36" i="3"/>
  <c r="T36" i="3"/>
  <c r="S73" i="1" l="1"/>
  <c r="T73" i="1"/>
  <c r="T75" i="1"/>
  <c r="S75" i="1"/>
  <c r="U75" i="1"/>
  <c r="U77" i="1" s="1"/>
  <c r="Q77" i="1"/>
  <c r="K77" i="1"/>
  <c r="R77" i="1"/>
  <c r="L77" i="1"/>
  <c r="M77" i="1"/>
  <c r="J77" i="1"/>
  <c r="P77" i="1"/>
  <c r="I77" i="1"/>
  <c r="O77" i="1"/>
  <c r="N77" i="1"/>
  <c r="S77" i="1" l="1"/>
  <c r="T77" i="1"/>
  <c r="M27" i="2" l="1"/>
  <c r="M26" i="2"/>
  <c r="M24" i="2"/>
  <c r="M25" i="2"/>
  <c r="O24" i="2"/>
  <c r="O26" i="2"/>
  <c r="O27" i="2"/>
  <c r="O25" i="2"/>
  <c r="I27" i="2"/>
  <c r="I26" i="2"/>
  <c r="I25" i="2"/>
  <c r="I24" i="2"/>
  <c r="L26" i="2"/>
  <c r="L27" i="2"/>
  <c r="L25" i="2"/>
  <c r="L24" i="2"/>
  <c r="Q27" i="2"/>
  <c r="Q24" i="2"/>
  <c r="Q26" i="2"/>
  <c r="Q25" i="2"/>
  <c r="R26" i="2"/>
  <c r="R24" i="2"/>
  <c r="R27" i="2"/>
  <c r="R25" i="2"/>
  <c r="J27" i="2"/>
  <c r="J26" i="2"/>
  <c r="J24" i="2"/>
  <c r="J25" i="2"/>
  <c r="N26" i="2"/>
  <c r="N27" i="2"/>
  <c r="N24" i="2"/>
  <c r="N25" i="2"/>
  <c r="P25" i="2"/>
  <c r="P26" i="2"/>
  <c r="P27" i="2"/>
  <c r="P24" i="2"/>
  <c r="K27" i="2"/>
  <c r="K24" i="2"/>
  <c r="K25" i="2"/>
  <c r="K26" i="2"/>
  <c r="M35" i="3" l="1"/>
  <c r="M34" i="3"/>
  <c r="M32" i="3"/>
  <c r="M31" i="3"/>
  <c r="M25" i="3"/>
  <c r="M29" i="3"/>
  <c r="M28" i="3"/>
  <c r="M33" i="3"/>
  <c r="M30" i="3"/>
  <c r="M27" i="3"/>
  <c r="M24" i="3"/>
  <c r="M26" i="3"/>
  <c r="Q35" i="3"/>
  <c r="Q31" i="3"/>
  <c r="Q30" i="3"/>
  <c r="Q24" i="3"/>
  <c r="Q28" i="3"/>
  <c r="Q27" i="3"/>
  <c r="Q32" i="3"/>
  <c r="Q29" i="3"/>
  <c r="Q26" i="3"/>
  <c r="Q25" i="3"/>
  <c r="Q34" i="3"/>
  <c r="Q33" i="3"/>
  <c r="O31" i="3"/>
  <c r="O28" i="3"/>
  <c r="O25" i="3"/>
  <c r="O24" i="3"/>
  <c r="O35" i="3"/>
  <c r="O33" i="3"/>
  <c r="O32" i="3"/>
  <c r="O34" i="3"/>
  <c r="O26" i="3"/>
  <c r="O30" i="3"/>
  <c r="O29" i="3"/>
  <c r="O27" i="3"/>
  <c r="P28" i="3"/>
  <c r="P25" i="3"/>
  <c r="P30" i="3"/>
  <c r="P29" i="3"/>
  <c r="P35" i="3"/>
  <c r="P34" i="3"/>
  <c r="P26" i="3"/>
  <c r="P24" i="3"/>
  <c r="P31" i="3"/>
  <c r="P27" i="3"/>
  <c r="P33" i="3"/>
  <c r="P32" i="3"/>
  <c r="K24" i="3"/>
  <c r="K28" i="3"/>
  <c r="K27" i="3"/>
  <c r="K32" i="3"/>
  <c r="K29" i="3"/>
  <c r="K26" i="3"/>
  <c r="K25" i="3"/>
  <c r="K34" i="3"/>
  <c r="K33" i="3"/>
  <c r="K35" i="3"/>
  <c r="K31" i="3"/>
  <c r="K30" i="3"/>
  <c r="J28" i="3"/>
  <c r="J25" i="3"/>
  <c r="J30" i="3"/>
  <c r="J29" i="3"/>
  <c r="J35" i="3"/>
  <c r="J34" i="3"/>
  <c r="J26" i="3"/>
  <c r="J24" i="3"/>
  <c r="J31" i="3"/>
  <c r="J27" i="3"/>
  <c r="J33" i="3"/>
  <c r="J32" i="3"/>
  <c r="I28" i="3"/>
  <c r="I25" i="3"/>
  <c r="I24" i="3"/>
  <c r="I35" i="3"/>
  <c r="I33" i="3"/>
  <c r="I32" i="3"/>
  <c r="I26" i="3"/>
  <c r="I30" i="3"/>
  <c r="I29" i="3"/>
  <c r="I34" i="3"/>
  <c r="I27" i="3"/>
  <c r="I31" i="3"/>
  <c r="N24" i="3"/>
  <c r="N26" i="3"/>
  <c r="N28" i="3"/>
  <c r="N29" i="3"/>
  <c r="N31" i="3"/>
  <c r="N32" i="3"/>
  <c r="N34" i="3"/>
  <c r="N35" i="3"/>
  <c r="N33" i="3"/>
  <c r="N25" i="3"/>
  <c r="N30" i="3"/>
  <c r="N27" i="3"/>
  <c r="L32" i="3"/>
  <c r="L28" i="3"/>
  <c r="L34" i="3"/>
  <c r="L27" i="3"/>
  <c r="L33" i="3"/>
  <c r="L24" i="3"/>
  <c r="L29" i="3"/>
  <c r="L26" i="3"/>
  <c r="L31" i="3"/>
  <c r="L30" i="3"/>
  <c r="L35" i="3"/>
  <c r="L25" i="3"/>
  <c r="H27" i="3"/>
  <c r="H33" i="3"/>
  <c r="H30" i="3"/>
  <c r="H34" i="3"/>
  <c r="H35" i="3"/>
  <c r="H29" i="3"/>
  <c r="H32" i="3"/>
  <c r="H28" i="3"/>
  <c r="H31" i="3"/>
  <c r="H24" i="3"/>
  <c r="H25" i="3"/>
  <c r="H26" i="3"/>
  <c r="O18" i="3"/>
  <c r="O19" i="3"/>
  <c r="Q18" i="3"/>
  <c r="Q19" i="3"/>
  <c r="N18" i="3"/>
  <c r="N19" i="3"/>
  <c r="M19" i="3"/>
  <c r="M18" i="3"/>
  <c r="J19" i="3"/>
  <c r="J18" i="3"/>
  <c r="I18" i="3"/>
  <c r="I19" i="3"/>
  <c r="L18" i="3"/>
  <c r="L19" i="3"/>
  <c r="P18" i="3"/>
  <c r="P19" i="3"/>
  <c r="K18" i="3"/>
  <c r="K19" i="3"/>
  <c r="H18" i="3"/>
  <c r="H19" i="3"/>
  <c r="P20" i="3" l="1"/>
  <c r="J20" i="3"/>
  <c r="M20" i="3"/>
  <c r="O36" i="3"/>
  <c r="L20" i="3"/>
  <c r="I20" i="3"/>
  <c r="O20" i="3"/>
  <c r="N36" i="3"/>
  <c r="P36" i="3"/>
  <c r="H20" i="3"/>
  <c r="K36" i="3"/>
  <c r="Q36" i="3"/>
  <c r="M36" i="3"/>
  <c r="Q20" i="3"/>
  <c r="L36" i="3"/>
  <c r="I36" i="3"/>
  <c r="K20" i="3"/>
  <c r="H36" i="3"/>
  <c r="N20" i="3"/>
  <c r="J36" i="3"/>
  <c r="H76" i="7" l="1"/>
  <c r="D76" i="7"/>
  <c r="F29" i="6"/>
  <c r="F5" i="6"/>
  <c r="H9" i="7"/>
  <c r="H8" i="7"/>
  <c r="H7" i="7"/>
  <c r="H6" i="7"/>
  <c r="H5" i="7"/>
  <c r="H122" i="7"/>
  <c r="H91" i="7"/>
  <c r="H46" i="7"/>
  <c r="H3" i="7"/>
  <c r="H43" i="7"/>
  <c r="D43" i="7"/>
  <c r="H58" i="7"/>
  <c r="D58" i="7"/>
  <c r="H114" i="7"/>
  <c r="D94" i="7"/>
  <c r="D95" i="7"/>
  <c r="D96" i="7"/>
  <c r="D97" i="7"/>
  <c r="H84" i="7"/>
  <c r="H72" i="7" l="1"/>
  <c r="D72" i="7"/>
  <c r="H87" i="7"/>
  <c r="D87" i="7"/>
  <c r="H61" i="7"/>
  <c r="H62" i="7"/>
  <c r="H54" i="7"/>
  <c r="H74" i="7"/>
  <c r="H73" i="7"/>
  <c r="H71" i="7"/>
  <c r="H70" i="7"/>
  <c r="H68" i="7"/>
  <c r="H69" i="7"/>
  <c r="H12" i="7"/>
  <c r="H13" i="7"/>
  <c r="H14" i="7"/>
  <c r="H15" i="7"/>
  <c r="H20" i="7"/>
  <c r="H21" i="7"/>
  <c r="H22" i="7"/>
  <c r="H23" i="7"/>
  <c r="H40" i="7"/>
  <c r="H41" i="7"/>
  <c r="H51" i="7"/>
  <c r="H88" i="7"/>
  <c r="H16" i="7"/>
  <c r="H24" i="7"/>
  <c r="H17" i="7"/>
  <c r="H25" i="7"/>
  <c r="H28" i="7"/>
  <c r="H29" i="7"/>
  <c r="H30" i="7"/>
  <c r="H31" i="7"/>
  <c r="H32" i="7"/>
  <c r="H33" i="7"/>
  <c r="H34" i="7"/>
  <c r="H35" i="7"/>
  <c r="H36" i="7"/>
  <c r="H37" i="7"/>
  <c r="H78" i="7"/>
  <c r="H57" i="7"/>
  <c r="H56" i="7"/>
  <c r="H47" i="7"/>
  <c r="H49" i="7"/>
  <c r="H85" i="7"/>
  <c r="H79" i="7"/>
  <c r="H50" i="7"/>
  <c r="H63" i="7"/>
  <c r="H48" i="7"/>
  <c r="H83" i="7"/>
  <c r="H77" i="7"/>
  <c r="H66" i="7"/>
  <c r="H53" i="7"/>
  <c r="H65" i="7"/>
  <c r="H55" i="7"/>
  <c r="H75" i="7"/>
  <c r="H67" i="7"/>
  <c r="H81" i="7"/>
  <c r="H80" i="7"/>
  <c r="H52" i="7"/>
  <c r="H64" i="7"/>
  <c r="H82" i="7"/>
  <c r="H86" i="7"/>
  <c r="H42" i="7"/>
  <c r="H93" i="7"/>
  <c r="H95" i="7"/>
  <c r="H97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5" i="7"/>
  <c r="H116" i="7"/>
  <c r="H119" i="7"/>
  <c r="H59" i="7"/>
  <c r="H98" i="7"/>
  <c r="G7" i="1"/>
  <c r="H96" i="7" l="1"/>
  <c r="D79" i="7" l="1"/>
  <c r="D51" i="7"/>
  <c r="D88" i="7"/>
  <c r="D9" i="7" l="1"/>
  <c r="D8" i="7"/>
  <c r="D7" i="7"/>
  <c r="D6" i="7"/>
  <c r="D5" i="7"/>
  <c r="C12" i="8"/>
  <c r="C17" i="8" s="1"/>
  <c r="C16" i="8" l="1"/>
  <c r="C15" i="8"/>
  <c r="C14" i="8"/>
  <c r="C13" i="8"/>
  <c r="C18" i="8"/>
  <c r="C19" i="8" l="1"/>
  <c r="D31" i="8" l="1"/>
  <c r="C31" i="8"/>
  <c r="H40" i="3"/>
  <c r="D42" i="7"/>
  <c r="G10" i="1" l="1"/>
  <c r="F3" i="4"/>
  <c r="G31" i="5" l="1"/>
  <c r="G15" i="5"/>
  <c r="D41" i="7" l="1"/>
  <c r="D78" i="7"/>
  <c r="D69" i="7"/>
  <c r="D57" i="7"/>
  <c r="D56" i="7"/>
  <c r="D63" i="7" l="1"/>
  <c r="D116" i="7"/>
  <c r="D115" i="7"/>
  <c r="D114" i="7"/>
  <c r="D85" i="7"/>
  <c r="D83" i="7"/>
  <c r="D84" i="7"/>
  <c r="D70" i="7"/>
  <c r="D77" i="7"/>
  <c r="D66" i="7"/>
  <c r="D53" i="7"/>
  <c r="D65" i="7"/>
  <c r="D55" i="7"/>
  <c r="D75" i="7"/>
  <c r="D71" i="7"/>
  <c r="D48" i="7"/>
  <c r="D50" i="7"/>
  <c r="D73" i="7"/>
  <c r="D54" i="7"/>
  <c r="D74" i="7"/>
  <c r="D49" i="7"/>
  <c r="D47" i="7"/>
  <c r="D60" i="7" l="1"/>
  <c r="D16" i="7" l="1"/>
  <c r="D24" i="7"/>
  <c r="D17" i="7"/>
  <c r="D25" i="7"/>
  <c r="D28" i="7"/>
  <c r="D29" i="7"/>
  <c r="D30" i="7"/>
  <c r="D31" i="7"/>
  <c r="D32" i="7"/>
  <c r="D33" i="7"/>
  <c r="D34" i="7"/>
  <c r="D35" i="7"/>
  <c r="D36" i="7"/>
  <c r="D40" i="7"/>
  <c r="D21" i="7"/>
  <c r="D22" i="7"/>
  <c r="D23" i="7"/>
  <c r="D20" i="7"/>
  <c r="D14" i="7"/>
  <c r="D15" i="7"/>
  <c r="D13" i="7"/>
  <c r="D12" i="7"/>
  <c r="D68" i="7"/>
  <c r="D62" i="7"/>
  <c r="D61" i="7"/>
  <c r="D59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3" i="7"/>
  <c r="D92" i="7"/>
  <c r="G29" i="1" l="1"/>
  <c r="D17" i="8"/>
  <c r="D15" i="8"/>
  <c r="D14" i="8"/>
  <c r="D18" i="8"/>
  <c r="D16" i="8"/>
  <c r="D19" i="8"/>
  <c r="G30" i="1"/>
  <c r="G82" i="1" s="1"/>
  <c r="G17" i="1"/>
  <c r="G35" i="1"/>
  <c r="G87" i="1" s="1"/>
  <c r="G37" i="1"/>
  <c r="G89" i="1" s="1"/>
  <c r="G12" i="1"/>
  <c r="L21" i="5"/>
  <c r="K7" i="5"/>
  <c r="K21" i="5"/>
  <c r="L6" i="5"/>
  <c r="L23" i="5"/>
  <c r="K6" i="5"/>
  <c r="K23" i="5"/>
  <c r="L5" i="5"/>
  <c r="L22" i="5"/>
  <c r="K5" i="5"/>
  <c r="K22" i="5"/>
  <c r="L7" i="5"/>
  <c r="G81" i="1" l="1"/>
  <c r="D67" i="7"/>
  <c r="D81" i="7"/>
  <c r="D80" i="7"/>
  <c r="D52" i="7"/>
  <c r="D112" i="7"/>
  <c r="D64" i="7"/>
  <c r="D82" i="7"/>
  <c r="D86" i="7"/>
  <c r="D118" i="7"/>
  <c r="D119" i="7"/>
  <c r="D61" i="8"/>
  <c r="D39" i="8"/>
  <c r="E39" i="8"/>
  <c r="C39" i="8"/>
  <c r="D60" i="8"/>
  <c r="D40" i="8" s="1"/>
  <c r="E60" i="8"/>
  <c r="C60" i="8"/>
  <c r="C40" i="8" s="1"/>
  <c r="G20" i="1" l="1"/>
  <c r="G21" i="1"/>
  <c r="F7" i="6"/>
  <c r="D13" i="8"/>
  <c r="D12" i="8" s="1"/>
  <c r="G13" i="1"/>
  <c r="G50" i="1"/>
  <c r="G102" i="1" s="1"/>
  <c r="G39" i="1"/>
  <c r="G91" i="1" s="1"/>
  <c r="L27" i="5"/>
  <c r="K24" i="5"/>
  <c r="L20" i="5"/>
  <c r="K27" i="5"/>
  <c r="L25" i="5"/>
  <c r="G33" i="1"/>
  <c r="G85" i="1" s="1"/>
  <c r="G36" i="1"/>
  <c r="G88" i="1" s="1"/>
  <c r="G45" i="1"/>
  <c r="G97" i="1" s="1"/>
  <c r="L24" i="5"/>
  <c r="L9" i="5"/>
  <c r="F36" i="6"/>
  <c r="G31" i="1"/>
  <c r="G83" i="1" s="1"/>
  <c r="G38" i="1"/>
  <c r="G90" i="1" s="1"/>
  <c r="G15" i="1"/>
  <c r="G32" i="1"/>
  <c r="G84" i="1" s="1"/>
  <c r="K10" i="5"/>
  <c r="K8" i="5"/>
  <c r="F33" i="6"/>
  <c r="G44" i="1"/>
  <c r="G96" i="1" s="1"/>
  <c r="K9" i="5"/>
  <c r="K11" i="5"/>
  <c r="G46" i="1"/>
  <c r="G98" i="1" s="1"/>
  <c r="K4" i="5"/>
  <c r="L4" i="5"/>
  <c r="K25" i="5"/>
  <c r="G49" i="1"/>
  <c r="G101" i="1" s="1"/>
  <c r="G41" i="1"/>
  <c r="G93" i="1" s="1"/>
  <c r="L10" i="5"/>
  <c r="K20" i="5"/>
  <c r="G40" i="1"/>
  <c r="G92" i="1" s="1"/>
  <c r="G48" i="1"/>
  <c r="G100" i="1" s="1"/>
  <c r="L8" i="5"/>
  <c r="L26" i="5"/>
  <c r="G16" i="1"/>
  <c r="G43" i="1"/>
  <c r="G95" i="1" s="1"/>
  <c r="K26" i="5"/>
  <c r="G34" i="1"/>
  <c r="G86" i="1" s="1"/>
  <c r="G47" i="1"/>
  <c r="G99" i="1" s="1"/>
  <c r="L11" i="5"/>
  <c r="G11" i="1"/>
  <c r="G14" i="1"/>
  <c r="G42" i="1"/>
  <c r="G94" i="1" s="1"/>
  <c r="D11" i="8"/>
  <c r="G54" i="1"/>
  <c r="E57" i="8"/>
  <c r="E61" i="8" s="1"/>
  <c r="E40" i="8"/>
  <c r="D62" i="8"/>
  <c r="C58" i="8"/>
  <c r="H51" i="8"/>
  <c r="H56" i="8"/>
  <c r="H55" i="8"/>
  <c r="H50" i="8"/>
  <c r="H49" i="8"/>
  <c r="H60" i="8"/>
  <c r="H54" i="8"/>
  <c r="H48" i="8"/>
  <c r="H59" i="8"/>
  <c r="H53" i="8"/>
  <c r="H47" i="8"/>
  <c r="H58" i="8"/>
  <c r="H52" i="8"/>
  <c r="H46" i="8"/>
  <c r="H57" i="8"/>
  <c r="G60" i="1"/>
  <c r="G58" i="1"/>
  <c r="F11" i="6"/>
  <c r="F34" i="6"/>
  <c r="F15" i="6"/>
  <c r="F13" i="6"/>
  <c r="F10" i="6"/>
  <c r="F21" i="6"/>
  <c r="F43" i="6"/>
  <c r="F35" i="6"/>
  <c r="F16" i="6"/>
  <c r="F37" i="6"/>
  <c r="F14" i="6"/>
  <c r="F12" i="6"/>
  <c r="H45" i="8"/>
  <c r="H61" i="8"/>
  <c r="H62" i="8" l="1"/>
  <c r="D41" i="8"/>
  <c r="E62" i="8"/>
  <c r="I47" i="8"/>
  <c r="I49" i="8"/>
  <c r="I51" i="8"/>
  <c r="I53" i="8"/>
  <c r="I55" i="8"/>
  <c r="I59" i="8"/>
  <c r="I46" i="8"/>
  <c r="I48" i="8"/>
  <c r="I50" i="8"/>
  <c r="I52" i="8"/>
  <c r="I54" i="8"/>
  <c r="I56" i="8"/>
  <c r="I58" i="8"/>
  <c r="I60" i="8"/>
  <c r="I57" i="8"/>
  <c r="I45" i="8"/>
  <c r="I61" i="8"/>
  <c r="I62" i="8" l="1"/>
  <c r="E41" i="8"/>
  <c r="E9" i="4"/>
  <c r="C3" i="4"/>
  <c r="E4" i="4"/>
  <c r="J40" i="4"/>
  <c r="I40" i="4"/>
  <c r="H40" i="4"/>
  <c r="G40" i="4"/>
  <c r="D40" i="4"/>
  <c r="C40" i="4"/>
  <c r="J39" i="4"/>
  <c r="I39" i="4"/>
  <c r="H39" i="4"/>
  <c r="G39" i="4"/>
  <c r="F39" i="4"/>
  <c r="E39" i="4"/>
  <c r="D39" i="4"/>
  <c r="C39" i="4"/>
  <c r="J38" i="4"/>
  <c r="I38" i="4"/>
  <c r="H38" i="4"/>
  <c r="G38" i="4"/>
  <c r="D38" i="4"/>
  <c r="C38" i="4"/>
  <c r="A19" i="4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l="1"/>
  <c r="A47" i="4" s="1"/>
  <c r="E40" i="4"/>
  <c r="F40" i="4"/>
  <c r="E38" i="4"/>
  <c r="F38" i="4"/>
  <c r="A48" i="4" l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D4" i="4"/>
  <c r="D5" i="4" l="1"/>
  <c r="C4" i="4"/>
  <c r="D6" i="4" l="1"/>
  <c r="I59" i="1"/>
  <c r="R53" i="1"/>
  <c r="R52" i="1"/>
  <c r="Q53" i="1"/>
  <c r="Q52" i="1"/>
  <c r="N53" i="1"/>
  <c r="N52" i="1"/>
  <c r="P53" i="1"/>
  <c r="P52" i="1"/>
  <c r="M53" i="1"/>
  <c r="M52" i="1"/>
  <c r="J53" i="1"/>
  <c r="J52" i="1"/>
  <c r="I53" i="1"/>
  <c r="I52" i="1"/>
  <c r="H60" i="7" l="1"/>
  <c r="G59" i="1"/>
  <c r="G57" i="1" s="1"/>
  <c r="D7" i="4"/>
  <c r="M14" i="5"/>
  <c r="M30" i="5"/>
  <c r="G30" i="5"/>
  <c r="G14" i="5"/>
  <c r="D32" i="6"/>
  <c r="D9" i="6"/>
  <c r="F9" i="6" s="1"/>
  <c r="D8" i="6"/>
  <c r="H94" i="7"/>
  <c r="G9" i="1" l="1"/>
  <c r="H118" i="7"/>
  <c r="F38" i="6" s="1"/>
  <c r="H92" i="7"/>
  <c r="G53" i="1" s="1"/>
  <c r="F32" i="6"/>
  <c r="F8" i="6"/>
  <c r="D8" i="4"/>
  <c r="G52" i="1"/>
  <c r="B40" i="5"/>
  <c r="D41" i="5"/>
  <c r="B41" i="5" s="1"/>
  <c r="E41" i="5"/>
  <c r="B52" i="5"/>
  <c r="B51" i="5"/>
  <c r="B50" i="5"/>
  <c r="B49" i="5"/>
  <c r="B48" i="5"/>
  <c r="B47" i="5"/>
  <c r="B46" i="5"/>
  <c r="B45" i="5"/>
  <c r="B44" i="5"/>
  <c r="B43" i="5"/>
  <c r="B39" i="5"/>
  <c r="G32" i="5"/>
  <c r="H214" i="4"/>
  <c r="G214" i="4"/>
  <c r="E214" i="4"/>
  <c r="J214" i="4"/>
  <c r="I214" i="4"/>
  <c r="D214" i="4"/>
  <c r="C214" i="4"/>
  <c r="J213" i="4"/>
  <c r="J217" i="4" s="1"/>
  <c r="I213" i="4"/>
  <c r="I217" i="4" s="1"/>
  <c r="H213" i="4"/>
  <c r="H217" i="4" s="1"/>
  <c r="G213" i="4"/>
  <c r="G217" i="4" s="1"/>
  <c r="F213" i="4"/>
  <c r="F217" i="4" s="1"/>
  <c r="E213" i="4"/>
  <c r="E217" i="4" s="1"/>
  <c r="D213" i="4"/>
  <c r="D217" i="4" s="1"/>
  <c r="C213" i="4"/>
  <c r="C217" i="4" s="1"/>
  <c r="J212" i="4"/>
  <c r="I212" i="4"/>
  <c r="H212" i="4"/>
  <c r="G212" i="4"/>
  <c r="D212" i="4"/>
  <c r="C212" i="4"/>
  <c r="G28" i="1" l="1"/>
  <c r="G8" i="1" s="1"/>
  <c r="G6" i="1" s="1"/>
  <c r="F31" i="6"/>
  <c r="D9" i="4"/>
  <c r="C21" i="5"/>
  <c r="C5" i="5"/>
  <c r="C22" i="5"/>
  <c r="C6" i="5"/>
  <c r="C23" i="5"/>
  <c r="C7" i="5"/>
  <c r="C13" i="5"/>
  <c r="C29" i="5"/>
  <c r="C11" i="5"/>
  <c r="C27" i="5"/>
  <c r="C12" i="5"/>
  <c r="C28" i="5"/>
  <c r="C24" i="5"/>
  <c r="C8" i="5"/>
  <c r="C4" i="5"/>
  <c r="C20" i="5"/>
  <c r="C25" i="5"/>
  <c r="C9" i="5"/>
  <c r="C10" i="5"/>
  <c r="C26" i="5"/>
  <c r="E212" i="4"/>
  <c r="F214" i="4"/>
  <c r="F212" i="4"/>
  <c r="F45" i="6" l="1"/>
  <c r="F23" i="6"/>
  <c r="J31" i="5" l="1"/>
  <c r="N31" i="5" s="1"/>
  <c r="J15" i="5"/>
  <c r="N15" i="5" s="1"/>
  <c r="H124" i="7"/>
  <c r="H123" i="7"/>
  <c r="J30" i="5"/>
  <c r="N30" i="5" s="1"/>
  <c r="J14" i="5"/>
  <c r="N14" i="5" s="1"/>
  <c r="I31" i="5"/>
  <c r="M31" i="5" s="1"/>
  <c r="I15" i="5"/>
  <c r="M15" i="5" s="1"/>
  <c r="E5" i="4"/>
  <c r="E6" i="4"/>
  <c r="E7" i="4"/>
  <c r="E8" i="4"/>
  <c r="C67" i="4"/>
  <c r="D67" i="4"/>
  <c r="E67" i="4"/>
  <c r="F67" i="4"/>
  <c r="G67" i="4"/>
  <c r="H67" i="4"/>
  <c r="I67" i="4"/>
  <c r="J67" i="4"/>
  <c r="C68" i="4"/>
  <c r="D68" i="4"/>
  <c r="D72" i="4" s="1"/>
  <c r="E68" i="4"/>
  <c r="E72" i="4" s="1"/>
  <c r="F68" i="4"/>
  <c r="F72" i="4" s="1"/>
  <c r="G68" i="4"/>
  <c r="G72" i="4" s="1"/>
  <c r="H68" i="4"/>
  <c r="H72" i="4" s="1"/>
  <c r="I68" i="4"/>
  <c r="I72" i="4" s="1"/>
  <c r="J68" i="4"/>
  <c r="J72" i="4" s="1"/>
  <c r="C69" i="4"/>
  <c r="D69" i="4"/>
  <c r="E69" i="4"/>
  <c r="F69" i="4"/>
  <c r="G69" i="4"/>
  <c r="H69" i="4"/>
  <c r="I69" i="4"/>
  <c r="J69" i="4"/>
  <c r="C96" i="4"/>
  <c r="D96" i="4"/>
  <c r="E96" i="4"/>
  <c r="F96" i="4"/>
  <c r="G96" i="4"/>
  <c r="H96" i="4"/>
  <c r="I96" i="4"/>
  <c r="J96" i="4"/>
  <c r="C97" i="4"/>
  <c r="C101" i="4" s="1"/>
  <c r="D97" i="4"/>
  <c r="D101" i="4" s="1"/>
  <c r="E97" i="4"/>
  <c r="E101" i="4" s="1"/>
  <c r="F97" i="4"/>
  <c r="F101" i="4" s="1"/>
  <c r="G97" i="4"/>
  <c r="G101" i="4" s="1"/>
  <c r="H97" i="4"/>
  <c r="H101" i="4" s="1"/>
  <c r="I97" i="4"/>
  <c r="I101" i="4" s="1"/>
  <c r="J97" i="4"/>
  <c r="J101" i="4" s="1"/>
  <c r="C98" i="4"/>
  <c r="D98" i="4"/>
  <c r="E98" i="4"/>
  <c r="F98" i="4"/>
  <c r="G98" i="4"/>
  <c r="H98" i="4"/>
  <c r="I98" i="4"/>
  <c r="J98" i="4"/>
  <c r="C125" i="4"/>
  <c r="D125" i="4"/>
  <c r="E125" i="4"/>
  <c r="F125" i="4"/>
  <c r="G125" i="4"/>
  <c r="H125" i="4"/>
  <c r="I125" i="4"/>
  <c r="J125" i="4"/>
  <c r="C126" i="4"/>
  <c r="C130" i="4" s="1"/>
  <c r="D126" i="4"/>
  <c r="D130" i="4" s="1"/>
  <c r="E126" i="4"/>
  <c r="E130" i="4" s="1"/>
  <c r="F126" i="4"/>
  <c r="F130" i="4" s="1"/>
  <c r="G126" i="4"/>
  <c r="G130" i="4" s="1"/>
  <c r="H126" i="4"/>
  <c r="H130" i="4" s="1"/>
  <c r="I126" i="4"/>
  <c r="I130" i="4" s="1"/>
  <c r="J126" i="4"/>
  <c r="J130" i="4" s="1"/>
  <c r="C127" i="4"/>
  <c r="D127" i="4"/>
  <c r="E127" i="4"/>
  <c r="F127" i="4"/>
  <c r="G127" i="4"/>
  <c r="H127" i="4"/>
  <c r="I127" i="4"/>
  <c r="J127" i="4"/>
  <c r="C154" i="4"/>
  <c r="D154" i="4"/>
  <c r="E154" i="4"/>
  <c r="F154" i="4"/>
  <c r="G154" i="4"/>
  <c r="H154" i="4"/>
  <c r="I154" i="4"/>
  <c r="J154" i="4"/>
  <c r="C155" i="4"/>
  <c r="C159" i="4" s="1"/>
  <c r="D155" i="4"/>
  <c r="D159" i="4" s="1"/>
  <c r="E155" i="4"/>
  <c r="E159" i="4" s="1"/>
  <c r="F155" i="4"/>
  <c r="F159" i="4" s="1"/>
  <c r="G155" i="4"/>
  <c r="G159" i="4" s="1"/>
  <c r="H155" i="4"/>
  <c r="H159" i="4" s="1"/>
  <c r="I155" i="4"/>
  <c r="I159" i="4" s="1"/>
  <c r="J155" i="4"/>
  <c r="J159" i="4" s="1"/>
  <c r="C156" i="4"/>
  <c r="D156" i="4"/>
  <c r="E156" i="4"/>
  <c r="F156" i="4"/>
  <c r="G156" i="4"/>
  <c r="H156" i="4"/>
  <c r="I156" i="4"/>
  <c r="J156" i="4"/>
  <c r="C183" i="4"/>
  <c r="D183" i="4"/>
  <c r="E183" i="4"/>
  <c r="F183" i="4"/>
  <c r="G183" i="4"/>
  <c r="H183" i="4"/>
  <c r="I183" i="4"/>
  <c r="J183" i="4"/>
  <c r="C184" i="4"/>
  <c r="C188" i="4" s="1"/>
  <c r="D184" i="4"/>
  <c r="D188" i="4" s="1"/>
  <c r="E184" i="4"/>
  <c r="E188" i="4" s="1"/>
  <c r="F184" i="4"/>
  <c r="F188" i="4" s="1"/>
  <c r="G184" i="4"/>
  <c r="G188" i="4" s="1"/>
  <c r="H184" i="4"/>
  <c r="H188" i="4" s="1"/>
  <c r="I184" i="4"/>
  <c r="I188" i="4" s="1"/>
  <c r="J184" i="4"/>
  <c r="J188" i="4" s="1"/>
  <c r="C185" i="4"/>
  <c r="D185" i="4"/>
  <c r="E185" i="4"/>
  <c r="F185" i="4"/>
  <c r="G185" i="4"/>
  <c r="H185" i="4"/>
  <c r="I185" i="4"/>
  <c r="J185" i="4"/>
  <c r="B28" i="5"/>
  <c r="D28" i="5" s="1"/>
  <c r="B12" i="5"/>
  <c r="D12" i="5" s="1"/>
  <c r="B23" i="5"/>
  <c r="D23" i="5" s="1"/>
  <c r="B7" i="5"/>
  <c r="D7" i="5" s="1"/>
  <c r="C72" i="4" l="1"/>
  <c r="J12" i="4"/>
  <c r="J43" i="4" s="1"/>
  <c r="J42" i="4" s="1"/>
  <c r="H12" i="4"/>
  <c r="H43" i="4" s="1"/>
  <c r="H42" i="4" s="1"/>
  <c r="G12" i="4"/>
  <c r="G43" i="4" s="1"/>
  <c r="G42" i="4" s="1"/>
  <c r="F12" i="4"/>
  <c r="E12" i="4"/>
  <c r="E43" i="4" s="1"/>
  <c r="E42" i="4" s="1"/>
  <c r="D12" i="4"/>
  <c r="D43" i="4" s="1"/>
  <c r="D42" i="4" s="1"/>
  <c r="I12" i="4"/>
  <c r="I43" i="4" s="1"/>
  <c r="I42" i="4" s="1"/>
  <c r="C12" i="4"/>
  <c r="G23" i="5"/>
  <c r="N23" i="5"/>
  <c r="M23" i="5"/>
  <c r="M28" i="5"/>
  <c r="G28" i="5"/>
  <c r="N28" i="5"/>
  <c r="M12" i="5"/>
  <c r="G12" i="5"/>
  <c r="N12" i="5"/>
  <c r="N7" i="5"/>
  <c r="G7" i="5"/>
  <c r="M7" i="5"/>
  <c r="E14" i="4" l="1"/>
  <c r="F43" i="4"/>
  <c r="F42" i="4" s="1"/>
  <c r="C10" i="8"/>
  <c r="G14" i="4"/>
  <c r="H14" i="4"/>
  <c r="I14" i="4"/>
  <c r="J14" i="4"/>
  <c r="D14" i="4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C20" i="8" l="1"/>
  <c r="D10" i="8"/>
  <c r="D20" i="8" s="1"/>
  <c r="F14" i="4"/>
  <c r="E41" i="4"/>
  <c r="C41" i="4"/>
  <c r="D41" i="4"/>
  <c r="J41" i="4"/>
  <c r="H41" i="4"/>
  <c r="G41" i="4"/>
  <c r="F41" i="4"/>
  <c r="I41" i="4"/>
  <c r="H215" i="4"/>
  <c r="D215" i="4"/>
  <c r="G215" i="4"/>
  <c r="C215" i="4"/>
  <c r="J215" i="4"/>
  <c r="I215" i="4"/>
  <c r="F215" i="4"/>
  <c r="E215" i="4"/>
  <c r="C70" i="4"/>
  <c r="I70" i="4"/>
  <c r="F99" i="4"/>
  <c r="C128" i="4"/>
  <c r="I128" i="4"/>
  <c r="F157" i="4"/>
  <c r="C186" i="4"/>
  <c r="I186" i="4"/>
  <c r="E128" i="4"/>
  <c r="F70" i="4"/>
  <c r="C99" i="4"/>
  <c r="I99" i="4"/>
  <c r="F128" i="4"/>
  <c r="C157" i="4"/>
  <c r="I157" i="4"/>
  <c r="F186" i="4"/>
  <c r="D70" i="4"/>
  <c r="J70" i="4"/>
  <c r="G99" i="4"/>
  <c r="D128" i="4"/>
  <c r="J128" i="4"/>
  <c r="G157" i="4"/>
  <c r="D186" i="4"/>
  <c r="J186" i="4"/>
  <c r="E70" i="4"/>
  <c r="H99" i="4"/>
  <c r="H157" i="4"/>
  <c r="E186" i="4"/>
  <c r="G70" i="4"/>
  <c r="H70" i="4"/>
  <c r="D157" i="4"/>
  <c r="G128" i="4"/>
  <c r="J99" i="4"/>
  <c r="H128" i="4"/>
  <c r="J157" i="4"/>
  <c r="D99" i="4"/>
  <c r="E99" i="4"/>
  <c r="E157" i="4"/>
  <c r="G186" i="4"/>
  <c r="H186" i="4"/>
  <c r="C5" i="4" l="1"/>
  <c r="C6" i="4"/>
  <c r="C7" i="4"/>
  <c r="C8" i="4" l="1"/>
  <c r="C9" i="4" l="1"/>
  <c r="C28" i="2" l="1"/>
  <c r="C5" i="3" s="1"/>
  <c r="C15" i="2" l="1"/>
  <c r="B5" i="5"/>
  <c r="D5" i="5" s="1"/>
  <c r="C4" i="2" l="1"/>
  <c r="C25" i="2"/>
  <c r="C14" i="2"/>
  <c r="C26" i="2"/>
  <c r="C17" i="2"/>
  <c r="C10" i="2"/>
  <c r="C11" i="2"/>
  <c r="C27" i="2"/>
  <c r="C13" i="2"/>
  <c r="C6" i="2"/>
  <c r="C21" i="2"/>
  <c r="C8" i="2"/>
  <c r="C16" i="2"/>
  <c r="C3" i="2"/>
  <c r="C5" i="2"/>
  <c r="C20" i="2"/>
  <c r="C18" i="2"/>
  <c r="C12" i="2"/>
  <c r="C9" i="2"/>
  <c r="C19" i="2"/>
  <c r="C22" i="2"/>
  <c r="C7" i="2"/>
  <c r="B6" i="5"/>
  <c r="D6" i="5" s="1"/>
  <c r="B21" i="5"/>
  <c r="D21" i="5" s="1"/>
  <c r="B22" i="5"/>
  <c r="D22" i="5" s="1"/>
  <c r="M5" i="5"/>
  <c r="N5" i="5"/>
  <c r="G5" i="5"/>
  <c r="D40" i="3" l="1"/>
  <c r="F40" i="3" s="1"/>
  <c r="D14" i="3"/>
  <c r="F14" i="3" s="1"/>
  <c r="D20" i="3"/>
  <c r="D36" i="3"/>
  <c r="N6" i="5"/>
  <c r="M6" i="5"/>
  <c r="G6" i="5"/>
  <c r="B8" i="5"/>
  <c r="D8" i="5" s="1"/>
  <c r="G8" i="5" s="1"/>
  <c r="B10" i="5"/>
  <c r="D10" i="5" s="1"/>
  <c r="G10" i="5" s="1"/>
  <c r="B9" i="5"/>
  <c r="D9" i="5" s="1"/>
  <c r="N9" i="5" s="1"/>
  <c r="G22" i="5"/>
  <c r="N22" i="5"/>
  <c r="M22" i="5"/>
  <c r="N21" i="5"/>
  <c r="G21" i="5"/>
  <c r="M21" i="5"/>
  <c r="B4" i="5"/>
  <c r="B20" i="5"/>
  <c r="D24" i="3" l="1"/>
  <c r="F24" i="3" s="1"/>
  <c r="D25" i="3"/>
  <c r="F25" i="3" s="1"/>
  <c r="D26" i="3"/>
  <c r="F26" i="3" s="1"/>
  <c r="D32" i="3"/>
  <c r="F32" i="3" s="1"/>
  <c r="D27" i="3"/>
  <c r="F27" i="3" s="1"/>
  <c r="D33" i="3"/>
  <c r="F33" i="3" s="1"/>
  <c r="D28" i="3"/>
  <c r="F28" i="3" s="1"/>
  <c r="D34" i="3"/>
  <c r="F34" i="3" s="1"/>
  <c r="D29" i="3"/>
  <c r="F29" i="3" s="1"/>
  <c r="D35" i="3"/>
  <c r="F35" i="3" s="1"/>
  <c r="D30" i="3"/>
  <c r="F30" i="3" s="1"/>
  <c r="D31" i="3"/>
  <c r="F31" i="3" s="1"/>
  <c r="D19" i="3"/>
  <c r="F19" i="3" s="1"/>
  <c r="D18" i="3"/>
  <c r="F18" i="3" s="1"/>
  <c r="G9" i="5"/>
  <c r="N8" i="5"/>
  <c r="N10" i="5"/>
  <c r="M8" i="5"/>
  <c r="M9" i="5"/>
  <c r="M10" i="5"/>
  <c r="B13" i="5"/>
  <c r="B11" i="5"/>
  <c r="D11" i="5" s="1"/>
  <c r="G11" i="5" s="1"/>
  <c r="B24" i="5"/>
  <c r="D24" i="5" s="1"/>
  <c r="N24" i="5" s="1"/>
  <c r="B26" i="5"/>
  <c r="D26" i="5" s="1"/>
  <c r="M26" i="5" s="1"/>
  <c r="B25" i="5"/>
  <c r="D25" i="5" s="1"/>
  <c r="G25" i="5" s="1"/>
  <c r="B27" i="5"/>
  <c r="D27" i="5" s="1"/>
  <c r="M27" i="5" s="1"/>
  <c r="B29" i="5"/>
  <c r="D20" i="5"/>
  <c r="D4" i="5"/>
  <c r="F36" i="3" l="1"/>
  <c r="F20" i="3"/>
  <c r="M11" i="5"/>
  <c r="B16" i="5"/>
  <c r="C16" i="5" s="1"/>
  <c r="N11" i="5"/>
  <c r="G24" i="5"/>
  <c r="M24" i="5"/>
  <c r="N26" i="5"/>
  <c r="G26" i="5"/>
  <c r="N25" i="5"/>
  <c r="G27" i="5"/>
  <c r="M25" i="5"/>
  <c r="B32" i="5"/>
  <c r="C32" i="5" s="1"/>
  <c r="N27" i="5"/>
  <c r="M20" i="5"/>
  <c r="G20" i="5"/>
  <c r="D29" i="5"/>
  <c r="N20" i="5"/>
  <c r="M4" i="5"/>
  <c r="N4" i="5"/>
  <c r="D13" i="5"/>
  <c r="G4" i="5"/>
  <c r="C8" i="3" l="1"/>
  <c r="C10" i="3" s="1"/>
  <c r="N29" i="5"/>
  <c r="N32" i="5" s="1"/>
  <c r="M29" i="5"/>
  <c r="M32" i="5" s="1"/>
  <c r="M33" i="5" s="1"/>
  <c r="G29" i="5"/>
  <c r="M13" i="5"/>
  <c r="M16" i="5" s="1"/>
  <c r="M17" i="5" s="1"/>
  <c r="G13" i="5"/>
  <c r="N13" i="5"/>
  <c r="N16" i="5" s="1"/>
  <c r="N17" i="5" s="1"/>
  <c r="C43" i="4"/>
  <c r="C42" i="4" s="1"/>
  <c r="C61" i="8"/>
  <c r="C59" i="8"/>
  <c r="C62" i="8" l="1"/>
  <c r="G59" i="8"/>
  <c r="G58" i="8"/>
  <c r="G46" i="8"/>
  <c r="G48" i="8"/>
  <c r="G50" i="8"/>
  <c r="G52" i="8"/>
  <c r="G54" i="8"/>
  <c r="G56" i="8"/>
  <c r="G47" i="8"/>
  <c r="G49" i="8"/>
  <c r="G51" i="8"/>
  <c r="G53" i="8"/>
  <c r="G55" i="8"/>
  <c r="G57" i="8"/>
  <c r="G60" i="8"/>
  <c r="C14" i="4"/>
  <c r="N33" i="5"/>
  <c r="G61" i="8"/>
  <c r="G45" i="8"/>
  <c r="G62" i="8" l="1"/>
  <c r="C4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tc={E02B1721-61E0-4142-91F8-1B70D7524CFF}</author>
  </authors>
  <commentList>
    <comment ref="R28" authorId="0" shapeId="0" xr:uid="{E02B1721-61E0-4142-91F8-1B70D7524CF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Inventaire fait sur la base de l’article : Jiang, N. B., Zhang, L. L., Cui, C. X., Gao, L., &amp; Yang, X. L. (2022). Synthesis and electrochemical performance of uniform carbon-coated Na3V2 (PO4) 2F3 using tannic acid as a chelating agent and carbon source. ACS Applied Energy Materials, 5(1), 249-256.
</t>
      </text>
    </comment>
  </commentList>
</comments>
</file>

<file path=xl/sharedStrings.xml><?xml version="1.0" encoding="utf-8"?>
<sst xmlns="http://schemas.openxmlformats.org/spreadsheetml/2006/main" count="1557" uniqueCount="590">
  <si>
    <t>Material</t>
  </si>
  <si>
    <t>Al</t>
  </si>
  <si>
    <t>Cu</t>
  </si>
  <si>
    <t>Fe</t>
  </si>
  <si>
    <t>Other metals and metal salts</t>
  </si>
  <si>
    <t>TOTAL</t>
  </si>
  <si>
    <t>LMO</t>
  </si>
  <si>
    <t>LFP (Hydrothermal)</t>
  </si>
  <si>
    <t>LFP (Solid State)</t>
  </si>
  <si>
    <t>LMFP</t>
  </si>
  <si>
    <t>NMC111</t>
  </si>
  <si>
    <t>NMC532</t>
  </si>
  <si>
    <t>NMC622</t>
  </si>
  <si>
    <t>NMC811</t>
  </si>
  <si>
    <t>NMC955</t>
  </si>
  <si>
    <t>Na-ion Tiamat</t>
  </si>
  <si>
    <t>LFP - LiM BS</t>
  </si>
  <si>
    <t>NMC811 - LiM BS</t>
  </si>
  <si>
    <t xml:space="preserve">    Cathode Active Material</t>
  </si>
  <si>
    <t xml:space="preserve">    Graphite/Carbon</t>
  </si>
  <si>
    <t xml:space="preserve">    Silicon</t>
  </si>
  <si>
    <t xml:space="preserve">    Binder</t>
  </si>
  <si>
    <t xml:space="preserve">    Wrought Aluminum</t>
  </si>
  <si>
    <t xml:space="preserve">    Copper</t>
  </si>
  <si>
    <t xml:space="preserve">    Electrolyte: LiPF6</t>
  </si>
  <si>
    <t xml:space="preserve">    Electrolyte: Ethylene Carbonate</t>
  </si>
  <si>
    <t xml:space="preserve">    Electrolyte: Dimethyl Carbonate</t>
  </si>
  <si>
    <t xml:space="preserve">    Plastic: Polypropylene</t>
  </si>
  <si>
    <t>Acid tannic./ citric</t>
  </si>
  <si>
    <t>Ammonia (NH3)</t>
  </si>
  <si>
    <t>Nickel Sulfate (NiSO4)</t>
  </si>
  <si>
    <t>Cobalt Sulfate (CoSO4)</t>
  </si>
  <si>
    <t>Manganese Sulfate (MnSO4)</t>
  </si>
  <si>
    <t>Sodium Hydroxide (NaOH)</t>
  </si>
  <si>
    <t>Ammonium Hydroxide (NH4OH)</t>
  </si>
  <si>
    <t>Hydrochloric Acid (HCl)</t>
  </si>
  <si>
    <t>Aluminum sulfate (Al2(SO4)3)</t>
  </si>
  <si>
    <t>V2O5</t>
  </si>
  <si>
    <t>Soda ash (Na2CO3)</t>
  </si>
  <si>
    <t>NaF</t>
  </si>
  <si>
    <t>Lithium Hydoxide (LiOH)</t>
  </si>
  <si>
    <t>Oxygen (O2)</t>
  </si>
  <si>
    <t>Phosphoric Acid (H3PO4)</t>
  </si>
  <si>
    <t>Iron Sulfate (FeSO4)</t>
  </si>
  <si>
    <t>Cobalt Oxide (Co3O4)</t>
  </si>
  <si>
    <t>Lithium Carbonate (Li2CO3)</t>
  </si>
  <si>
    <t>Iron Oxide (Fe3O4)</t>
  </si>
  <si>
    <t>Diammonium Phosphate</t>
  </si>
  <si>
    <t>NMP</t>
  </si>
  <si>
    <t>Mn2O3</t>
  </si>
  <si>
    <t>Co salt</t>
  </si>
  <si>
    <t>Ni salts</t>
  </si>
  <si>
    <t>Mn salts</t>
  </si>
  <si>
    <t>Li salts</t>
  </si>
  <si>
    <t>Other materials</t>
  </si>
  <si>
    <t xml:space="preserve">    Cast Aluminum</t>
  </si>
  <si>
    <t xml:space="preserve">    Plastic: Polyethylene</t>
  </si>
  <si>
    <t xml:space="preserve">    Plastic: Polymer</t>
  </si>
  <si>
    <t xml:space="preserve">    Plastic: Polyethylene Terephthalate</t>
  </si>
  <si>
    <t xml:space="preserve">    Steel</t>
  </si>
  <si>
    <t xml:space="preserve">    Stainless Steel</t>
  </si>
  <si>
    <t xml:space="preserve">    Ceramic</t>
  </si>
  <si>
    <t xml:space="preserve">    Thermal Insulation</t>
  </si>
  <si>
    <t xml:space="preserve">    Coolant: Glycol</t>
  </si>
  <si>
    <t xml:space="preserve">    Electronic Parts</t>
  </si>
  <si>
    <t>BATTERY</t>
  </si>
  <si>
    <t>% weight</t>
  </si>
  <si>
    <t>Cell mass</t>
  </si>
  <si>
    <t>Total</t>
  </si>
  <si>
    <t>MODULE</t>
  </si>
  <si>
    <t>Module mass minus cell</t>
  </si>
  <si>
    <t>Pack mass minus Module</t>
  </si>
  <si>
    <t>PACK</t>
  </si>
  <si>
    <t>Battery Weight (kg) :</t>
  </si>
  <si>
    <t>Cells</t>
  </si>
  <si>
    <t>Module</t>
  </si>
  <si>
    <t>Pack</t>
  </si>
  <si>
    <t>NCA</t>
  </si>
  <si>
    <t>Battery range</t>
  </si>
  <si>
    <t>decalage</t>
  </si>
  <si>
    <t>km</t>
  </si>
  <si>
    <t>LFP</t>
  </si>
  <si>
    <t>kWh</t>
  </si>
  <si>
    <t>PHEV (35-mile)</t>
  </si>
  <si>
    <t>EV: 150 miles</t>
  </si>
  <si>
    <t>PHEV (50-mile)</t>
  </si>
  <si>
    <t>EV: 200 miles</t>
  </si>
  <si>
    <t>EV: 300 miles</t>
  </si>
  <si>
    <t>material</t>
  </si>
  <si>
    <t>weight (kg)</t>
  </si>
  <si>
    <t>Données Greet - range</t>
  </si>
  <si>
    <t>Ref GREET</t>
  </si>
  <si>
    <t>Sulfuric acid (H2SO4)</t>
  </si>
  <si>
    <t>EV: 400 miles</t>
  </si>
  <si>
    <t>Capaciy (kWh)</t>
  </si>
  <si>
    <t>LFP cell</t>
  </si>
  <si>
    <t>Qtté pour 1kg</t>
  </si>
  <si>
    <t>A</t>
  </si>
  <si>
    <t>Q</t>
  </si>
  <si>
    <t>Erec CO2</t>
  </si>
  <si>
    <t>Erec CE</t>
  </si>
  <si>
    <t>Ev CO2</t>
  </si>
  <si>
    <t>Ev CE</t>
  </si>
  <si>
    <t>crédit CO2</t>
  </si>
  <si>
    <t>crédit CE</t>
  </si>
  <si>
    <t>Graphite / hard carbon (cell)</t>
  </si>
  <si>
    <t>aluminium ingot, virgin, market, RER</t>
  </si>
  <si>
    <t>copper, cathode//[GLO] market for copper, cathode</t>
  </si>
  <si>
    <t>steel, unalloyed//[RER] steel production, converter, unalloyed</t>
  </si>
  <si>
    <t>Co (cell) salt</t>
  </si>
  <si>
    <t>cobalt sulfate//[CN] cobalt sulfate production</t>
  </si>
  <si>
    <t>Ni salts (cell)</t>
  </si>
  <si>
    <t>Mn (cell) salts</t>
  </si>
  <si>
    <t>Li salts (cell)</t>
  </si>
  <si>
    <t>lithium carbonate//[GLO] market for lithium carbonate</t>
  </si>
  <si>
    <t>Other materials (cell)</t>
  </si>
  <si>
    <t>return rate</t>
  </si>
  <si>
    <t>NMC811 cell</t>
  </si>
  <si>
    <t>1/ Battery cell recycling process per kg of battery cell : pyrometallurgical step</t>
  </si>
  <si>
    <t xml:space="preserve">Source données </t>
  </si>
  <si>
    <t>Acte délégué Article 7 Battery regulation - Table 4</t>
  </si>
  <si>
    <t xml:space="preserve">Inputs </t>
  </si>
  <si>
    <t>Component</t>
  </si>
  <si>
    <t xml:space="preserve">description </t>
  </si>
  <si>
    <t>Unit</t>
  </si>
  <si>
    <t>default value</t>
  </si>
  <si>
    <t>End of life battery cells</t>
  </si>
  <si>
    <t>from disassembly</t>
  </si>
  <si>
    <t>kg</t>
  </si>
  <si>
    <t>Electricity</t>
  </si>
  <si>
    <t>Electricity mix</t>
  </si>
  <si>
    <t>process heat</t>
  </si>
  <si>
    <t xml:space="preserve">limestone washed </t>
  </si>
  <si>
    <t>Limestone production, technology mix</t>
  </si>
  <si>
    <t>Silica sand</t>
  </si>
  <si>
    <t>Silica sand, production mix</t>
  </si>
  <si>
    <t>Quicklime (CAO)</t>
  </si>
  <si>
    <t>Quicklime production, technology mix</t>
  </si>
  <si>
    <t>Carbon black</t>
  </si>
  <si>
    <t>Carbon black production, technology mix</t>
  </si>
  <si>
    <t>Transport from the dissembling to the battery cell recycling plant</t>
  </si>
  <si>
    <t>Transport by truck (&gt;32 t, EURO 4);</t>
  </si>
  <si>
    <t>Transport by train (average freight train)</t>
  </si>
  <si>
    <t>Transport from the dissembling to the battery cell recycling plantf</t>
  </si>
  <si>
    <t>Transport by ship (barge).</t>
  </si>
  <si>
    <t xml:space="preserve">Outputs </t>
  </si>
  <si>
    <t>Metal alloy</t>
  </si>
  <si>
    <t>To hydrometallurgical tretment</t>
  </si>
  <si>
    <t>Slag</t>
  </si>
  <si>
    <t>Landfill of inert slag</t>
  </si>
  <si>
    <t>Emissions</t>
  </si>
  <si>
    <t>Direct process emissions (all greenhouse gases)</t>
  </si>
  <si>
    <t xml:space="preserve">kgCO2eq. </t>
  </si>
  <si>
    <t>TOTAL IMPACT Erec</t>
  </si>
  <si>
    <t>2/ Default values for battery cell recycling process per kg of battery cell: hydrometallurgical treatment.</t>
  </si>
  <si>
    <t>Acte délégué Article 7 Battery regulation - Table 5</t>
  </si>
  <si>
    <t>To hydrometallurgical treatment</t>
  </si>
  <si>
    <t>Process heat</t>
  </si>
  <si>
    <t>Hydrochloric acid (100%)</t>
  </si>
  <si>
    <t>HCl production, technology mix</t>
  </si>
  <si>
    <t>Hydrogen peroxide (100%)</t>
  </si>
  <si>
    <t>Hydrogen peroxide, production, technology mix</t>
  </si>
  <si>
    <t>Soda (sodium carbonate)</t>
  </si>
  <si>
    <t>Soda production, technology mix</t>
  </si>
  <si>
    <t>Sodium hydroxide (100%; caustic soda)</t>
  </si>
  <si>
    <t>Sodium hydroxide production, technology mix</t>
  </si>
  <si>
    <t>Sulphuric acid aq. (96%)</t>
  </si>
  <si>
    <t>Sulphuric acid production, technology mix</t>
  </si>
  <si>
    <t>Water (tap water)</t>
  </si>
  <si>
    <t>m3</t>
  </si>
  <si>
    <t>Recovered metals</t>
  </si>
  <si>
    <t>Such as aluminium, copper, steel and stainless steel</t>
  </si>
  <si>
    <t>Recovered metal salts</t>
  </si>
  <si>
    <t>Such as cobalt sulphate and nickel sulphate</t>
  </si>
  <si>
    <t>Wastewater</t>
  </si>
  <si>
    <t>Wastewater treatment, average</t>
  </si>
  <si>
    <t>limestone, crushed, washed//[CH] limestone production, crushed, washed</t>
  </si>
  <si>
    <t>silica sand//[DE] silica sand production</t>
  </si>
  <si>
    <t>quicklime, milled, loose//[CH] quicklime production, milled, loose</t>
  </si>
  <si>
    <t>carbon black//[GLO] carbon black production</t>
  </si>
  <si>
    <t>hydrochloric acid, without water, in 30% solution state//[RER] Mannheim process</t>
  </si>
  <si>
    <t>hydrogen peroxide, without water, in 50% solution state//[RER] hydrogen peroxide production, product in 50% solution state</t>
  </si>
  <si>
    <t>calcium chloride//[RER] soda production, solvay process</t>
  </si>
  <si>
    <t>sodium hydroxide, without water, in 50% solution state//[GLO] market for sodium hydroxide, without water, in 50% solution state</t>
  </si>
  <si>
    <t>tap water//[RER] market group for tap water</t>
  </si>
  <si>
    <t>wastewater, average//[Europe without Switzerland] treatment of wastewater, average, wastewater treatment</t>
  </si>
  <si>
    <t>Retenu</t>
  </si>
  <si>
    <t>Reglement batterie obj. 2027</t>
  </si>
  <si>
    <t>Reglement batterie ob. 2031</t>
  </si>
  <si>
    <t>Scénario de recyclage</t>
  </si>
  <si>
    <t>Part récupérée</t>
  </si>
  <si>
    <t>Quantité procédé hydro DA</t>
  </si>
  <si>
    <t>Acte Délégué</t>
  </si>
  <si>
    <t>Métaux seul</t>
  </si>
  <si>
    <t>Métaux + slag</t>
  </si>
  <si>
    <t>unit</t>
  </si>
  <si>
    <t>kwh</t>
  </si>
  <si>
    <t>t.km</t>
  </si>
  <si>
    <t>cell recycling - pyrometallurgical step</t>
  </si>
  <si>
    <t>cell recycling - hydrometallurgical step, for 0.34kg</t>
  </si>
  <si>
    <t>electricity, medium voltage//[RER] market group for electricity, medium voltage</t>
  </si>
  <si>
    <t>heat, district or industrial, natural gas//[RER] market group for heat, district or industrial, natural gas</t>
  </si>
  <si>
    <t>heat, district or industrial, other than natural gas//[RER] market group for heat, district or industrial, other than natural gas</t>
  </si>
  <si>
    <t>transport, freight, lorry &gt;32 metric ton, EURO4//[RER] transport, freight, lorry &gt;32 metric ton, EURO4</t>
  </si>
  <si>
    <t>transport, freight train//[RER] market group for transport, freight train</t>
  </si>
  <si>
    <t>transport, freight, inland waterways, barge//[RER] transport, freight, inland waterways, barge</t>
  </si>
  <si>
    <t>MJ</t>
  </si>
  <si>
    <t>Cell treatment - Pyrometallurgy</t>
  </si>
  <si>
    <t>Cell treatment - Hydrometallurgy</t>
  </si>
  <si>
    <t>heat MJ/kgCAM output</t>
  </si>
  <si>
    <t>TOTAL MATERIAL INPUT</t>
  </si>
  <si>
    <t>kg/kg cell</t>
  </si>
  <si>
    <t>% in 1kg cell</t>
  </si>
  <si>
    <t>kg/kg CAM</t>
  </si>
  <si>
    <t>electricity</t>
  </si>
  <si>
    <t>kWh/kgCAM</t>
  </si>
  <si>
    <t>MJ/kgCAM</t>
  </si>
  <si>
    <t>direct CO2 emission</t>
  </si>
  <si>
    <t>kgCO2e/kgCAM</t>
  </si>
  <si>
    <t>kWh/kgCell</t>
  </si>
  <si>
    <t>MJ/kgCell</t>
  </si>
  <si>
    <t>Heat</t>
  </si>
  <si>
    <t>cell composition - % weight</t>
  </si>
  <si>
    <t>Energy &amp; emission for cell production</t>
  </si>
  <si>
    <t>Module &amp; Pack assembling</t>
  </si>
  <si>
    <t>Electricity consumption</t>
  </si>
  <si>
    <t>kg/battery</t>
  </si>
  <si>
    <t>BAM Graphite production</t>
  </si>
  <si>
    <t>kWh/kgBAM</t>
  </si>
  <si>
    <t>MJ/kgBAM</t>
  </si>
  <si>
    <t>Source : 2024 Carriere_Carbon footprint assessment of manufacturing of synthetic graphite battery anode material for electric mobility applications</t>
  </si>
  <si>
    <t>Input/output</t>
  </si>
  <si>
    <t>Graphite</t>
  </si>
  <si>
    <t>Source : GREET</t>
  </si>
  <si>
    <t>CAM production</t>
  </si>
  <si>
    <t>HEV</t>
  </si>
  <si>
    <t>Specific energy (Wh/kgCell)</t>
  </si>
  <si>
    <t>Specific energy (Wh/kgBattery)</t>
  </si>
  <si>
    <t>PC</t>
  </si>
  <si>
    <t>Silicone</t>
  </si>
  <si>
    <t>PUR</t>
  </si>
  <si>
    <t>PA</t>
  </si>
  <si>
    <t>Aluminium</t>
  </si>
  <si>
    <t>Inox</t>
  </si>
  <si>
    <t>Cable</t>
  </si>
  <si>
    <t>BMS</t>
  </si>
  <si>
    <t>e-bike</t>
  </si>
  <si>
    <t>e-cargobike</t>
  </si>
  <si>
    <t>e-scooter</t>
  </si>
  <si>
    <t>battery pack</t>
  </si>
  <si>
    <t>PWB</t>
  </si>
  <si>
    <t>Paper</t>
  </si>
  <si>
    <t>https://doi.org/10.1016/j.est.2025.116965</t>
  </si>
  <si>
    <t>ABS</t>
  </si>
  <si>
    <t>Plastique renforcé fibre de verre</t>
  </si>
  <si>
    <t>Weight per cell</t>
  </si>
  <si>
    <t>Battery capacity (Wh)</t>
  </si>
  <si>
    <t>nb cell</t>
  </si>
  <si>
    <t>Battery weight (kg)</t>
  </si>
  <si>
    <t>Battery composition</t>
  </si>
  <si>
    <t>PC (cells pack)</t>
  </si>
  <si>
    <t>Aluminium (cells pack)</t>
  </si>
  <si>
    <t>synthetic graphite, battery grade//[CN] synthetic graphite production, battery grade</t>
  </si>
  <si>
    <t>synthetic graphite, battery grade//[RoW] synthetic graphite production, battery grade</t>
  </si>
  <si>
    <t>CN</t>
  </si>
  <si>
    <t>RoW</t>
  </si>
  <si>
    <t>Acheson, EI</t>
  </si>
  <si>
    <t>ECS</t>
  </si>
  <si>
    <t>Europe</t>
  </si>
  <si>
    <t>RER</t>
  </si>
  <si>
    <t>Electricity mix, RER</t>
  </si>
  <si>
    <t>Heat, from natural gas</t>
  </si>
  <si>
    <t>Heat from diesel fuel</t>
  </si>
  <si>
    <t>Heat, from natural gas, Europe</t>
  </si>
  <si>
    <t>Heat from diesel fuel, Europe</t>
  </si>
  <si>
    <t>Heat, RoW</t>
  </si>
  <si>
    <t>electricity, medium voltage//[RAF] market group for electricity, medium voltage</t>
  </si>
  <si>
    <t>electricity, medium voltage//[RNA] market group for electricity, medium voltage</t>
  </si>
  <si>
    <t>electricity, medium voltage//[RLA] market group for electricity, medium voltage</t>
  </si>
  <si>
    <t>electricity, medium voltage//[RAS] market group for electricity, medium voltage</t>
  </si>
  <si>
    <t>electricity, medium voltage//[CN] market group for electricity, medium voltage</t>
  </si>
  <si>
    <t>electricity, medium voltage//[IN] market group for electricity, medium voltage</t>
  </si>
  <si>
    <t>electricity, medium voltage//[MA] market for electricity, medium voltage</t>
  </si>
  <si>
    <t>electricity, medium voltage//[CZ] market for electricity, medium voltage</t>
  </si>
  <si>
    <t>electricity, medium voltage//[TR] market for electricity, medium voltage</t>
  </si>
  <si>
    <t>electricity, medium voltage//[VN] market for electricity, medium voltage</t>
  </si>
  <si>
    <t>electricity, medium voltage//[DE] market for electricity, medium voltage</t>
  </si>
  <si>
    <t>electricity, medium voltage//[FR] market for electricity, medium voltage</t>
  </si>
  <si>
    <t>electricity, medium voltage//[PL] market for electricity, medium voltage</t>
  </si>
  <si>
    <t>RAF</t>
  </si>
  <si>
    <t>RNA</t>
  </si>
  <si>
    <t>RLA</t>
  </si>
  <si>
    <t>RAS</t>
  </si>
  <si>
    <t>IN</t>
  </si>
  <si>
    <t>MA</t>
  </si>
  <si>
    <t>CZ</t>
  </si>
  <si>
    <t>TR</t>
  </si>
  <si>
    <t>VN</t>
  </si>
  <si>
    <t>DE</t>
  </si>
  <si>
    <t>FR</t>
  </si>
  <si>
    <t>PL</t>
  </si>
  <si>
    <t>Zinc</t>
  </si>
  <si>
    <t>Brass</t>
  </si>
  <si>
    <t>Plastic</t>
  </si>
  <si>
    <t>Aluminium vierge</t>
  </si>
  <si>
    <t>RER, Ecobalyse</t>
  </si>
  <si>
    <t>Copper</t>
  </si>
  <si>
    <t>Graphite, Acheson, EI</t>
  </si>
  <si>
    <t>Cell material</t>
  </si>
  <si>
    <t>Acier mix marché (Europe)</t>
  </si>
  <si>
    <t>steel, low-alloyed, market, FR, constructed by Ecobalyse</t>
  </si>
  <si>
    <t>Acier mix marché (Reste du monde)</t>
  </si>
  <si>
    <t>steel, low-alloyed, market, CN, constructed by Ecobalyse</t>
  </si>
  <si>
    <t>Acier inoxydable</t>
  </si>
  <si>
    <t>steel, chromium steel 18/8//[GLO] market for steel, chromium steel 18/8</t>
  </si>
  <si>
    <t>aluminium, low-alloyed, virgin, market, CN, constructed by Ecobalyse</t>
  </si>
  <si>
    <t>aluminium, low-alloyed, market, RER, constructed by Ecobalyse</t>
  </si>
  <si>
    <t>aluminium, low-alloyed, market, RoW, constructed by Ecobalyse</t>
  </si>
  <si>
    <t>Composé organique</t>
  </si>
  <si>
    <t>chemical, organic//[GLO] market for chemical, organic</t>
  </si>
  <si>
    <t>Extrusion (aluminium)</t>
  </si>
  <si>
    <t>Aluminium extrusion, constructed by Ecobalyse</t>
  </si>
  <si>
    <t>Extrusion + thermoformage (plastique)</t>
  </si>
  <si>
    <t>extrusion of plastic sheets and thermoforming, inline//[GLO] market for extrusion of plastic sheets and thermoforming, inline</t>
  </si>
  <si>
    <t>Cuivre</t>
  </si>
  <si>
    <t>Lamination (acier)</t>
  </si>
  <si>
    <t>steel sheet rolling, constructed by Ecobalyse</t>
  </si>
  <si>
    <t>Lamination (aluminium)</t>
  </si>
  <si>
    <t>Aluminium sheeet rolling, constructed by Ecobalyse</t>
  </si>
  <si>
    <t>Lamination (inox)</t>
  </si>
  <si>
    <t>chromium steel sheet rolling, constructed by Ecobalyse</t>
  </si>
  <si>
    <t>Moulage par injection</t>
  </si>
  <si>
    <t>injection moulding//[RER] injection moulding</t>
  </si>
  <si>
    <t>Mousse rigide (PUR)</t>
  </si>
  <si>
    <t>polyurethane, rigid foam//[RER] polyurethane production, rigid foam</t>
  </si>
  <si>
    <t>Plastique granulé (PET)</t>
  </si>
  <si>
    <t>polyethylene terephthalate, granulate, amorphous//[GLO] market for polyethylene terephthalate, granulate, amorphous</t>
  </si>
  <si>
    <t>Plastique granulé (PVC)</t>
  </si>
  <si>
    <t>polyvinylchloride, suspension polymerised//[GLO] market for polyvinylchloride, suspension polymerised</t>
  </si>
  <si>
    <t>Plastique granulé (divers)</t>
  </si>
  <si>
    <t>polypropylene, granulate//[GLO] market for polypropylene, granulate</t>
  </si>
  <si>
    <t>Plastique rigide (ABS)</t>
  </si>
  <si>
    <t>acrylonitrile-butadiene-styrene copolymer//[GLO] market for acrylonitrile-butadiene-styrene copolymer</t>
  </si>
  <si>
    <t>Plastique rigide (PC)</t>
  </si>
  <si>
    <t>polycarbonate//[RER] polycarbonate production</t>
  </si>
  <si>
    <t>Name, EN</t>
  </si>
  <si>
    <t>Name, FR</t>
  </si>
  <si>
    <t>CN, Ecobalyse</t>
  </si>
  <si>
    <t>RoW, Ecobalyse</t>
  </si>
  <si>
    <t>Aluminium mix marché</t>
  </si>
  <si>
    <t>Steel, market mix</t>
  </si>
  <si>
    <t>Chromium steel</t>
  </si>
  <si>
    <t>Steel, virgin</t>
  </si>
  <si>
    <t>Acier vierge</t>
  </si>
  <si>
    <t>CELL final composition (used for end of life)</t>
  </si>
  <si>
    <t>CELL production</t>
  </si>
  <si>
    <t>source : GREET, average for energy batteries</t>
  </si>
  <si>
    <t>Injection moulding</t>
  </si>
  <si>
    <t>Extrusion + thermoforming (plastics)</t>
  </si>
  <si>
    <t>Electricity mix, CN</t>
  </si>
  <si>
    <t>Direct process GHG emissions</t>
  </si>
  <si>
    <t>citric acid//[CN] citric acid production</t>
  </si>
  <si>
    <t>ammonia, anhydrous, liquid//[CN] ammonia production, steam reforming, liquid¶</t>
  </si>
  <si>
    <t>nickel sulfate//[GLO] nickel sulfate production</t>
  </si>
  <si>
    <t>GLO</t>
  </si>
  <si>
    <t>manganese sulfate//[GLO] manganese sulfate production</t>
  </si>
  <si>
    <t>Nickel Sulfate (NiSO4), GLO</t>
  </si>
  <si>
    <t>Cobalt Sulfate (CoSO4), CN</t>
  </si>
  <si>
    <t>Manganese Sulfate (MnSO4), GLO</t>
  </si>
  <si>
    <t>Acid tannic./ citric, CN</t>
  </si>
  <si>
    <t>Ammonia (NH3), CN</t>
  </si>
  <si>
    <t>Limestone</t>
  </si>
  <si>
    <t>Quicklime</t>
  </si>
  <si>
    <t>Hydrogen peroxide</t>
  </si>
  <si>
    <t>Soda</t>
  </si>
  <si>
    <t>Transport, truck (&gt;32 t, EURO 4);</t>
  </si>
  <si>
    <t>Transport, train</t>
  </si>
  <si>
    <t>Transport, ship (barge).</t>
  </si>
  <si>
    <t>aluminium sulfate, powder//[RoW] aluminium sulfate production, powder</t>
  </si>
  <si>
    <t>manganese dioxide//[GLO] manganese dioxide production</t>
  </si>
  <si>
    <t>Manganese Dioxide (MnO2)</t>
  </si>
  <si>
    <t>Lithium Carbonate (Li2CO3), GLO</t>
  </si>
  <si>
    <t>Process selected</t>
  </si>
  <si>
    <t>Qtty process</t>
  </si>
  <si>
    <t>% recovered EoL</t>
  </si>
  <si>
    <t>Qtty recovered EoL</t>
  </si>
  <si>
    <t>Qtty for 1kg</t>
  </si>
  <si>
    <t>Sodium Hydroxide (NaOH), GLO</t>
  </si>
  <si>
    <t>ammonia, anhydrous, liquid//[CN] ammonia production, steam reforming, liquid</t>
  </si>
  <si>
    <t>lithium hydroxide//[GLO] lithium hydroxide production</t>
  </si>
  <si>
    <t>Lithium Hydoxide (LiOH), GLO</t>
  </si>
  <si>
    <t>iron ore concentrate//[GLO] market for iron ore concentrate</t>
  </si>
  <si>
    <t>diammonium phosphate//[CN] diammonium phosphate production</t>
  </si>
  <si>
    <t>N-methyl-2-pyrrolidone//[RoW] N-methyl-2-pyrrolidone production</t>
  </si>
  <si>
    <t>phosphoric acid, fertiliser grade, without water, in 70% solution state//[RoW] phosphoric acid production, dihydrate process</t>
  </si>
  <si>
    <t>iron sulfate//[RoW] iron sulfate production</t>
  </si>
  <si>
    <t>GWP</t>
  </si>
  <si>
    <t>Binder</t>
  </si>
  <si>
    <t>Plastique granulé (PP)</t>
  </si>
  <si>
    <t>Cathode Active Material</t>
  </si>
  <si>
    <t>Graphite/Carbon</t>
  </si>
  <si>
    <t>Silicon</t>
  </si>
  <si>
    <t>Wrought Aluminum</t>
  </si>
  <si>
    <t>Electrolyte: LiPF6</t>
  </si>
  <si>
    <t>Electrolyte: Ethylene Carbonate</t>
  </si>
  <si>
    <t>Electrolyte: Dimethyl Carbonate</t>
  </si>
  <si>
    <t>polyvinylfluoride//[RoW] polyvinylfluoride production</t>
  </si>
  <si>
    <t>Copper foil</t>
  </si>
  <si>
    <t>copper collector foil, for Li-ion battery//[GLO] copper collector foil production, for Li-ion battery</t>
  </si>
  <si>
    <t>lithium hexafluorophosphate//[CN] lithium hexafluorophosphate production</t>
  </si>
  <si>
    <t>Ethylene Carbonate</t>
  </si>
  <si>
    <t>Dimethyl Carbonate</t>
  </si>
  <si>
    <t>ethylene carbonate//[CN] ethylene carbonate production</t>
  </si>
  <si>
    <t>dimethyl carbonate//[RoW] dimethyl carbonate production</t>
  </si>
  <si>
    <t>kWh/kWh battery</t>
  </si>
  <si>
    <t>CAM details, per kg cell (for final composition)</t>
  </si>
  <si>
    <t>Heat, Europe</t>
  </si>
  <si>
    <t>Application</t>
  </si>
  <si>
    <t>60-90 kWh</t>
  </si>
  <si>
    <t>40-60 kWh</t>
  </si>
  <si>
    <t>25-40 kWh</t>
  </si>
  <si>
    <t>&gt;90 kWh</t>
  </si>
  <si>
    <t>kW</t>
  </si>
  <si>
    <t>Specific energy (kW/kgBattery)</t>
  </si>
  <si>
    <t>ratio théorique kWh/kW</t>
  </si>
  <si>
    <t>&lt;7 kWh</t>
  </si>
  <si>
    <t>7-14 kWh</t>
  </si>
  <si>
    <t>14-25 kWh</t>
  </si>
  <si>
    <t>Electronics</t>
  </si>
  <si>
    <t>electronics, for control units//[RoW] electronics production, for control units</t>
  </si>
  <si>
    <t>Modelling</t>
  </si>
  <si>
    <t>CELLS</t>
  </si>
  <si>
    <t>Weight (kg)</t>
  </si>
  <si>
    <t>Amount (kWh)</t>
  </si>
  <si>
    <t>Item</t>
  </si>
  <si>
    <t>Batteries with cells assembling without module</t>
  </si>
  <si>
    <t>Li-ion Cells, including modeling of CAM and graphite</t>
  </si>
  <si>
    <t>Specific capacity (Wh/kg)</t>
  </si>
  <si>
    <t>Capaciy (Wh)</t>
  </si>
  <si>
    <t>Pack composition</t>
  </si>
  <si>
    <t>Cell composition : NMC622 for the 3 batteries</t>
  </si>
  <si>
    <t>Batteries in motion: A life cycle assessment and critical resource use analysis of micromobility vehicles with primary Li-ion battery data</t>
  </si>
  <si>
    <t>Your battery Weight (kg) :</t>
  </si>
  <si>
    <t>let empty if unknown</t>
  </si>
  <si>
    <t>Casing material</t>
  </si>
  <si>
    <t>Total, excluding cells and BMS</t>
  </si>
  <si>
    <t>Specific capacity of casing (Wh/kg)</t>
  </si>
  <si>
    <t>Specific capacity of cells (Wh/kg)</t>
  </si>
  <si>
    <t>Copper (Cables)</t>
  </si>
  <si>
    <t>PVC (Cables)</t>
  </si>
  <si>
    <t>Total excluding Cells and BMS</t>
  </si>
  <si>
    <t>Total Battery weight</t>
  </si>
  <si>
    <t>Battery BOM</t>
  </si>
  <si>
    <t>Cell type</t>
  </si>
  <si>
    <t>Amount (kg)</t>
  </si>
  <si>
    <t>Reference</t>
  </si>
  <si>
    <t>Battery cell production, LFP Hydrothermal, CN</t>
  </si>
  <si>
    <t>Battery cell production, LFP Solid State, CN</t>
  </si>
  <si>
    <t>Battery cell production, NMC811, CN</t>
  </si>
  <si>
    <t>Battery cell production, NMC811, FR</t>
  </si>
  <si>
    <t>Cells, LFP Hydro</t>
  </si>
  <si>
    <t>Cells, LFP Solid</t>
  </si>
  <si>
    <t>Cells, NMC811</t>
  </si>
  <si>
    <t>Cells, NMC622</t>
  </si>
  <si>
    <t>FR, Ecobalyse</t>
  </si>
  <si>
    <t>Cells, LFP Hydro, CN, Ecobalyse</t>
  </si>
  <si>
    <t>ECS (Pts)</t>
  </si>
  <si>
    <t>Data used for calculation :</t>
  </si>
  <si>
    <t xml:space="preserve">Data are estimated based on the following study (see extracted data below): </t>
  </si>
  <si>
    <t>zinc//[RoW] primary zinc production from concentrate</t>
  </si>
  <si>
    <t>Etain</t>
  </si>
  <si>
    <t>brass//[RoW] market for brass</t>
  </si>
  <si>
    <t>nylon 6-6//[RoW] nylon 6-6 production</t>
  </si>
  <si>
    <t>Plastique PA</t>
  </si>
  <si>
    <t>potassium hydroxide//[GLO] market for potassium hydroxide</t>
  </si>
  <si>
    <t>Potassium hydroxide (KOH)</t>
  </si>
  <si>
    <t>EI LCI dataset (or based on EI)</t>
  </si>
  <si>
    <t>BAFU LCI dataset (or based on BAFU)</t>
  </si>
  <si>
    <t>Details, Geography</t>
  </si>
  <si>
    <t>Feuille de cuivre</t>
  </si>
  <si>
    <t>rien</t>
  </si>
  <si>
    <t>Sulphuric acid, liquid, at plant {RER}</t>
  </si>
  <si>
    <t>Sulphuric acid from viscose production, at plant {GLO}</t>
  </si>
  <si>
    <t>Ammonia, liquid, at regional storehouse {RER}</t>
  </si>
  <si>
    <t>Cobalt sulfate {GLO}</t>
  </si>
  <si>
    <t>Sodium hydroxide, 50% in H2O, production mix, at plant {RER}</t>
  </si>
  <si>
    <t>xx Hydrochloric acid, 36% in H2O, from reacting propylene and chlorine, at plant {RER}</t>
  </si>
  <si>
    <t>Aluminium sulphate, powder, at plant {RER}</t>
  </si>
  <si>
    <t>Hydrogen peroxide, 50% in H2O, at plant {RER}</t>
  </si>
  <si>
    <t>Sodium carbonate from ammonium chloride production, at plant {GLO}</t>
  </si>
  <si>
    <t>Lithium hydroxide, at plant {GLO}</t>
  </si>
  <si>
    <t>Phosphoric acid, industrial grade, 85% in H2O, at plant {RER}</t>
  </si>
  <si>
    <t>Iron sulphate, at plant {RER}</t>
  </si>
  <si>
    <t>Diammonium phosphate, as N, at regional storehouse {RER}</t>
  </si>
  <si>
    <t>N-methyl-2-pyrrolidone, at plant {RER}</t>
  </si>
  <si>
    <t>Manganese oxide (Mn2O3), at plant {CN}</t>
  </si>
  <si>
    <t>Graphite, battery grade, at plant {CN}</t>
  </si>
  <si>
    <t>Copper collector foil production, for Li-ion battery {GLO}</t>
  </si>
  <si>
    <t>Lithium hexafluorophosphate, at plant {CN}</t>
  </si>
  <si>
    <t>Ethylene carbonate, at plant {CN}</t>
  </si>
  <si>
    <t>Polypropylene, granulate, at plant {RER}</t>
  </si>
  <si>
    <t>Polyethylene terephthalate, granulate, amorphous, at plant {RER}</t>
  </si>
  <si>
    <t>Propylene glycol, liquid, at plant {RER}</t>
  </si>
  <si>
    <t>Electricity mix {CN}</t>
  </si>
  <si>
    <t>Electricity mix {CZ}</t>
  </si>
  <si>
    <t>Electricity mix {FR}</t>
  </si>
  <si>
    <t>Electricity mix {DE}</t>
  </si>
  <si>
    <t>Electricity mix {IN}</t>
  </si>
  <si>
    <t>Electricity mix {PL}</t>
  </si>
  <si>
    <t>Electricity mix {TR}</t>
  </si>
  <si>
    <t>Electricity mix {VN}</t>
  </si>
  <si>
    <t>Heat, from natural gas {AT}</t>
  </si>
  <si>
    <t>heat, district or industrial, natural gas//[RoW] market group for heat, district or industrial, natural gas</t>
  </si>
  <si>
    <t>heat, district or industrial, other than natural gas//[RoW] market group for heat, district or industrial, other than natural gas</t>
  </si>
  <si>
    <t>Synthetic graphite, battery grade//[CN] synthetic graphite production, battery grade, via Acheson powder route</t>
  </si>
  <si>
    <t>Description</t>
  </si>
  <si>
    <t>Background data</t>
  </si>
  <si>
    <t>GWP EI3.11 
(kgCO2eq)</t>
  </si>
  <si>
    <t>ECS EI3.9.1 (Pts)</t>
  </si>
  <si>
    <t>GWP BAFU2 
(kgCO2eq)</t>
  </si>
  <si>
    <t>ECS BAFU3 (Pts)</t>
  </si>
  <si>
    <t>from viscose production</t>
  </si>
  <si>
    <t>Manganese Oxide (MnO2)</t>
  </si>
  <si>
    <t>Nickel, 99.5%, at plant {GLO}</t>
  </si>
  <si>
    <t>Manganese, at regional storage {RER}</t>
  </si>
  <si>
    <t>Limestone, crushed, washed {CH}</t>
  </si>
  <si>
    <t>Silica sand, at plant {DE}</t>
  </si>
  <si>
    <t>Quicklime, milled, packed, at plant {CH}</t>
  </si>
  <si>
    <t>Carbon black, at plant {GLO}</t>
  </si>
  <si>
    <t>Sodium fluoride (NaF)</t>
  </si>
  <si>
    <t>Sodium Fluoride production</t>
  </si>
  <si>
    <t>Cobalt, at plant {GLO}</t>
  </si>
  <si>
    <t>Cobalt production</t>
  </si>
  <si>
    <t>Steel, converter, low-alloyed, at plant {RER}</t>
  </si>
  <si>
    <t>Calculation, Tokaï</t>
  </si>
  <si>
    <t>Graphite, Calculation, Tokaï</t>
  </si>
  <si>
    <t>Integrated circuit, IC, logic type, at plant {GLO}</t>
  </si>
  <si>
    <t>Transport, freight, lorry, diesel, 32t gross weight, 2006, EURO-IV, long haul {RER}</t>
  </si>
  <si>
    <t>Transport, freight, rail {RER}</t>
  </si>
  <si>
    <t>Transport, barge {RER}</t>
  </si>
  <si>
    <t>Glycol (Coolant)</t>
  </si>
  <si>
    <t>Propylene glycol RoW</t>
  </si>
  <si>
    <t>Casing, steel</t>
  </si>
  <si>
    <t>Casing, Aluminium</t>
  </si>
  <si>
    <t>Casing, Plastics</t>
  </si>
  <si>
    <t>Casing, others</t>
  </si>
  <si>
    <t>Lithium Hexafluorophosphate (LiPF6)</t>
  </si>
  <si>
    <t>Polyvinylfluoride (PVF)</t>
  </si>
  <si>
    <t>Energy, Transport, direct emissions</t>
  </si>
  <si>
    <t>Cells recycling</t>
  </si>
  <si>
    <t>Aluminium, market mix</t>
  </si>
  <si>
    <t>Aluminium, market mix, CN, Ecobalyse</t>
  </si>
  <si>
    <t>Aluminium, virgin</t>
  </si>
  <si>
    <t>EV Batteries, cells grouped in modules (aluminium casing)</t>
  </si>
  <si>
    <t>Aluminium, virgin, RER, Ecobalyse</t>
  </si>
  <si>
    <t>EV Battery</t>
  </si>
  <si>
    <t>Cell &amp; CAM</t>
  </si>
  <si>
    <t>&lt;1kWh battery</t>
  </si>
  <si>
    <t>BOM EOL - DA</t>
  </si>
  <si>
    <t>cell recycling</t>
  </si>
  <si>
    <t>GREET BOM</t>
  </si>
  <si>
    <t>GREET input data</t>
  </si>
  <si>
    <t>- Analysis, GWP data calculation, data research for EV batteries: ADEME - STM (Caroline MIR, Laurent Gagnepain)</t>
  </si>
  <si>
    <t>- Remanufacturing of the tool for adaptation to Ecobalyse need, tool for &lt;1kWh batteries: Ecobalyse (Nicolas Planchenault)</t>
  </si>
  <si>
    <t>- EV Batteries manufacturing data: GREET - R&amp;D Greenhouse gases, Regulated Emissions, and Energy use in Technologies Model ® (2025 Rev.1 .Net)</t>
  </si>
  <si>
    <t>- &lt;1kWh batteries inventory data: "Batteries in motion: A life cycle assessment and critical resource use analysis of micromobility vehicles with primary Li-ion battery data"</t>
  </si>
  <si>
    <t>- AA and AAA batteries inventory data: Life cycle impacts of alkaline batteries with a focus on end‐of‐life, Massachusetts Institute of Technology, Materials Systems Lab, 2010</t>
  </si>
  <si>
    <t>Autors and data sources:</t>
  </si>
  <si>
    <t>- Background data: BAFU database, Ecobalyse</t>
  </si>
  <si>
    <t>Modelling of an EV battery cells, including CAM and graphite</t>
  </si>
  <si>
    <t>Modelling of an EV battery (assembling, aluminium casing)</t>
  </si>
  <si>
    <t>Modelling of a &lt;1kWh battery (assembling, aluminium or plastic casing)</t>
  </si>
  <si>
    <t>Modelling of cells recycling processes, based on Delegated Act under Article 7 of the Battery Regulation</t>
  </si>
  <si>
    <t>Modelling of cells recycling at end-of-life, CFF method, based on Delegated Act under Article 7 of the Battery Regulation</t>
  </si>
  <si>
    <t>EV Battery BOM from GREET model - input data for all vehicle sizes</t>
  </si>
  <si>
    <t>EV Battery BOM from GREET model - calculation for the modelled battery</t>
  </si>
  <si>
    <r>
      <t xml:space="preserve">LCI dataset, </t>
    </r>
    <r>
      <rPr>
        <u/>
        <sz val="11"/>
        <color theme="1"/>
        <rFont val="Calibri"/>
        <family val="2"/>
        <scheme val="minor"/>
      </rPr>
      <t>to be completed for full use of this tool</t>
    </r>
  </si>
  <si>
    <t>Sheet</t>
  </si>
  <si>
    <t>nb of cycles</t>
  </si>
  <si>
    <t>Nombre de cycles</t>
  </si>
  <si>
    <t>kWh/kWhCell</t>
  </si>
  <si>
    <t>MJ/kWhCell</t>
  </si>
  <si>
    <t>Cells, NMC811, CN, Ecobalyse</t>
  </si>
  <si>
    <t>propylene glycol, liquid//[RoW] market for propylene glycol, liquid</t>
  </si>
  <si>
    <t>Important note</t>
  </si>
  <si>
    <t>This tool currently doesn't include transformation process for metals and plastics, whereas these processes are included in batteries example in Ecobalyse.</t>
  </si>
  <si>
    <t>This tool aims to evaluate the environmental impact of exemples of batteries, and to build up examples in Ecobalyse.</t>
  </si>
  <si>
    <t>Aluminium, primary, at plant {RER}</t>
  </si>
  <si>
    <t>Data hidden pour licence limitation</t>
  </si>
  <si>
    <t>Data to be completed by Ecobalyse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</si>
</sst>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#,##0.0"/>
    <numFmt numFmtId="167" formatCode="0.000"/>
    <numFmt numFmtId="168" formatCode="0.0000"/>
    <numFmt numFmtId="169" formatCode="0.000E+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31F1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7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165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165" fontId="0" fillId="3" borderId="1" xfId="0" applyNumberForma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165" fontId="1" fillId="4" borderId="1" xfId="0" applyNumberFormat="1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5" fontId="0" fillId="4" borderId="1" xfId="0" applyNumberFormat="1" applyFill="1" applyBorder="1" applyAlignment="1">
      <alignment vertical="center"/>
    </xf>
    <xf numFmtId="2" fontId="0" fillId="0" borderId="1" xfId="0" applyNumberFormat="1" applyBorder="1" applyAlignment="1">
      <alignment wrapText="1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2" fontId="1" fillId="0" borderId="1" xfId="0" applyNumberFormat="1" applyFont="1" applyBorder="1" applyAlignment="1">
      <alignment wrapText="1"/>
    </xf>
    <xf numFmtId="0" fontId="0" fillId="5" borderId="1" xfId="0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2" fontId="0" fillId="4" borderId="1" xfId="0" applyNumberFormat="1" applyFill="1" applyBorder="1" applyAlignment="1">
      <alignment vertical="center"/>
    </xf>
    <xf numFmtId="2" fontId="0" fillId="4" borderId="1" xfId="0" applyNumberFormat="1" applyFill="1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vertical="center"/>
    </xf>
    <xf numFmtId="164" fontId="0" fillId="0" borderId="1" xfId="0" applyNumberFormat="1" applyBorder="1" applyAlignment="1">
      <alignment wrapText="1"/>
    </xf>
    <xf numFmtId="165" fontId="0" fillId="0" borderId="0" xfId="0" applyNumberFormat="1"/>
    <xf numFmtId="0" fontId="0" fillId="0" borderId="1" xfId="0" applyBorder="1"/>
    <xf numFmtId="2" fontId="0" fillId="3" borderId="1" xfId="0" applyNumberFormat="1" applyFill="1" applyBorder="1" applyAlignment="1">
      <alignment vertical="center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6" borderId="2" xfId="0" applyFill="1" applyBorder="1"/>
    <xf numFmtId="166" fontId="0" fillId="3" borderId="1" xfId="0" applyNumberFormat="1" applyFill="1" applyBorder="1"/>
    <xf numFmtId="0" fontId="0" fillId="4" borderId="1" xfId="0" applyFill="1" applyBorder="1"/>
    <xf numFmtId="164" fontId="0" fillId="0" borderId="1" xfId="0" applyNumberForma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9" fontId="0" fillId="0" borderId="1" xfId="3" applyFont="1" applyBorder="1" applyAlignment="1">
      <alignment vertical="center"/>
    </xf>
    <xf numFmtId="167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168" fontId="0" fillId="0" borderId="1" xfId="0" applyNumberFormat="1" applyBorder="1" applyAlignment="1">
      <alignment vertical="center"/>
    </xf>
    <xf numFmtId="11" fontId="7" fillId="0" borderId="1" xfId="0" applyNumberFormat="1" applyFont="1" applyBorder="1" applyAlignment="1">
      <alignment vertical="center"/>
    </xf>
    <xf numFmtId="9" fontId="1" fillId="0" borderId="1" xfId="3" applyFont="1" applyBorder="1" applyAlignment="1">
      <alignment vertical="center"/>
    </xf>
    <xf numFmtId="11" fontId="1" fillId="0" borderId="1" xfId="0" applyNumberFormat="1" applyFont="1" applyBorder="1" applyAlignment="1">
      <alignment vertical="center"/>
    </xf>
    <xf numFmtId="0" fontId="9" fillId="0" borderId="0" xfId="0" applyFont="1"/>
    <xf numFmtId="167" fontId="0" fillId="0" borderId="1" xfId="0" applyNumberFormat="1" applyBorder="1"/>
    <xf numFmtId="0" fontId="1" fillId="0" borderId="1" xfId="0" applyFont="1" applyBorder="1"/>
    <xf numFmtId="0" fontId="0" fillId="0" borderId="5" xfId="0" applyBorder="1"/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horizontal="left" wrapText="1" indent="1"/>
    </xf>
    <xf numFmtId="0" fontId="8" fillId="0" borderId="1" xfId="0" applyFont="1" applyBorder="1" applyAlignment="1">
      <alignment vertical="center"/>
    </xf>
    <xf numFmtId="9" fontId="0" fillId="8" borderId="1" xfId="3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2" fontId="0" fillId="8" borderId="1" xfId="0" applyNumberFormat="1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2" fontId="0" fillId="8" borderId="1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1" fillId="0" borderId="0" xfId="0" applyFont="1"/>
    <xf numFmtId="0" fontId="0" fillId="2" borderId="1" xfId="0" applyFill="1" applyBorder="1"/>
    <xf numFmtId="2" fontId="0" fillId="0" borderId="1" xfId="0" applyNumberFormat="1" applyBorder="1"/>
    <xf numFmtId="11" fontId="0" fillId="0" borderId="1" xfId="0" applyNumberFormat="1" applyBorder="1"/>
    <xf numFmtId="169" fontId="0" fillId="0" borderId="0" xfId="0" applyNumberFormat="1" applyAlignment="1">
      <alignment vertical="center"/>
    </xf>
    <xf numFmtId="2" fontId="0" fillId="0" borderId="0" xfId="0" applyNumberFormat="1"/>
    <xf numFmtId="2" fontId="1" fillId="0" borderId="1" xfId="0" applyNumberFormat="1" applyFont="1" applyBorder="1"/>
    <xf numFmtId="164" fontId="0" fillId="0" borderId="1" xfId="0" applyNumberFormat="1" applyBorder="1"/>
    <xf numFmtId="168" fontId="8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6" fontId="0" fillId="3" borderId="1" xfId="0" applyNumberFormat="1" applyFill="1" applyBorder="1" applyAlignment="1">
      <alignment wrapText="1"/>
    </xf>
    <xf numFmtId="0" fontId="9" fillId="0" borderId="0" xfId="0" applyFont="1" applyAlignment="1">
      <alignment vertical="center"/>
    </xf>
    <xf numFmtId="0" fontId="0" fillId="2" borderId="1" xfId="0" applyFill="1" applyBorder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164" fontId="0" fillId="0" borderId="0" xfId="0" applyNumberFormat="1"/>
    <xf numFmtId="166" fontId="0" fillId="0" borderId="1" xfId="0" applyNumberFormat="1" applyBorder="1"/>
    <xf numFmtId="164" fontId="8" fillId="0" borderId="1" xfId="0" applyNumberFormat="1" applyFont="1" applyBorder="1"/>
    <xf numFmtId="1" fontId="0" fillId="0" borderId="1" xfId="0" applyNumberFormat="1" applyBorder="1" applyAlignment="1">
      <alignment vertical="center"/>
    </xf>
    <xf numFmtId="0" fontId="11" fillId="0" borderId="0" xfId="4"/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vertical="center"/>
    </xf>
    <xf numFmtId="166" fontId="0" fillId="0" borderId="1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0" fontId="3" fillId="0" borderId="1" xfId="0" applyFont="1" applyBorder="1" applyAlignment="1">
      <alignment wrapText="1"/>
    </xf>
    <xf numFmtId="2" fontId="6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166" fontId="1" fillId="0" borderId="1" xfId="0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3" borderId="1" xfId="0" applyNumberFormat="1" applyFill="1" applyBorder="1"/>
    <xf numFmtId="2" fontId="3" fillId="3" borderId="1" xfId="0" applyNumberFormat="1" applyFont="1" applyFill="1" applyBorder="1"/>
    <xf numFmtId="167" fontId="0" fillId="3" borderId="1" xfId="0" applyNumberFormat="1" applyFill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0" fontId="12" fillId="0" borderId="0" xfId="0" applyFont="1"/>
    <xf numFmtId="1" fontId="1" fillId="0" borderId="7" xfId="0" applyNumberFormat="1" applyFont="1" applyBorder="1" applyAlignment="1">
      <alignment horizontal="right"/>
    </xf>
    <xf numFmtId="3" fontId="0" fillId="3" borderId="1" xfId="0" applyNumberFormat="1" applyFill="1" applyBorder="1"/>
    <xf numFmtId="0" fontId="13" fillId="0" borderId="0" xfId="0" applyFont="1"/>
    <xf numFmtId="164" fontId="0" fillId="3" borderId="1" xfId="0" applyNumberFormat="1" applyFill="1" applyBorder="1"/>
    <xf numFmtId="3" fontId="0" fillId="4" borderId="1" xfId="0" applyNumberFormat="1" applyFill="1" applyBorder="1" applyAlignment="1">
      <alignment vertical="center"/>
    </xf>
    <xf numFmtId="2" fontId="0" fillId="0" borderId="0" xfId="0" applyNumberFormat="1" applyAlignment="1">
      <alignment wrapText="1"/>
    </xf>
    <xf numFmtId="165" fontId="0" fillId="0" borderId="0" xfId="0" applyNumberFormat="1" applyAlignment="1">
      <alignment vertical="center"/>
    </xf>
    <xf numFmtId="165" fontId="0" fillId="0" borderId="1" xfId="3" applyNumberFormat="1" applyFont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11" fillId="0" borderId="0" xfId="4" applyAlignment="1">
      <alignment vertical="center"/>
    </xf>
    <xf numFmtId="2" fontId="0" fillId="0" borderId="1" xfId="3" applyNumberFormat="1" applyFont="1" applyBorder="1" applyAlignment="1">
      <alignment vertical="center"/>
    </xf>
    <xf numFmtId="1" fontId="5" fillId="0" borderId="1" xfId="3" applyNumberFormat="1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left" vertical="center"/>
    </xf>
    <xf numFmtId="2" fontId="0" fillId="4" borderId="1" xfId="3" applyNumberFormat="1" applyFon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0" fontId="0" fillId="3" borderId="1" xfId="0" applyFill="1" applyBorder="1"/>
    <xf numFmtId="3" fontId="0" fillId="4" borderId="1" xfId="3" applyNumberFormat="1" applyFont="1" applyFill="1" applyBorder="1" applyAlignment="1">
      <alignment vertical="center"/>
    </xf>
    <xf numFmtId="0" fontId="16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6" fontId="8" fillId="2" borderId="1" xfId="0" applyNumberFormat="1" applyFont="1" applyFill="1" applyBorder="1"/>
    <xf numFmtId="0" fontId="1" fillId="3" borderId="1" xfId="0" applyFont="1" applyFill="1" applyBorder="1"/>
    <xf numFmtId="0" fontId="0" fillId="0" borderId="0" xfId="0" applyAlignment="1">
      <alignment wrapText="1"/>
    </xf>
    <xf numFmtId="0" fontId="17" fillId="0" borderId="1" xfId="0" applyFont="1" applyBorder="1" applyAlignment="1">
      <alignment vertical="center"/>
    </xf>
    <xf numFmtId="166" fontId="8" fillId="0" borderId="1" xfId="0" applyNumberFormat="1" applyFont="1" applyBorder="1"/>
    <xf numFmtId="0" fontId="3" fillId="0" borderId="1" xfId="0" applyFont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166" fontId="8" fillId="3" borderId="1" xfId="0" applyNumberFormat="1" applyFont="1" applyFill="1" applyBorder="1"/>
    <xf numFmtId="0" fontId="3" fillId="3" borderId="1" xfId="0" applyFont="1" applyFill="1" applyBorder="1" applyAlignment="1">
      <alignment vertical="center"/>
    </xf>
    <xf numFmtId="0" fontId="17" fillId="11" borderId="1" xfId="0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3" borderId="5" xfId="0" applyFill="1" applyBorder="1"/>
    <xf numFmtId="0" fontId="0" fillId="2" borderId="2" xfId="0" applyFill="1" applyBorder="1" applyAlignment="1">
      <alignment vertical="center"/>
    </xf>
    <xf numFmtId="0" fontId="1" fillId="2" borderId="4" xfId="0" applyFont="1" applyFill="1" applyBorder="1"/>
    <xf numFmtId="0" fontId="0" fillId="0" borderId="8" xfId="0" applyBorder="1" applyAlignment="1">
      <alignment wrapText="1"/>
    </xf>
    <xf numFmtId="0" fontId="1" fillId="2" borderId="7" xfId="0" applyFont="1" applyFill="1" applyBorder="1"/>
    <xf numFmtId="166" fontId="8" fillId="4" borderId="1" xfId="0" applyNumberFormat="1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0" borderId="9" xfId="0" applyFont="1" applyBorder="1"/>
    <xf numFmtId="0" fontId="15" fillId="9" borderId="9" xfId="0" applyFont="1" applyFill="1" applyBorder="1" applyAlignment="1">
      <alignment vertical="center"/>
    </xf>
    <xf numFmtId="0" fontId="0" fillId="0" borderId="9" xfId="0" applyBorder="1" applyAlignment="1">
      <alignment wrapText="1"/>
    </xf>
    <xf numFmtId="0" fontId="15" fillId="12" borderId="9" xfId="0" applyFont="1" applyFill="1" applyBorder="1" applyAlignment="1">
      <alignment vertical="center"/>
    </xf>
    <xf numFmtId="0" fontId="0" fillId="11" borderId="9" xfId="0" applyFill="1" applyBorder="1" applyAlignment="1">
      <alignment wrapText="1"/>
    </xf>
    <xf numFmtId="0" fontId="0" fillId="10" borderId="9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1" fillId="0" borderId="1" xfId="0" applyFont="1" applyBorder="1" applyAlignment="1">
      <alignment horizontal="left" vertical="center" indent="1"/>
    </xf>
    <xf numFmtId="3" fontId="1" fillId="4" borderId="1" xfId="0" applyNumberFormat="1" applyFont="1" applyFill="1" applyBorder="1" applyAlignment="1">
      <alignment vertical="center"/>
    </xf>
    <xf numFmtId="166" fontId="1" fillId="4" borderId="1" xfId="0" applyNumberFormat="1" applyFont="1" applyFill="1" applyBorder="1" applyAlignment="1">
      <alignment vertical="center"/>
    </xf>
    <xf numFmtId="3" fontId="0" fillId="3" borderId="6" xfId="0" applyNumberFormat="1" applyFill="1" applyBorder="1" applyAlignment="1">
      <alignment vertical="center"/>
    </xf>
    <xf numFmtId="3" fontId="3" fillId="3" borderId="1" xfId="0" applyNumberFormat="1" applyFont="1" applyFill="1" applyBorder="1" applyAlignment="1">
      <alignment vertical="center"/>
    </xf>
    <xf numFmtId="3" fontId="8" fillId="3" borderId="1" xfId="0" applyNumberFormat="1" applyFont="1" applyFill="1" applyBorder="1" applyAlignment="1">
      <alignment vertical="center"/>
    </xf>
    <xf numFmtId="0" fontId="0" fillId="13" borderId="1" xfId="0" applyFill="1" applyBorder="1"/>
    <xf numFmtId="0" fontId="3" fillId="13" borderId="1" xfId="0" applyFont="1" applyFill="1" applyBorder="1"/>
    <xf numFmtId="2" fontId="0" fillId="13" borderId="1" xfId="0" applyNumberFormat="1" applyFill="1" applyBorder="1" applyAlignment="1">
      <alignment vertical="center"/>
    </xf>
    <xf numFmtId="2" fontId="0" fillId="13" borderId="1" xfId="0" applyNumberFormat="1" applyFill="1" applyBorder="1"/>
    <xf numFmtId="0" fontId="3" fillId="0" borderId="1" xfId="0" applyFont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/>
    </xf>
    <xf numFmtId="0" fontId="1" fillId="7" borderId="4" xfId="0" applyFont="1" applyFill="1" applyBorder="1" applyAlignment="1">
      <alignment horizontal="left"/>
    </xf>
    <xf numFmtId="0" fontId="8" fillId="0" borderId="0" xfId="0" applyFont="1" applyAlignment="1">
      <alignment horizontal="center"/>
    </xf>
  </cellXfs>
  <cellStyles count="5">
    <cellStyle name="Lien hypertexte" xfId="4" builtinId="8"/>
    <cellStyle name="Normal" xfId="0" builtinId="0"/>
    <cellStyle name="Normal 2" xfId="1" xr:uid="{9D081B20-BFFA-4E48-A4C7-F714203958DF}"/>
    <cellStyle name="Percent 2" xfId="2" xr:uid="{20E17019-233A-4FFF-B0E4-BE4330209E67}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R Caroline" id="{60266048-46DF-403A-8657-1BDAF00A3E0A}" userId="S::caroline.mir@ademe.fr::75fc3b91-fc87-4515-bae9-bbab3cbb954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8" dT="2025-09-10T09:28:54.86" personId="{60266048-46DF-403A-8657-1BDAF00A3E0A}" id="{E02B1721-61E0-4142-91F8-1B70D7524CFF}">
    <text xml:space="preserve">Inventaire fait sur la base de l’article : Jiang, N. B., Zhang, L. L., Cui, C. X., Gao, L., &amp; Yang, X. L. (2022). Synthesis and electrochemical performance of uniform carbon-coated Na3V2 (PO4) 2F3 using tannic acid as a chelating agent and carbon source. ACS Applied Energy Materials, 5(1), 249-256.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est.2025.11696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89F4-41A3-434C-90B9-939FB055D1FE}">
  <sheetPr>
    <tabColor rgb="FFFF0000"/>
  </sheetPr>
  <dimension ref="A2:B23"/>
  <sheetViews>
    <sheetView showGridLines="0" tabSelected="1" workbookViewId="0">
      <selection activeCell="D9" sqref="D9"/>
    </sheetView>
  </sheetViews>
  <sheetFormatPr baseColWidth="10" defaultRowHeight="14.3" x14ac:dyDescent="0.25"/>
  <cols>
    <col min="1" max="1" width="24.375" customWidth="1"/>
    <col min="2" max="2" width="59.5" customWidth="1"/>
  </cols>
  <sheetData>
    <row r="2" spans="1:2" x14ac:dyDescent="0.25">
      <c r="A2" s="62" t="s">
        <v>586</v>
      </c>
    </row>
    <row r="4" spans="1:2" x14ac:dyDescent="0.25">
      <c r="A4" s="150" t="s">
        <v>577</v>
      </c>
      <c r="B4" s="150" t="s">
        <v>515</v>
      </c>
    </row>
    <row r="5" spans="1:2" x14ac:dyDescent="0.25">
      <c r="A5" s="151" t="s">
        <v>555</v>
      </c>
      <c r="B5" s="152" t="s">
        <v>570</v>
      </c>
    </row>
    <row r="6" spans="1:2" x14ac:dyDescent="0.25">
      <c r="A6" s="153" t="s">
        <v>556</v>
      </c>
      <c r="B6" s="152" t="s">
        <v>569</v>
      </c>
    </row>
    <row r="7" spans="1:2" ht="28.55" x14ac:dyDescent="0.25">
      <c r="A7" s="151" t="s">
        <v>557</v>
      </c>
      <c r="B7" s="152" t="s">
        <v>571</v>
      </c>
    </row>
    <row r="8" spans="1:2" ht="28.55" x14ac:dyDescent="0.25">
      <c r="A8" s="151" t="s">
        <v>559</v>
      </c>
      <c r="B8" s="154" t="s">
        <v>573</v>
      </c>
    </row>
    <row r="9" spans="1:2" ht="28.55" x14ac:dyDescent="0.25">
      <c r="A9" s="153" t="s">
        <v>558</v>
      </c>
      <c r="B9" s="154" t="s">
        <v>572</v>
      </c>
    </row>
    <row r="10" spans="1:2" x14ac:dyDescent="0.25">
      <c r="A10" s="155" t="s">
        <v>516</v>
      </c>
      <c r="B10" s="152" t="s">
        <v>576</v>
      </c>
    </row>
    <row r="11" spans="1:2" ht="28.55" x14ac:dyDescent="0.25">
      <c r="A11" s="156" t="s">
        <v>560</v>
      </c>
      <c r="B11" s="152" t="s">
        <v>575</v>
      </c>
    </row>
    <row r="12" spans="1:2" x14ac:dyDescent="0.25">
      <c r="A12" s="156" t="s">
        <v>561</v>
      </c>
      <c r="B12" s="152" t="s">
        <v>574</v>
      </c>
    </row>
    <row r="14" spans="1:2" x14ac:dyDescent="0.25">
      <c r="A14" s="127" t="s">
        <v>567</v>
      </c>
    </row>
    <row r="15" spans="1:2" x14ac:dyDescent="0.25">
      <c r="A15" s="128" t="s">
        <v>562</v>
      </c>
    </row>
    <row r="16" spans="1:2" x14ac:dyDescent="0.25">
      <c r="A16" s="128" t="s">
        <v>563</v>
      </c>
    </row>
    <row r="17" spans="1:1" x14ac:dyDescent="0.25">
      <c r="A17" s="128" t="s">
        <v>564</v>
      </c>
    </row>
    <row r="18" spans="1:1" x14ac:dyDescent="0.25">
      <c r="A18" s="128" t="s">
        <v>565</v>
      </c>
    </row>
    <row r="19" spans="1:1" x14ac:dyDescent="0.25">
      <c r="A19" s="128" t="s">
        <v>566</v>
      </c>
    </row>
    <row r="20" spans="1:1" x14ac:dyDescent="0.25">
      <c r="A20" s="128" t="s">
        <v>568</v>
      </c>
    </row>
    <row r="22" spans="1:1" x14ac:dyDescent="0.25">
      <c r="A22" s="127" t="s">
        <v>584</v>
      </c>
    </row>
    <row r="23" spans="1:1" x14ac:dyDescent="0.25">
      <c r="A23" t="s">
        <v>585</v>
      </c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8F3A-C271-421B-8255-42A25B5D0F1B}">
  <sheetPr>
    <tabColor theme="1"/>
  </sheetPr>
  <dimension ref="B1:T40"/>
  <sheetViews>
    <sheetView showGridLines="0" workbookViewId="0">
      <selection activeCell="E7" sqref="E7"/>
    </sheetView>
  </sheetViews>
  <sheetFormatPr baseColWidth="10" defaultRowHeight="14.3" outlineLevelRow="1" outlineLevelCol="1" x14ac:dyDescent="0.25"/>
  <cols>
    <col min="1" max="1" width="2.625" customWidth="1"/>
    <col min="2" max="2" width="40.25" customWidth="1"/>
    <col min="3" max="3" width="11" bestFit="1" customWidth="1"/>
    <col min="4" max="4" width="8.625" customWidth="1"/>
    <col min="5" max="5" width="40.125" customWidth="1" outlineLevel="1"/>
    <col min="7" max="7" width="1.625" customWidth="1"/>
  </cols>
  <sheetData>
    <row r="1" spans="2:20" ht="4.95" customHeight="1" x14ac:dyDescent="0.25"/>
    <row r="2" spans="2:20" ht="19.05" x14ac:dyDescent="0.35">
      <c r="B2" s="110" t="s">
        <v>553</v>
      </c>
    </row>
    <row r="3" spans="2:20" ht="4.95" customHeight="1" x14ac:dyDescent="0.25"/>
    <row r="4" spans="2:20" s="2" customFormat="1" x14ac:dyDescent="0.25">
      <c r="B4" s="71" t="s">
        <v>94</v>
      </c>
      <c r="C4" s="16">
        <v>50</v>
      </c>
      <c r="E4"/>
      <c r="F4" s="20"/>
    </row>
    <row r="5" spans="2:20" s="2" customFormat="1" x14ac:dyDescent="0.25">
      <c r="B5" s="71" t="s">
        <v>73</v>
      </c>
      <c r="C5" s="37">
        <f ca="1">C4*1000/'BOM &amp; cycles'!C28</f>
        <v>274.89141788993351</v>
      </c>
      <c r="E5"/>
      <c r="F5" s="20"/>
    </row>
    <row r="6" spans="2:20" s="2" customFormat="1" x14ac:dyDescent="0.25">
      <c r="B6" s="71" t="s">
        <v>453</v>
      </c>
      <c r="C6" s="15" t="s">
        <v>13</v>
      </c>
      <c r="E6" s="26"/>
      <c r="F6" s="20"/>
    </row>
    <row r="7" spans="2:20" s="2" customFormat="1" x14ac:dyDescent="0.25">
      <c r="B7" s="71" t="s">
        <v>78</v>
      </c>
      <c r="C7" s="16" t="s">
        <v>419</v>
      </c>
      <c r="E7"/>
      <c r="F7" s="20"/>
    </row>
    <row r="8" spans="2:20" s="2" customFormat="1" x14ac:dyDescent="0.25">
      <c r="B8" s="157" t="str">
        <f>"Total "&amp;'Background data'!$B$1</f>
        <v>Total ECS EI3.9.1 (Pts)</v>
      </c>
      <c r="C8" s="158">
        <f ca="1">F14+F20+F36+F40</f>
        <v>1159994.7988282128</v>
      </c>
      <c r="E8"/>
      <c r="F8" s="20"/>
    </row>
    <row r="9" spans="2:20" s="2" customFormat="1" x14ac:dyDescent="0.25">
      <c r="B9" s="71" t="s">
        <v>579</v>
      </c>
      <c r="C9" s="88">
        <f>_xlfn.XLOOKUP('EV Battery'!C6,'BOM &amp; cycles'!$I$31:$U$31,'BOM &amp; cycles'!$I$32:$U$32)</f>
        <v>1500</v>
      </c>
      <c r="E9"/>
      <c r="F9"/>
    </row>
    <row r="10" spans="2:20" s="2" customFormat="1" x14ac:dyDescent="0.25">
      <c r="B10" s="157" t="str">
        <f>"Total "&amp;'Background data'!$B$1&amp;" par kWh consommé"</f>
        <v>Total ECS EI3.9.1 (Pts) par kWh consommé</v>
      </c>
      <c r="C10" s="159">
        <f ca="1">'EV Battery'!C8/C9/'EV Battery'!C4</f>
        <v>15.466597317709505</v>
      </c>
      <c r="E10"/>
      <c r="F10"/>
    </row>
    <row r="12" spans="2:20" s="2" customFormat="1" x14ac:dyDescent="0.25">
      <c r="B12" s="9" t="s">
        <v>431</v>
      </c>
      <c r="C12" s="75"/>
      <c r="E12" s="75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2:20" s="2" customFormat="1" ht="28.55" x14ac:dyDescent="0.25">
      <c r="B13" s="1" t="s">
        <v>66</v>
      </c>
      <c r="C13" s="1" t="s">
        <v>195</v>
      </c>
      <c r="D13" s="91" t="s">
        <v>432</v>
      </c>
      <c r="E13" s="1" t="s">
        <v>430</v>
      </c>
      <c r="F13" s="23" t="s">
        <v>267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2:20" s="2" customFormat="1" x14ac:dyDescent="0.25">
      <c r="B14" s="12" t="s">
        <v>68</v>
      </c>
      <c r="C14" s="12" t="s">
        <v>226</v>
      </c>
      <c r="D14" s="21">
        <f ca="1">'BOM &amp; cycles'!C25</f>
        <v>148.08007904595814</v>
      </c>
      <c r="E14" s="125" t="s">
        <v>582</v>
      </c>
      <c r="F14" s="112">
        <f ca="1">D14*_xlfn.XLOOKUP($E14,'Background data'!$D:$D,'Background data'!J:J)</f>
        <v>986361.40652512724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2:20" s="2" customFormat="1" outlineLevel="1" x14ac:dyDescent="0.25">
      <c r="D15" s="113"/>
      <c r="E15"/>
      <c r="G15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</row>
    <row r="16" spans="2:20" s="2" customFormat="1" x14ac:dyDescent="0.25">
      <c r="B16" s="9" t="s">
        <v>69</v>
      </c>
      <c r="C16" s="75"/>
      <c r="E16" s="75"/>
      <c r="G16"/>
    </row>
    <row r="17" spans="2:20" s="2" customFormat="1" ht="28.55" x14ac:dyDescent="0.25">
      <c r="B17" s="1" t="s">
        <v>66</v>
      </c>
      <c r="C17" s="1" t="s">
        <v>195</v>
      </c>
      <c r="D17" s="91" t="s">
        <v>432</v>
      </c>
      <c r="E17" s="1" t="s">
        <v>430</v>
      </c>
      <c r="F17" s="23" t="s">
        <v>267</v>
      </c>
      <c r="G17"/>
      <c r="H17" s="1" t="s">
        <v>81</v>
      </c>
      <c r="I17" s="1" t="s">
        <v>10</v>
      </c>
      <c r="J17" s="1" t="s">
        <v>11</v>
      </c>
      <c r="K17" s="1" t="s">
        <v>12</v>
      </c>
      <c r="L17" s="1" t="s">
        <v>13</v>
      </c>
      <c r="M17" s="1" t="s">
        <v>14</v>
      </c>
      <c r="N17" s="1" t="s">
        <v>77</v>
      </c>
      <c r="O17" s="1" t="s">
        <v>6</v>
      </c>
      <c r="P17" s="1" t="s">
        <v>7</v>
      </c>
      <c r="Q17" s="1" t="s">
        <v>9</v>
      </c>
      <c r="R17" s="1" t="s">
        <v>15</v>
      </c>
      <c r="S17" s="1" t="s">
        <v>16</v>
      </c>
      <c r="T17" s="1" t="s">
        <v>17</v>
      </c>
    </row>
    <row r="18" spans="2:20" s="2" customFormat="1" outlineLevel="1" x14ac:dyDescent="0.25">
      <c r="B18" s="4" t="s">
        <v>23</v>
      </c>
      <c r="C18" s="4" t="s">
        <v>226</v>
      </c>
      <c r="D18" s="14">
        <f ca="1">SUMIF($H$17:$S$17,$C$6,$H18:$S18)*$D$20</f>
        <v>0.62169872273769045</v>
      </c>
      <c r="E18" s="27" t="s">
        <v>306</v>
      </c>
      <c r="F18" s="88">
        <f ca="1">D18*_xlfn.XLOOKUP($E18,'Background data'!$D:$D,'Background data'!J:J)</f>
        <v>5797.3405895289634</v>
      </c>
      <c r="G18"/>
      <c r="H18" s="6">
        <f ca="1">'BOM &amp; cycles'!I7*'BOM &amp; cycles'!$F7/'BOM &amp; cycles'!I$26</f>
        <v>9.0052407030150508E-2</v>
      </c>
      <c r="I18" s="6">
        <f ca="1">'BOM &amp; cycles'!J7*'BOM &amp; cycles'!$F7/'BOM &amp; cycles'!J$26</f>
        <v>7.9430277191541443E-2</v>
      </c>
      <c r="J18" s="6">
        <f ca="1">'BOM &amp; cycles'!K7*'BOM &amp; cycles'!$F7/'BOM &amp; cycles'!K$26</f>
        <v>7.7841856830082476E-2</v>
      </c>
      <c r="K18" s="6">
        <f ca="1">'BOM &amp; cycles'!L7*'BOM &amp; cycles'!$F7/'BOM &amp; cycles'!L$26</f>
        <v>7.7540948619875788E-2</v>
      </c>
      <c r="L18" s="6">
        <f ca="1">'BOM &amp; cycles'!M7*'BOM &amp; cycles'!$F7/'BOM &amp; cycles'!M$26</f>
        <v>7.6472048793490024E-2</v>
      </c>
      <c r="M18" s="6">
        <f ca="1">'BOM &amp; cycles'!N7*'BOM &amp; cycles'!$F7/'BOM &amp; cycles'!N$26</f>
        <v>7.5949691199590955E-2</v>
      </c>
      <c r="N18" s="6">
        <f ca="1">'BOM &amp; cycles'!O7*'BOM &amp; cycles'!$F7/'BOM &amp; cycles'!O$26</f>
        <v>7.6801999988289932E-2</v>
      </c>
      <c r="O18" s="6">
        <f ca="1">'BOM &amp; cycles'!P7*'BOM &amp; cycles'!$F7/'BOM &amp; cycles'!P$26</f>
        <v>8.9343280300989689E-2</v>
      </c>
      <c r="P18" s="6">
        <f ca="1">'BOM &amp; cycles'!Q7*'BOM &amp; cycles'!$F7/'BOM &amp; cycles'!Q$26</f>
        <v>9.0052407030150508E-2</v>
      </c>
      <c r="Q18" s="6">
        <f ca="1">'BOM &amp; cycles'!R7*'BOM &amp; cycles'!$F7/'BOM &amp; cycles'!R$26</f>
        <v>9.0052407030150508E-2</v>
      </c>
      <c r="R18" s="6">
        <f>'BOM &amp; cycles'!S7*'BOM &amp; cycles'!$F7/'BOM &amp; cycles'!S$26</f>
        <v>1.2597683204763578E-2</v>
      </c>
      <c r="S18" s="6">
        <f>'BOM &amp; cycles'!T7*'BOM &amp; cycles'!$F7/'BOM &amp; cycles'!T$26</f>
        <v>5.671236225538042E-2</v>
      </c>
      <c r="T18" s="6">
        <f>'BOM &amp; cycles'!U7*'BOM &amp; cycles'!$F7/'BOM &amp; cycles'!U$26</f>
        <v>6.780296904358063E-2</v>
      </c>
    </row>
    <row r="19" spans="2:20" s="2" customFormat="1" outlineLevel="1" x14ac:dyDescent="0.25">
      <c r="B19" s="4" t="s">
        <v>22</v>
      </c>
      <c r="C19" s="4" t="s">
        <v>226</v>
      </c>
      <c r="D19" s="14">
        <f ca="1">SUMIF($H$17:$S$17,$C$6,$H19:$S19)*$D$20</f>
        <v>7.5080523764719702</v>
      </c>
      <c r="E19" s="125" t="s">
        <v>551</v>
      </c>
      <c r="F19" s="88">
        <f ca="1">D19*_xlfn.XLOOKUP($E19,'Background data'!$D:$D,'Background data'!J:J)</f>
        <v>11284.80008540684</v>
      </c>
      <c r="G19"/>
      <c r="H19" s="6">
        <f ca="1">'BOM &amp; cycles'!I8*'BOM &amp; cycles'!$F8/'BOM &amp; cycles'!I$26</f>
        <v>0.90994759296984951</v>
      </c>
      <c r="I19" s="6">
        <f ca="1">'BOM &amp; cycles'!J8*'BOM &amp; cycles'!$F8/'BOM &amp; cycles'!J$26</f>
        <v>0.9205697228084585</v>
      </c>
      <c r="J19" s="6">
        <f ca="1">'BOM &amp; cycles'!K8*'BOM &amp; cycles'!$F8/'BOM &amp; cycles'!K$26</f>
        <v>0.92215814316991751</v>
      </c>
      <c r="K19" s="6">
        <f ca="1">'BOM &amp; cycles'!L8*'BOM &amp; cycles'!$F8/'BOM &amp; cycles'!L$26</f>
        <v>0.9224590513801243</v>
      </c>
      <c r="L19" s="6">
        <f ca="1">'BOM &amp; cycles'!M8*'BOM &amp; cycles'!$F8/'BOM &amp; cycles'!M$26</f>
        <v>0.92352795120650988</v>
      </c>
      <c r="M19" s="6">
        <f ca="1">'BOM &amp; cycles'!N8*'BOM &amp; cycles'!$F8/'BOM &amp; cycles'!N$26</f>
        <v>0.92405030880040906</v>
      </c>
      <c r="N19" s="6">
        <f ca="1">'BOM &amp; cycles'!O8*'BOM &amp; cycles'!$F8/'BOM &amp; cycles'!O$26</f>
        <v>0.92319800001171004</v>
      </c>
      <c r="O19" s="6">
        <f ca="1">'BOM &amp; cycles'!P8*'BOM &amp; cycles'!$F8/'BOM &amp; cycles'!P$26</f>
        <v>0.9106567196990103</v>
      </c>
      <c r="P19" s="6">
        <f ca="1">'BOM &amp; cycles'!Q8*'BOM &amp; cycles'!$F8/'BOM &amp; cycles'!Q$26</f>
        <v>0.90994759296984951</v>
      </c>
      <c r="Q19" s="6">
        <f ca="1">'BOM &amp; cycles'!R8*'BOM &amp; cycles'!$F8/'BOM &amp; cycles'!R$26</f>
        <v>0.90994759296984951</v>
      </c>
      <c r="R19" s="6">
        <f>'BOM &amp; cycles'!S8*'BOM &amp; cycles'!$F8/'BOM &amp; cycles'!S$26</f>
        <v>0.98740231679523649</v>
      </c>
      <c r="S19" s="6">
        <f>'BOM &amp; cycles'!T8*'BOM &amp; cycles'!$F8/'BOM &amp; cycles'!T$26</f>
        <v>0.94328763774461954</v>
      </c>
      <c r="T19" s="6">
        <f>'BOM &amp; cycles'!U8*'BOM &amp; cycles'!$F8/'BOM &amp; cycles'!U$26</f>
        <v>0.93219703095641926</v>
      </c>
    </row>
    <row r="20" spans="2:20" s="2" customFormat="1" x14ac:dyDescent="0.25">
      <c r="B20" s="12" t="s">
        <v>68</v>
      </c>
      <c r="C20" s="12" t="s">
        <v>226</v>
      </c>
      <c r="D20" s="21">
        <f ca="1">'BOM &amp; cycles'!$C$26</f>
        <v>8.1297510992096615</v>
      </c>
      <c r="E20" s="12"/>
      <c r="F20" s="112">
        <f ca="1">SUM(F18:F19)</f>
        <v>17082.140674935803</v>
      </c>
      <c r="G20"/>
      <c r="H20" s="13">
        <f t="shared" ref="H20:T20" ca="1" si="0">SUM(H18:H19)</f>
        <v>1</v>
      </c>
      <c r="I20" s="13">
        <f t="shared" ca="1" si="0"/>
        <v>1</v>
      </c>
      <c r="J20" s="13">
        <f t="shared" ca="1" si="0"/>
        <v>1</v>
      </c>
      <c r="K20" s="13">
        <f t="shared" ca="1" si="0"/>
        <v>1</v>
      </c>
      <c r="L20" s="13">
        <f t="shared" ca="1" si="0"/>
        <v>0.99999999999999989</v>
      </c>
      <c r="M20" s="13">
        <f t="shared" ca="1" si="0"/>
        <v>1</v>
      </c>
      <c r="N20" s="13">
        <f t="shared" ca="1" si="0"/>
        <v>1</v>
      </c>
      <c r="O20" s="13">
        <f t="shared" ca="1" si="0"/>
        <v>1</v>
      </c>
      <c r="P20" s="13">
        <f ca="1">SUM(P18:P19)</f>
        <v>1</v>
      </c>
      <c r="Q20" s="13">
        <f ca="1">SUM(Q18:Q19)</f>
        <v>1</v>
      </c>
      <c r="R20" s="13">
        <f t="shared" si="0"/>
        <v>1</v>
      </c>
      <c r="S20" s="13">
        <f t="shared" si="0"/>
        <v>1</v>
      </c>
      <c r="T20" s="13">
        <f t="shared" si="0"/>
        <v>0.99999999999999989</v>
      </c>
    </row>
    <row r="21" spans="2:20" s="2" customFormat="1" x14ac:dyDescent="0.25">
      <c r="G21"/>
    </row>
    <row r="22" spans="2:20" s="2" customFormat="1" x14ac:dyDescent="0.25">
      <c r="B22" s="9" t="s">
        <v>72</v>
      </c>
      <c r="C22" s="75"/>
      <c r="E22" s="75"/>
      <c r="G22"/>
    </row>
    <row r="23" spans="2:20" s="2" customFormat="1" ht="28.55" x14ac:dyDescent="0.25">
      <c r="B23" s="1" t="s">
        <v>66</v>
      </c>
      <c r="C23" s="1" t="s">
        <v>195</v>
      </c>
      <c r="D23" s="91" t="s">
        <v>432</v>
      </c>
      <c r="E23" s="1" t="s">
        <v>430</v>
      </c>
      <c r="F23" s="23" t="s">
        <v>267</v>
      </c>
      <c r="G23"/>
      <c r="H23" s="1" t="s">
        <v>81</v>
      </c>
      <c r="I23" s="1" t="s">
        <v>10</v>
      </c>
      <c r="J23" s="1" t="s">
        <v>11</v>
      </c>
      <c r="K23" s="1" t="s">
        <v>12</v>
      </c>
      <c r="L23" s="1" t="s">
        <v>13</v>
      </c>
      <c r="M23" s="1" t="s">
        <v>14</v>
      </c>
      <c r="N23" s="1" t="s">
        <v>77</v>
      </c>
      <c r="O23" s="1" t="s">
        <v>6</v>
      </c>
      <c r="P23" s="1" t="s">
        <v>7</v>
      </c>
      <c r="Q23" s="1" t="s">
        <v>9</v>
      </c>
      <c r="R23" s="1" t="s">
        <v>15</v>
      </c>
      <c r="S23" s="1" t="s">
        <v>16</v>
      </c>
      <c r="T23" s="1" t="s">
        <v>17</v>
      </c>
    </row>
    <row r="24" spans="2:20" s="2" customFormat="1" outlineLevel="1" x14ac:dyDescent="0.25">
      <c r="B24" s="4" t="s">
        <v>23</v>
      </c>
      <c r="C24" s="4" t="s">
        <v>226</v>
      </c>
      <c r="D24" s="14">
        <f t="shared" ref="D24:D35" ca="1" si="1">SUMIF($H$17:$S$17,$C$6,$H24:$S24)*$D$36</f>
        <v>2.8137226675628235</v>
      </c>
      <c r="E24" s="27" t="s">
        <v>306</v>
      </c>
      <c r="F24" s="88">
        <f ca="1">D24*_xlfn.XLOOKUP($E24,'Background data'!$D:$D,'Background data'!J:J)</f>
        <v>26237.963875023328</v>
      </c>
      <c r="G24"/>
      <c r="H24" s="6">
        <f ca="1">'BOM &amp; cycles'!I7*'BOM &amp; cycles'!$G7/'BOM &amp; cycles'!I$27</f>
        <v>3.1379913628268842E-2</v>
      </c>
      <c r="I24" s="6">
        <f ca="1">'BOM &amp; cycles'!J7*'BOM &amp; cycles'!$G7/'BOM &amp; cycles'!J$27</f>
        <v>2.5349655848963495E-2</v>
      </c>
      <c r="J24" s="6">
        <f ca="1">'BOM &amp; cycles'!K7*'BOM &amp; cycles'!$G7/'BOM &amp; cycles'!K$27</f>
        <v>2.4554733782181048E-2</v>
      </c>
      <c r="K24" s="6">
        <f ca="1">'BOM &amp; cycles'!L7*'BOM &amp; cycles'!$G7/'BOM &amp; cycles'!L$27</f>
        <v>2.4363656553484242E-2</v>
      </c>
      <c r="L24" s="6">
        <f ca="1">'BOM &amp; cycles'!M7*'BOM &amp; cycles'!$G7/'BOM &amp; cycles'!M$27</f>
        <v>2.3708165023996478E-2</v>
      </c>
      <c r="M24" s="6">
        <f ca="1">'BOM &amp; cycles'!N7*'BOM &amp; cycles'!$G7/'BOM &amp; cycles'!N$27</f>
        <v>2.3349851409720637E-2</v>
      </c>
      <c r="N24" s="6">
        <f ca="1">'BOM &amp; cycles'!O7*'BOM &amp; cycles'!$G7/'BOM &amp; cycles'!O$27</f>
        <v>2.3898043676922588E-2</v>
      </c>
      <c r="O24" s="6">
        <f ca="1">'BOM &amp; cycles'!P7*'BOM &amp; cycles'!$G7/'BOM &amp; cycles'!P$27</f>
        <v>3.079626949552727E-2</v>
      </c>
      <c r="P24" s="6">
        <f ca="1">'BOM &amp; cycles'!Q7*'BOM &amp; cycles'!$G7/'BOM &amp; cycles'!Q$27</f>
        <v>3.1379913628268842E-2</v>
      </c>
      <c r="Q24" s="6">
        <f ca="1">'BOM &amp; cycles'!R7*'BOM &amp; cycles'!$G7/'BOM &amp; cycles'!R$27</f>
        <v>3.1379913628268842E-2</v>
      </c>
      <c r="R24" s="6">
        <f>'BOM &amp; cycles'!S7*'BOM &amp; cycles'!$G7/'BOM &amp; cycles'!S$27</f>
        <v>5.0816311835269728E-3</v>
      </c>
      <c r="S24" s="6">
        <f>'BOM &amp; cycles'!T7*'BOM &amp; cycles'!$G7/'BOM &amp; cycles'!T$27</f>
        <v>2.0073451630222734E-2</v>
      </c>
      <c r="T24" s="6">
        <f>'BOM &amp; cycles'!U7*'BOM &amp; cycles'!$G7/'BOM &amp; cycles'!U$27</f>
        <v>2.1506141570627746E-2</v>
      </c>
    </row>
    <row r="25" spans="2:20" s="2" customFormat="1" outlineLevel="1" x14ac:dyDescent="0.25">
      <c r="B25" s="4" t="s">
        <v>22</v>
      </c>
      <c r="C25" s="4" t="s">
        <v>226</v>
      </c>
      <c r="D25" s="14">
        <f t="shared" ca="1" si="1"/>
        <v>23.449370382607221</v>
      </c>
      <c r="E25" s="125" t="s">
        <v>551</v>
      </c>
      <c r="F25" s="88">
        <f ca="1">D25*_xlfn.XLOOKUP($E25,'Background data'!$D:$D,'Background data'!J:J)</f>
        <v>35245.020096773493</v>
      </c>
      <c r="G25"/>
      <c r="H25" s="6">
        <f ca="1">'BOM &amp; cycles'!I8*'BOM &amp; cycles'!$G8/'BOM &amp; cycles'!I$27</f>
        <v>0.21881413706469033</v>
      </c>
      <c r="I25" s="6">
        <f ca="1">'BOM &amp; cycles'!J8*'BOM &amp; cycles'!$G8/'BOM &amp; cycles'!J$27</f>
        <v>0.2027427136562131</v>
      </c>
      <c r="J25" s="6">
        <f ca="1">'BOM &amp; cycles'!K8*'BOM &amp; cycles'!$G8/'BOM &amp; cycles'!K$27</f>
        <v>0.20073820076332921</v>
      </c>
      <c r="K25" s="6">
        <f ca="1">'BOM &amp; cycles'!L8*'BOM &amp; cycles'!$G8/'BOM &amp; cycles'!L$27</f>
        <v>0.20001429427596332</v>
      </c>
      <c r="L25" s="6">
        <f ca="1">'BOM &amp; cycles'!M8*'BOM &amp; cycles'!$G8/'BOM &amp; cycles'!M$27</f>
        <v>0.19758220991310779</v>
      </c>
      <c r="M25" s="6">
        <f ca="1">'BOM &amp; cycles'!N8*'BOM &amp; cycles'!$G8/'BOM &amp; cycles'!N$27</f>
        <v>0.19604524081996086</v>
      </c>
      <c r="N25" s="6">
        <f ca="1">'BOM &amp; cycles'!O8*'BOM &amp; cycles'!$G8/'BOM &amp; cycles'!O$27</f>
        <v>0.19823815838757186</v>
      </c>
      <c r="O25" s="6">
        <f ca="1">'BOM &amp; cycles'!P8*'BOM &amp; cycles'!$G8/'BOM &amp; cycles'!P$27</f>
        <v>0.21661747678114227</v>
      </c>
      <c r="P25" s="6">
        <f ca="1">'BOM &amp; cycles'!Q8*'BOM &amp; cycles'!$G8/'BOM &amp; cycles'!Q$27</f>
        <v>0.21881413706469033</v>
      </c>
      <c r="Q25" s="6">
        <f ca="1">'BOM &amp; cycles'!R8*'BOM &amp; cycles'!$G8/'BOM &amp; cycles'!R$27</f>
        <v>0.21881413706469033</v>
      </c>
      <c r="R25" s="6">
        <f>'BOM &amp; cycles'!S8*'BOM &amp; cycles'!$G8/'BOM &amp; cycles'!S$27</f>
        <v>0.27485850441184789</v>
      </c>
      <c r="S25" s="6">
        <f>'BOM &amp; cycles'!T8*'BOM &amp; cycles'!$G8/'BOM &amp; cycles'!T$27</f>
        <v>0.2304045439390088</v>
      </c>
      <c r="T25" s="6">
        <f>'BOM &amp; cycles'!U8*'BOM &amp; cycles'!$G8/'BOM &amp; cycles'!U$27</f>
        <v>0.20404411928166416</v>
      </c>
    </row>
    <row r="26" spans="2:20" s="2" customFormat="1" outlineLevel="1" x14ac:dyDescent="0.25">
      <c r="B26" s="4" t="s">
        <v>55</v>
      </c>
      <c r="C26" s="4" t="s">
        <v>226</v>
      </c>
      <c r="D26" s="14">
        <f t="shared" ca="1" si="1"/>
        <v>0</v>
      </c>
      <c r="E26" s="125" t="s">
        <v>551</v>
      </c>
      <c r="F26" s="88">
        <f ca="1">D26*_xlfn.XLOOKUP($E26,'Background data'!$D:$D,'Background data'!J:J)</f>
        <v>0</v>
      </c>
      <c r="G26"/>
      <c r="H26" s="6">
        <f ca="1">'BOM &amp; cycles'!I9*'BOM &amp; cycles'!$G9/'BOM &amp; cycles'!I$27</f>
        <v>0</v>
      </c>
      <c r="I26" s="6">
        <f ca="1">'BOM &amp; cycles'!J9*'BOM &amp; cycles'!$G9/'BOM &amp; cycles'!J$27</f>
        <v>0</v>
      </c>
      <c r="J26" s="6">
        <f ca="1">'BOM &amp; cycles'!K9*'BOM &amp; cycles'!$G9/'BOM &amp; cycles'!K$27</f>
        <v>0</v>
      </c>
      <c r="K26" s="6">
        <f ca="1">'BOM &amp; cycles'!L9*'BOM &amp; cycles'!$G9/'BOM &amp; cycles'!L$27</f>
        <v>0</v>
      </c>
      <c r="L26" s="6">
        <f ca="1">'BOM &amp; cycles'!M9*'BOM &amp; cycles'!$G9/'BOM &amp; cycles'!M$27</f>
        <v>0</v>
      </c>
      <c r="M26" s="6">
        <f ca="1">'BOM &amp; cycles'!N9*'BOM &amp; cycles'!$G9/'BOM &amp; cycles'!N$27</f>
        <v>0</v>
      </c>
      <c r="N26" s="6">
        <f ca="1">'BOM &amp; cycles'!O9*'BOM &amp; cycles'!$G9/'BOM &amp; cycles'!O$27</f>
        <v>0</v>
      </c>
      <c r="O26" s="6">
        <f ca="1">'BOM &amp; cycles'!P9*'BOM &amp; cycles'!$G9/'BOM &amp; cycles'!P$27</f>
        <v>0</v>
      </c>
      <c r="P26" s="6">
        <f ca="1">'BOM &amp; cycles'!Q9*'BOM &amp; cycles'!$G9/'BOM &amp; cycles'!Q$27</f>
        <v>0</v>
      </c>
      <c r="Q26" s="6">
        <f ca="1">'BOM &amp; cycles'!R9*'BOM &amp; cycles'!$G9/'BOM &amp; cycles'!R$27</f>
        <v>0</v>
      </c>
      <c r="R26" s="6">
        <f>'BOM &amp; cycles'!S9*'BOM &amp; cycles'!$G9/'BOM &amp; cycles'!S$27</f>
        <v>0</v>
      </c>
      <c r="S26" s="6">
        <f>'BOM &amp; cycles'!T9*'BOM &amp; cycles'!$G9/'BOM &amp; cycles'!T$27</f>
        <v>0</v>
      </c>
      <c r="T26" s="6">
        <f>'BOM &amp; cycles'!U9*'BOM &amp; cycles'!$G9/'BOM &amp; cycles'!U$27</f>
        <v>0</v>
      </c>
    </row>
    <row r="27" spans="2:20" s="2" customFormat="1" outlineLevel="1" x14ac:dyDescent="0.25">
      <c r="B27" s="4" t="s">
        <v>56</v>
      </c>
      <c r="C27" s="4" t="s">
        <v>226</v>
      </c>
      <c r="D27" s="14">
        <f t="shared" ca="1" si="1"/>
        <v>1.5393919401836276</v>
      </c>
      <c r="E27" s="27" t="s">
        <v>339</v>
      </c>
      <c r="F27" s="88">
        <f ca="1">D27*_xlfn.XLOOKUP($E27,'Background data'!$D:$D,'Background data'!J:J)</f>
        <v>302.61641468478035</v>
      </c>
      <c r="G27"/>
      <c r="H27" s="6">
        <f ca="1">'BOM &amp; cycles'!I14*'BOM &amp; cycles'!$G14/'BOM &amp; cycles'!I$27</f>
        <v>2.3275017785565691E-2</v>
      </c>
      <c r="I27" s="6">
        <f ca="1">'BOM &amp; cycles'!J14*'BOM &amp; cycles'!$G14/'BOM &amp; cycles'!J$27</f>
        <v>1.5409260246933466E-2</v>
      </c>
      <c r="J27" s="6">
        <f ca="1">'BOM &amp; cycles'!K14*'BOM &amp; cycles'!$G14/'BOM &amp; cycles'!K$27</f>
        <v>1.4482724790905262E-2</v>
      </c>
      <c r="K27" s="6">
        <f ca="1">'BOM &amp; cycles'!L14*'BOM &amp; cycles'!$G14/'BOM &amp; cycles'!L$27</f>
        <v>1.4170926598731171E-2</v>
      </c>
      <c r="L27" s="6">
        <f ca="1">'BOM &amp; cycles'!M14*'BOM &amp; cycles'!$G14/'BOM &amp; cycles'!M$27</f>
        <v>1.2970773052802543E-2</v>
      </c>
      <c r="M27" s="6">
        <f ca="1">'BOM &amp; cycles'!N14*'BOM &amp; cycles'!$G14/'BOM &amp; cycles'!N$27</f>
        <v>1.2350619695164721E-2</v>
      </c>
      <c r="N27" s="6">
        <f ca="1">'BOM &amp; cycles'!O14*'BOM &amp; cycles'!$G14/'BOM &amp; cycles'!O$27</f>
        <v>1.3342833729257849E-2</v>
      </c>
      <c r="O27" s="6">
        <f ca="1">'BOM &amp; cycles'!P14*'BOM &amp; cycles'!$G14/'BOM &amp; cycles'!P$27</f>
        <v>2.2983631773023341E-2</v>
      </c>
      <c r="P27" s="6">
        <f ca="1">'BOM &amp; cycles'!Q14*'BOM &amp; cycles'!$G14/'BOM &amp; cycles'!Q$27</f>
        <v>2.3275017785565691E-2</v>
      </c>
      <c r="Q27" s="6">
        <f ca="1">'BOM &amp; cycles'!R14*'BOM &amp; cycles'!$G14/'BOM &amp; cycles'!R$27</f>
        <v>2.3275017785565691E-2</v>
      </c>
      <c r="R27" s="6">
        <f>'BOM &amp; cycles'!S14*'BOM &amp; cycles'!$G14/'BOM &amp; cycles'!S$27</f>
        <v>2.2592971453991261E-2</v>
      </c>
      <c r="S27" s="6">
        <f>'BOM &amp; cycles'!T14*'BOM &amp; cycles'!$G14/'BOM &amp; cycles'!T$27</f>
        <v>0</v>
      </c>
      <c r="T27" s="6">
        <f>'BOM &amp; cycles'!U14*'BOM &amp; cycles'!$G14/'BOM &amp; cycles'!U$27</f>
        <v>0</v>
      </c>
    </row>
    <row r="28" spans="2:20" s="2" customFormat="1" outlineLevel="1" x14ac:dyDescent="0.25">
      <c r="B28" s="4" t="s">
        <v>57</v>
      </c>
      <c r="C28" s="4" t="s">
        <v>226</v>
      </c>
      <c r="D28" s="14">
        <f t="shared" ca="1" si="1"/>
        <v>2.6664467535323548</v>
      </c>
      <c r="E28" s="27" t="s">
        <v>339</v>
      </c>
      <c r="F28" s="88">
        <f ca="1">D28*_xlfn.XLOOKUP($E28,'Background data'!$D:$D,'Background data'!J:J)</f>
        <v>524.17486115042311</v>
      </c>
      <c r="G28"/>
      <c r="H28" s="6">
        <f ca="1">'BOM &amp; cycles'!I15*'BOM &amp; cycles'!$G15/'BOM &amp; cycles'!I$27</f>
        <v>2.2023672743330978E-2</v>
      </c>
      <c r="I28" s="6">
        <f ca="1">'BOM &amp; cycles'!J15*'BOM &amp; cycles'!$G15/'BOM &amp; cycles'!J$27</f>
        <v>2.2391581296325191E-2</v>
      </c>
      <c r="J28" s="6">
        <f ca="1">'BOM &amp; cycles'!K15*'BOM &amp; cycles'!$G15/'BOM &amp; cycles'!K$27</f>
        <v>2.2317641481067123E-2</v>
      </c>
      <c r="K28" s="6">
        <f ca="1">'BOM &amp; cycles'!L15*'BOM &amp; cycles'!$G15/'BOM &amp; cycles'!L$27</f>
        <v>2.243730044799102E-2</v>
      </c>
      <c r="L28" s="6">
        <f ca="1">'BOM &amp; cycles'!M15*'BOM &amp; cycles'!$G15/'BOM &amp; cycles'!M$27</f>
        <v>2.2467231895032976E-2</v>
      </c>
      <c r="M28" s="6">
        <f ca="1">'BOM &amp; cycles'!N15*'BOM &amp; cycles'!$G15/'BOM &amp; cycles'!N$27</f>
        <v>2.2414087594928567E-2</v>
      </c>
      <c r="N28" s="6">
        <f ca="1">'BOM &amp; cycles'!O15*'BOM &amp; cycles'!$G15/'BOM &amp; cycles'!O$27</f>
        <v>2.2472141017697424E-2</v>
      </c>
      <c r="O28" s="6">
        <f ca="1">'BOM &amp; cycles'!P15*'BOM &amp; cycles'!$G15/'BOM &amp; cycles'!P$27</f>
        <v>2.1962137027555638E-2</v>
      </c>
      <c r="P28" s="6">
        <f ca="1">'BOM &amp; cycles'!Q15*'BOM &amp; cycles'!$G15/'BOM &amp; cycles'!Q$27</f>
        <v>2.2023672743330978E-2</v>
      </c>
      <c r="Q28" s="6">
        <f ca="1">'BOM &amp; cycles'!R15*'BOM &amp; cycles'!$G15/'BOM &amp; cycles'!R$27</f>
        <v>2.2023672743330978E-2</v>
      </c>
      <c r="R28" s="6">
        <f>'BOM &amp; cycles'!S15*'BOM &amp; cycles'!$G15/'BOM &amp; cycles'!S$27</f>
        <v>2.1864165923217348E-2</v>
      </c>
      <c r="S28" s="6">
        <f>'BOM &amp; cycles'!T15*'BOM &amp; cycles'!$G15/'BOM &amp; cycles'!T$27</f>
        <v>2.3495987599710593E-2</v>
      </c>
      <c r="T28" s="6">
        <f>'BOM &amp; cycles'!U15*'BOM &amp; cycles'!$G15/'BOM &amp; cycles'!U$27</f>
        <v>2.336091534906249E-2</v>
      </c>
    </row>
    <row r="29" spans="2:20" s="2" customFormat="1" outlineLevel="1" x14ac:dyDescent="0.25">
      <c r="B29" s="4" t="s">
        <v>58</v>
      </c>
      <c r="C29" s="4" t="s">
        <v>226</v>
      </c>
      <c r="D29" s="14">
        <f t="shared" ca="1" si="1"/>
        <v>0.46731541041288699</v>
      </c>
      <c r="E29" s="27" t="s">
        <v>339</v>
      </c>
      <c r="F29" s="88">
        <f ca="1">D29*_xlfn.XLOOKUP($E29,'Background data'!$D:$D,'Background data'!J:J)</f>
        <v>91.865697315022615</v>
      </c>
      <c r="G29"/>
      <c r="H29" s="6">
        <f ca="1">'BOM &amp; cycles'!I16*'BOM &amp; cycles'!$G16/'BOM &amp; cycles'!I$27</f>
        <v>4.2545731435980304E-3</v>
      </c>
      <c r="I29" s="6">
        <f ca="1">'BOM &amp; cycles'!J16*'BOM &amp; cycles'!$G16/'BOM &amp; cycles'!J$27</f>
        <v>3.8523150617333665E-3</v>
      </c>
      <c r="J29" s="6">
        <f ca="1">'BOM &amp; cycles'!K16*'BOM &amp; cycles'!$G16/'BOM &amp; cycles'!K$27</f>
        <v>4.0361692040227779E-3</v>
      </c>
      <c r="K29" s="6">
        <f ca="1">'BOM &amp; cycles'!L16*'BOM &amp; cycles'!$G16/'BOM &amp; cycles'!L$27</f>
        <v>3.7789137596616457E-3</v>
      </c>
      <c r="L29" s="6">
        <f ca="1">'BOM &amp; cycles'!M16*'BOM &amp; cycles'!$G16/'BOM &amp; cycles'!M$27</f>
        <v>3.9375561053150579E-3</v>
      </c>
      <c r="M29" s="6">
        <f ca="1">'BOM &amp; cycles'!N16*'BOM &amp; cycles'!$G16/'BOM &amp; cycles'!N$27</f>
        <v>3.8881580521814862E-3</v>
      </c>
      <c r="N29" s="6">
        <f ca="1">'BOM &amp; cycles'!O16*'BOM &amp; cycles'!$G16/'BOM &amp; cycles'!O$27</f>
        <v>3.7453568362829049E-3</v>
      </c>
      <c r="O29" s="6">
        <f ca="1">'BOM &amp; cycles'!P16*'BOM &amp; cycles'!$G16/'BOM &amp; cycles'!P$27</f>
        <v>4.0859789818708169E-3</v>
      </c>
      <c r="P29" s="6">
        <f ca="1">'BOM &amp; cycles'!Q16*'BOM &amp; cycles'!$G16/'BOM &amp; cycles'!Q$27</f>
        <v>4.2545731435980304E-3</v>
      </c>
      <c r="Q29" s="6">
        <f ca="1">'BOM &amp; cycles'!R16*'BOM &amp; cycles'!$G16/'BOM &amp; cycles'!R$27</f>
        <v>4.2545731435980304E-3</v>
      </c>
      <c r="R29" s="6">
        <f>'BOM &amp; cycles'!S16*'BOM &amp; cycles'!$G16/'BOM &amp; cycles'!S$27</f>
        <v>4.1298980077188333E-3</v>
      </c>
      <c r="S29" s="6">
        <f>'BOM &amp; cycles'!T16*'BOM &amp; cycles'!$G16/'BOM &amp; cycles'!T$27</f>
        <v>4.4381309910564454E-3</v>
      </c>
      <c r="T29" s="6">
        <f>'BOM &amp; cycles'!U16*'BOM &amp; cycles'!$G16/'BOM &amp; cycles'!U$27</f>
        <v>4.0114703124652772E-3</v>
      </c>
    </row>
    <row r="30" spans="2:20" s="2" customFormat="1" outlineLevel="1" x14ac:dyDescent="0.25">
      <c r="B30" s="4" t="s">
        <v>59</v>
      </c>
      <c r="C30" s="4" t="s">
        <v>226</v>
      </c>
      <c r="D30" s="14">
        <f t="shared" ca="1" si="1"/>
        <v>50.717466600692731</v>
      </c>
      <c r="E30" s="125" t="s">
        <v>350</v>
      </c>
      <c r="F30" s="88">
        <f ca="1">D30*_xlfn.XLOOKUP($E30,'Background data'!$D:$D,'Background data'!J:J)</f>
        <v>4579.6551435101437</v>
      </c>
      <c r="G30"/>
      <c r="H30" s="6">
        <f ca="1">'BOM &amp; cycles'!I17*'BOM &amp; cycles'!$G17/'BOM &amp; cycles'!I$27</f>
        <v>0.40018014450666173</v>
      </c>
      <c r="I30" s="6">
        <f ca="1">'BOM &amp; cycles'!J17*'BOM &amp; cycles'!$G17/'BOM &amp; cycles'!J$27</f>
        <v>0.42110619018572865</v>
      </c>
      <c r="J30" s="6">
        <f ca="1">'BOM &amp; cycles'!K17*'BOM &amp; cycles'!$G17/'BOM &amp; cycles'!K$27</f>
        <v>0.42332292298662427</v>
      </c>
      <c r="K30" s="6">
        <f ca="1">'BOM &amp; cycles'!L17*'BOM &amp; cycles'!$G17/'BOM &amp; cycles'!L$27</f>
        <v>0.42418306952201967</v>
      </c>
      <c r="L30" s="6">
        <f ca="1">'BOM &amp; cycles'!M17*'BOM &amp; cycles'!$G17/'BOM &amp; cycles'!M$27</f>
        <v>0.42734064790036952</v>
      </c>
      <c r="M30" s="6">
        <f ca="1">'BOM &amp; cycles'!N17*'BOM &amp; cycles'!$G17/'BOM &amp; cycles'!N$27</f>
        <v>0.42975582235582421</v>
      </c>
      <c r="N30" s="6">
        <f ca="1">'BOM &amp; cycles'!O17*'BOM &amp; cycles'!$G17/'BOM &amp; cycles'!O$27</f>
        <v>0.4269706793362511</v>
      </c>
      <c r="O30" s="6">
        <f ca="1">'BOM &amp; cycles'!P17*'BOM &amp; cycles'!$G17/'BOM &amp; cycles'!P$27</f>
        <v>0.40297967708700927</v>
      </c>
      <c r="P30" s="6">
        <f ca="1">'BOM &amp; cycles'!Q17*'BOM &amp; cycles'!$G17/'BOM &amp; cycles'!Q$27</f>
        <v>0.40018014450666173</v>
      </c>
      <c r="Q30" s="6">
        <f ca="1">'BOM &amp; cycles'!R17*'BOM &amp; cycles'!$G17/'BOM &amp; cycles'!R$27</f>
        <v>0.40018014450666173</v>
      </c>
      <c r="R30" s="6">
        <f>'BOM &amp; cycles'!S17*'BOM &amp; cycles'!$G17/'BOM &amp; cycles'!S$27</f>
        <v>0.3838375795409269</v>
      </c>
      <c r="S30" s="6">
        <f>'BOM &amp; cycles'!T17*'BOM &amp; cycles'!$G17/'BOM &amp; cycles'!T$27</f>
        <v>0.41248511563936385</v>
      </c>
      <c r="T30" s="6">
        <f>'BOM &amp; cycles'!U17*'BOM &amp; cycles'!$G17/'BOM &amp; cycles'!U$27</f>
        <v>0.43347476258815965</v>
      </c>
    </row>
    <row r="31" spans="2:20" s="2" customFormat="1" outlineLevel="1" x14ac:dyDescent="0.25">
      <c r="B31" s="4" t="s">
        <v>60</v>
      </c>
      <c r="C31" s="4" t="s">
        <v>226</v>
      </c>
      <c r="D31" s="14">
        <f t="shared" ca="1" si="1"/>
        <v>19.049975259772392</v>
      </c>
      <c r="E31" s="27" t="s">
        <v>351</v>
      </c>
      <c r="F31" s="88">
        <f ca="1">D31*_xlfn.XLOOKUP($E31,'Background data'!$D:$D,'Background data'!J:J)</f>
        <v>8959.7060464138922</v>
      </c>
      <c r="G31"/>
      <c r="H31" s="6">
        <f ca="1">'BOM &amp; cycles'!I18*'BOM &amp; cycles'!$G18/'BOM &amp; cycles'!I$27</f>
        <v>0.15867055135536182</v>
      </c>
      <c r="I31" s="6">
        <f ca="1">'BOM &amp; cycles'!J18*'BOM &amp; cycles'!$G18/'BOM &amp; cycles'!J$27</f>
        <v>0.16059338413600974</v>
      </c>
      <c r="J31" s="6">
        <f ca="1">'BOM &amp; cycles'!K18*'BOM &amp; cycles'!$G18/'BOM &amp; cycles'!K$27</f>
        <v>0.16049708128937637</v>
      </c>
      <c r="K31" s="6">
        <f ca="1">'BOM &amp; cycles'!L18*'BOM &amp; cycles'!$G18/'BOM &amp; cycles'!L$27</f>
        <v>0.16060383478561993</v>
      </c>
      <c r="L31" s="6">
        <f ca="1">'BOM &amp; cycles'!M18*'BOM &amp; cycles'!$G18/'BOM &amp; cycles'!M$27</f>
        <v>0.16051331652843148</v>
      </c>
      <c r="M31" s="6">
        <f ca="1">'BOM &amp; cycles'!N18*'BOM &amp; cycles'!$G18/'BOM &amp; cycles'!N$27</f>
        <v>0.16055805603714138</v>
      </c>
      <c r="N31" s="6">
        <f ca="1">'BOM &amp; cycles'!O18*'BOM &amp; cycles'!$G18/'BOM &amp; cycles'!O$27</f>
        <v>0.16081625915789721</v>
      </c>
      <c r="O31" s="6">
        <f ca="1">'BOM &amp; cycles'!P18*'BOM &amp; cycles'!$G18/'BOM &amp; cycles'!P$27</f>
        <v>0.15807631186112722</v>
      </c>
      <c r="P31" s="6">
        <f ca="1">'BOM &amp; cycles'!Q18*'BOM &amp; cycles'!$G18/'BOM &amp; cycles'!Q$27</f>
        <v>0.15867055135536182</v>
      </c>
      <c r="Q31" s="6">
        <f ca="1">'BOM &amp; cycles'!R18*'BOM &amp; cycles'!$G18/'BOM &amp; cycles'!R$27</f>
        <v>0.15867055135536182</v>
      </c>
      <c r="R31" s="6">
        <f>'BOM &amp; cycles'!S18*'BOM &amp; cycles'!$G18/'BOM &amp; cycles'!S$27</f>
        <v>0.1552355780548432</v>
      </c>
      <c r="S31" s="6">
        <f>'BOM &amp; cycles'!T18*'BOM &amp; cycles'!$G18/'BOM &amp; cycles'!T$27</f>
        <v>0.16682151195794526</v>
      </c>
      <c r="T31" s="6">
        <f>'BOM &amp; cycles'!U18*'BOM &amp; cycles'!$G18/'BOM &amp; cycles'!U$27</f>
        <v>0.16565012702062501</v>
      </c>
    </row>
    <row r="32" spans="2:20" s="2" customFormat="1" outlineLevel="1" x14ac:dyDescent="0.25">
      <c r="B32" s="4" t="s">
        <v>61</v>
      </c>
      <c r="C32" s="4" t="s">
        <v>226</v>
      </c>
      <c r="D32" s="14">
        <f t="shared" ca="1" si="1"/>
        <v>0.13744570894496677</v>
      </c>
      <c r="E32" s="27"/>
      <c r="F32" s="88">
        <f ca="1">D32*_xlfn.XLOOKUP($E32,'Background data'!$D:$D,'Background data'!J:J)</f>
        <v>0</v>
      </c>
      <c r="G32"/>
      <c r="H32" s="6">
        <f ca="1">'BOM &amp; cycles'!I19*'BOM &amp; cycles'!$G19/'BOM &amp; cycles'!I$27</f>
        <v>1.0010760337877717E-3</v>
      </c>
      <c r="I32" s="6">
        <f ca="1">'BOM &amp; cycles'!J19*'BOM &amp; cycles'!$G19/'BOM &amp; cycles'!J$27</f>
        <v>9.6307876543334152E-4</v>
      </c>
      <c r="J32" s="6">
        <f ca="1">'BOM &amp; cycles'!K19*'BOM &amp; cycles'!$G19/'BOM &amp; cycles'!K$27</f>
        <v>1.1871085894184642E-3</v>
      </c>
      <c r="K32" s="6">
        <f ca="1">'BOM &amp; cycles'!L19*'BOM &amp; cycles'!$G19/'BOM &amp; cycles'!L$27</f>
        <v>1.1809105498942643E-3</v>
      </c>
      <c r="L32" s="6">
        <f ca="1">'BOM &amp; cycles'!M19*'BOM &amp; cycles'!$G19/'BOM &amp; cycles'!M$27</f>
        <v>1.1581047368573701E-3</v>
      </c>
      <c r="M32" s="6">
        <f ca="1">'BOM &amp; cycles'!N19*'BOM &amp; cycles'!$G19/'BOM &amp; cycles'!N$27</f>
        <v>1.1435758977004372E-3</v>
      </c>
      <c r="N32" s="6">
        <f ca="1">'BOM &amp; cycles'!O19*'BOM &amp; cycles'!$G19/'BOM &amp; cycles'!O$27</f>
        <v>1.1704240113384076E-3</v>
      </c>
      <c r="O32" s="6">
        <f ca="1">'BOM &amp; cycles'!P19*'BOM &amp; cycles'!$G19/'BOM &amp; cycles'!P$27</f>
        <v>1.021494745467704E-3</v>
      </c>
      <c r="P32" s="6">
        <f ca="1">'BOM &amp; cycles'!Q19*'BOM &amp; cycles'!$G19/'BOM &amp; cycles'!Q$27</f>
        <v>1.0010760337877717E-3</v>
      </c>
      <c r="Q32" s="6">
        <f ca="1">'BOM &amp; cycles'!R19*'BOM &amp; cycles'!$G19/'BOM &amp; cycles'!R$27</f>
        <v>1.0010760337877717E-3</v>
      </c>
      <c r="R32" s="6">
        <f>'BOM &amp; cycles'!S19*'BOM &amp; cycles'!$G19/'BOM &amp; cycles'!S$27</f>
        <v>7.2880553077391181E-4</v>
      </c>
      <c r="S32" s="6">
        <f>'BOM &amp; cycles'!T19*'BOM &amp; cycles'!$G19/'BOM &amp; cycles'!T$27</f>
        <v>7.8319958665701999E-4</v>
      </c>
      <c r="T32" s="6">
        <f>'BOM &amp; cycles'!U19*'BOM &amp; cycles'!$G19/'BOM &amp; cycles'!U$27</f>
        <v>9.4387536763888879E-4</v>
      </c>
    </row>
    <row r="33" spans="2:20" s="2" customFormat="1" outlineLevel="1" x14ac:dyDescent="0.25">
      <c r="B33" s="4" t="s">
        <v>62</v>
      </c>
      <c r="C33" s="4" t="s">
        <v>226</v>
      </c>
      <c r="D33" s="14">
        <f t="shared" ca="1" si="1"/>
        <v>1.0720765297707406</v>
      </c>
      <c r="E33" s="27"/>
      <c r="F33" s="88">
        <f ca="1">D33*_xlfn.XLOOKUP($E33,'Background data'!$D:$D,'Background data'!J:J)</f>
        <v>0</v>
      </c>
      <c r="G33"/>
      <c r="H33" s="6">
        <f ca="1">'BOM &amp; cycles'!I20*'BOM &amp; cycles'!$G20/'BOM &amp; cycles'!I$27</f>
        <v>8.509146287196059E-3</v>
      </c>
      <c r="I33" s="6">
        <f ca="1">'BOM &amp; cycles'!J20*'BOM &amp; cycles'!$G20/'BOM &amp; cycles'!J$27</f>
        <v>8.90847858025841E-3</v>
      </c>
      <c r="J33" s="6">
        <f ca="1">'BOM &amp; cycles'!K20*'BOM &amp; cycles'!$G20/'BOM &amp; cycles'!K$27</f>
        <v>9.0220252795803271E-3</v>
      </c>
      <c r="K33" s="6">
        <f ca="1">'BOM &amp; cycles'!L20*'BOM &amp; cycles'!$G20/'BOM &amp; cycles'!L$27</f>
        <v>8.9749201791964085E-3</v>
      </c>
      <c r="L33" s="6">
        <f ca="1">'BOM &amp; cycles'!M20*'BOM &amp; cycles'!$G20/'BOM &amp; cycles'!M$27</f>
        <v>9.0332169474874862E-3</v>
      </c>
      <c r="M33" s="6">
        <f ca="1">'BOM &amp; cycles'!N20*'BOM &amp; cycles'!$G20/'BOM &amp; cycles'!N$27</f>
        <v>9.1486071816034974E-3</v>
      </c>
      <c r="N33" s="6">
        <f ca="1">'BOM &amp; cycles'!O20*'BOM &amp; cycles'!$G20/'BOM &amp; cycles'!O$27</f>
        <v>9.1293072884395792E-3</v>
      </c>
      <c r="O33" s="6">
        <f ca="1">'BOM &amp; cycles'!P20*'BOM &amp; cycles'!$G20/'BOM &amp; cycles'!P$27</f>
        <v>8.6827053364754853E-3</v>
      </c>
      <c r="P33" s="6">
        <f ca="1">'BOM &amp; cycles'!Q20*'BOM &amp; cycles'!$G20/'BOM &amp; cycles'!Q$27</f>
        <v>8.509146287196059E-3</v>
      </c>
      <c r="Q33" s="6">
        <f ca="1">'BOM &amp; cycles'!R20*'BOM &amp; cycles'!$G20/'BOM &amp; cycles'!R$27</f>
        <v>8.509146287196059E-3</v>
      </c>
      <c r="R33" s="6">
        <f>'BOM &amp; cycles'!S20*'BOM &amp; cycles'!$G20/'BOM &amp; cycles'!S$27</f>
        <v>8.5027311923623027E-3</v>
      </c>
      <c r="S33" s="6">
        <f>'BOM &amp; cycles'!T20*'BOM &amp; cycles'!$G20/'BOM &amp; cycles'!T$27</f>
        <v>9.137328510998563E-3</v>
      </c>
      <c r="T33" s="6">
        <f>'BOM &amp; cycles'!U20*'BOM &amp; cycles'!$G20/'BOM &amp; cycles'!U$27</f>
        <v>9.438753676388887E-3</v>
      </c>
    </row>
    <row r="34" spans="2:20" s="2" customFormat="1" outlineLevel="1" x14ac:dyDescent="0.25">
      <c r="B34" s="4" t="s">
        <v>63</v>
      </c>
      <c r="C34" s="4" t="s">
        <v>226</v>
      </c>
      <c r="D34" s="14">
        <f t="shared" ca="1" si="1"/>
        <v>12.287646379680028</v>
      </c>
      <c r="E34" s="27" t="s">
        <v>540</v>
      </c>
      <c r="F34" s="88">
        <f ca="1">D34*_xlfn.XLOOKUP($E34,'Background data'!$D:$D,'Background data'!J:J)</f>
        <v>12901.537192808843</v>
      </c>
      <c r="G34"/>
      <c r="H34" s="6">
        <f ca="1">'BOM &amp; cycles'!I21*'BOM &amp; cycles'!$G21/'BOM &amp; cycles'!I$27</f>
        <v>0.10236002445479968</v>
      </c>
      <c r="I34" s="6">
        <f ca="1">'BOM &amp; cycles'!J21*'BOM &amp; cycles'!$G21/'BOM &amp; cycles'!J$27</f>
        <v>0.10353096728408423</v>
      </c>
      <c r="J34" s="6">
        <f ca="1">'BOM &amp; cycles'!K21*'BOM &amp; cycles'!$G21/'BOM &amp; cycles'!K$27</f>
        <v>0.10375329071517377</v>
      </c>
      <c r="K34" s="6">
        <f ca="1">'BOM &amp; cycles'!L21*'BOM &amp; cycles'!$G21/'BOM &amp; cycles'!L$27</f>
        <v>0.10368394628071639</v>
      </c>
      <c r="L34" s="6">
        <f ca="1">'BOM &amp; cycles'!M21*'BOM &amp; cycles'!$G21/'BOM &amp; cycles'!M$27</f>
        <v>0.10353456347504889</v>
      </c>
      <c r="M34" s="6">
        <f ca="1">'BOM &amp; cycles'!N21*'BOM &amp; cycles'!$G21/'BOM &amp; cycles'!N$27</f>
        <v>0.10337926115211953</v>
      </c>
      <c r="N34" s="6">
        <f ca="1">'BOM &amp; cycles'!O21*'BOM &amp; cycles'!$G21/'BOM &amp; cycles'!O$27</f>
        <v>0.10346548260231525</v>
      </c>
      <c r="O34" s="6">
        <f ca="1">'BOM &amp; cycles'!P21*'BOM &amp; cycles'!$G21/'BOM &amp; cycles'!P$27</f>
        <v>0.1018941008604035</v>
      </c>
      <c r="P34" s="6">
        <f ca="1">'BOM &amp; cycles'!Q21*'BOM &amp; cycles'!$G21/'BOM &amp; cycles'!Q$27</f>
        <v>0.10236002445479968</v>
      </c>
      <c r="Q34" s="6">
        <f ca="1">'BOM &amp; cycles'!R21*'BOM &amp; cycles'!$G21/'BOM &amp; cycles'!R$27</f>
        <v>0.10236002445479968</v>
      </c>
      <c r="R34" s="6">
        <f>'BOM &amp; cycles'!S21*'BOM &amp; cycles'!$G21/'BOM &amp; cycles'!S$27</f>
        <v>9.9360487362176647E-2</v>
      </c>
      <c r="S34" s="6">
        <f>'BOM &amp; cycles'!T21*'BOM &amp; cycles'!$G21/'BOM &amp; cycles'!T$27</f>
        <v>0.10677621031424039</v>
      </c>
      <c r="T34" s="6">
        <f>'BOM &amp; cycles'!U21*'BOM &amp; cycles'!$G21/'BOM &amp; cycles'!U$27</f>
        <v>0.1052421034917361</v>
      </c>
    </row>
    <row r="35" spans="2:20" s="2" customFormat="1" outlineLevel="1" x14ac:dyDescent="0.25">
      <c r="B35" s="4" t="s">
        <v>64</v>
      </c>
      <c r="C35" s="4" t="s">
        <v>226</v>
      </c>
      <c r="D35" s="14">
        <f t="shared" ca="1" si="1"/>
        <v>4.4807301116059115</v>
      </c>
      <c r="E35" s="27" t="s">
        <v>428</v>
      </c>
      <c r="F35" s="88">
        <f ca="1">D35*_xlfn.XLOOKUP($E35,'Background data'!$D:$D,'Background data'!J:J)</f>
        <v>65166.57375336736</v>
      </c>
      <c r="G35"/>
      <c r="H35" s="6">
        <f ca="1">'BOM &amp; cycles'!I22*'BOM &amp; cycles'!$G22/'BOM &amp; cycles'!I$27</f>
        <v>2.9531742996739073E-2</v>
      </c>
      <c r="I35" s="6">
        <f ca="1">'BOM &amp; cycles'!J22*'BOM &amp; cycles'!$G22/'BOM &amp; cycles'!J$27</f>
        <v>3.5152374938317105E-2</v>
      </c>
      <c r="J35" s="6">
        <f ca="1">'BOM &amp; cycles'!K22*'BOM &amp; cycles'!$G22/'BOM &amp; cycles'!K$27</f>
        <v>3.6088101118321288E-2</v>
      </c>
      <c r="K35" s="6">
        <f ca="1">'BOM &amp; cycles'!L22*'BOM &amp; cycles'!$G22/'BOM &amp; cycles'!L$27</f>
        <v>3.6608227046721828E-2</v>
      </c>
      <c r="L35" s="6">
        <f ca="1">'BOM &amp; cycles'!M22*'BOM &amp; cycles'!$G22/'BOM &amp; cycles'!M$27</f>
        <v>3.775421442155022E-2</v>
      </c>
      <c r="M35" s="6">
        <f ca="1">'BOM &amp; cycles'!N22*'BOM &amp; cycles'!$G22/'BOM &amp; cycles'!N$27</f>
        <v>3.7966719803654646E-2</v>
      </c>
      <c r="N35" s="6">
        <f ca="1">'BOM &amp; cycles'!O22*'BOM &amp; cycles'!$G22/'BOM &amp; cycles'!O$27</f>
        <v>3.6751313956025849E-2</v>
      </c>
      <c r="O35" s="6">
        <f ca="1">'BOM &amp; cycles'!P22*'BOM &amp; cycles'!$G22/'BOM &amp; cycles'!P$27</f>
        <v>3.0900216050397483E-2</v>
      </c>
      <c r="P35" s="6">
        <f ca="1">'BOM &amp; cycles'!Q22*'BOM &amp; cycles'!$G22/'BOM &amp; cycles'!Q$27</f>
        <v>2.9531742996739073E-2</v>
      </c>
      <c r="Q35" s="6">
        <f ca="1">'BOM &amp; cycles'!R22*'BOM &amp; cycles'!$G22/'BOM &amp; cycles'!R$27</f>
        <v>2.9531742996739073E-2</v>
      </c>
      <c r="R35" s="6">
        <f>'BOM &amp; cycles'!S22*'BOM &amp; cycles'!$G22/'BOM &amp; cycles'!S$27</f>
        <v>2.3807647338614797E-2</v>
      </c>
      <c r="S35" s="6">
        <f>'BOM &amp; cycles'!T22*'BOM &amp; cycles'!$G22/'BOM &amp; cycles'!T$27</f>
        <v>2.5584519830796355E-2</v>
      </c>
      <c r="T35" s="6">
        <f>'BOM &amp; cycles'!U22*'BOM &amp; cycles'!$G22/'BOM &amp; cycles'!U$27</f>
        <v>3.2327731341631784E-2</v>
      </c>
    </row>
    <row r="36" spans="2:20" s="2" customFormat="1" x14ac:dyDescent="0.25">
      <c r="B36" s="12" t="s">
        <v>68</v>
      </c>
      <c r="C36" s="12" t="s">
        <v>226</v>
      </c>
      <c r="D36" s="22">
        <f ca="1">'BOM &amp; cycles'!$C$27</f>
        <v>118.68158774476571</v>
      </c>
      <c r="E36" s="12"/>
      <c r="F36" s="112">
        <f ca="1">SUM(F24:F35)</f>
        <v>154009.11308104728</v>
      </c>
      <c r="G36"/>
      <c r="H36" s="13">
        <f t="shared" ref="H36:T36" ca="1" si="2">SUM(H24:H35)</f>
        <v>0.99999999999999989</v>
      </c>
      <c r="I36" s="13">
        <f t="shared" ca="1" si="2"/>
        <v>1.0000000000000002</v>
      </c>
      <c r="J36" s="13">
        <f t="shared" ca="1" si="2"/>
        <v>0.99999999999999989</v>
      </c>
      <c r="K36" s="13">
        <f t="shared" ca="1" si="2"/>
        <v>0.99999999999999989</v>
      </c>
      <c r="L36" s="13">
        <f t="shared" ca="1" si="2"/>
        <v>0.99999999999999989</v>
      </c>
      <c r="M36" s="13">
        <f t="shared" ca="1" si="2"/>
        <v>0.99999999999999989</v>
      </c>
      <c r="N36" s="13">
        <f t="shared" ca="1" si="2"/>
        <v>0.99999999999999989</v>
      </c>
      <c r="O36" s="13">
        <f ca="1">SUM(O24:O35)</f>
        <v>1</v>
      </c>
      <c r="P36" s="13">
        <f ca="1">SUM(P24:P35)</f>
        <v>0.99999999999999989</v>
      </c>
      <c r="Q36" s="13">
        <f ca="1">SUM(Q24:Q35)</f>
        <v>0.99999999999999989</v>
      </c>
      <c r="R36" s="13">
        <f t="shared" si="2"/>
        <v>1</v>
      </c>
      <c r="S36" s="13">
        <f t="shared" si="2"/>
        <v>1.0000000000000002</v>
      </c>
      <c r="T36" s="13">
        <f t="shared" si="2"/>
        <v>1</v>
      </c>
    </row>
    <row r="38" spans="2:20" x14ac:dyDescent="0.25">
      <c r="B38" s="9" t="s">
        <v>224</v>
      </c>
    </row>
    <row r="39" spans="2:20" ht="28.55" x14ac:dyDescent="0.25">
      <c r="B39" s="1" t="s">
        <v>434</v>
      </c>
      <c r="C39" s="1" t="s">
        <v>195</v>
      </c>
      <c r="D39" s="91" t="s">
        <v>433</v>
      </c>
      <c r="E39" s="1" t="s">
        <v>430</v>
      </c>
      <c r="F39" s="23" t="s">
        <v>267</v>
      </c>
      <c r="H39" s="1" t="s">
        <v>219</v>
      </c>
      <c r="I39" s="1" t="s">
        <v>414</v>
      </c>
    </row>
    <row r="40" spans="2:20" x14ac:dyDescent="0.25">
      <c r="B40" s="4" t="s">
        <v>225</v>
      </c>
      <c r="C40" s="4" t="s">
        <v>219</v>
      </c>
      <c r="D40" s="69">
        <f ca="1">'BOM &amp; cycles'!$C$25*H40</f>
        <v>41.133355290543932</v>
      </c>
      <c r="E40" s="125" t="s">
        <v>359</v>
      </c>
      <c r="F40" s="88">
        <f ca="1">D40*_xlfn.XLOOKUP($E40,'Background data'!$D:$D,'Background data'!J:J)</f>
        <v>2542.1385471024905</v>
      </c>
      <c r="H40" s="111">
        <f>I40*1/3.6</f>
        <v>0.27777777777777779</v>
      </c>
      <c r="I40" s="111">
        <v>1</v>
      </c>
    </row>
  </sheetData>
  <conditionalFormatting sqref="H24:T3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{13C97271-5378-467E-BEB4-646B5A519C4E}</x14:id>
        </ext>
      </extLst>
    </cfRule>
  </conditionalFormatting>
  <dataValidations count="1">
    <dataValidation type="list" allowBlank="1" showInputMessage="1" showErrorMessage="1" sqref="C6" xr:uid="{7F32EAAD-0B94-46A8-9287-EC13CCE1E981}">
      <formula1>Battery_Chemistry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C97271-5378-467E-BEB4-646B5A519C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H24:T35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89BE1C3-927A-4039-896E-9638C67725E9}">
          <x14:formula1>
            <xm:f>'Background data'!$D$98:$D$111</xm:f>
          </x14:formula1>
          <xm:sqref>E40</xm:sqref>
        </x14:dataValidation>
        <x14:dataValidation type="list" allowBlank="1" showInputMessage="1" showErrorMessage="1" xr:uid="{1FB94542-124E-4CAA-BEC9-D50F102207D3}">
          <x14:formula1>
            <xm:f>'GREET input data'!$B$3:$B$9</xm:f>
          </x14:formula1>
          <xm:sqref>C7</xm:sqref>
        </x14:dataValidation>
        <x14:dataValidation type="list" allowBlank="1" showInputMessage="1" showErrorMessage="1" xr:uid="{69B3E853-CD08-42D3-8E5C-05F1765B0F72}">
          <x14:formula1>
            <xm:f>'Background data'!$D$20:$D$26</xm:f>
          </x14:formula1>
          <xm:sqref>E19 E25:E26</xm:sqref>
        </x14:dataValidation>
        <x14:dataValidation type="list" allowBlank="1" showInputMessage="1" showErrorMessage="1" xr:uid="{05A5DEEF-5FD0-4A1C-8AE0-0DB1EB16DEC0}">
          <x14:formula1>
            <xm:f>'Background data'!$D$5:$D$10</xm:f>
          </x14:formula1>
          <xm:sqref>E14</xm:sqref>
        </x14:dataValidation>
        <x14:dataValidation type="list" allowBlank="1" showInputMessage="1" showErrorMessage="1" xr:uid="{ABAB66D4-BC31-4554-9F42-0D414307771B}">
          <x14:formula1>
            <xm:f>'Background data'!$D$28:$D$38</xm:f>
          </x14:formula1>
          <xm:sqref>E27:E29</xm:sqref>
        </x14:dataValidation>
        <x14:dataValidation type="list" allowBlank="1" showInputMessage="1" showErrorMessage="1" xr:uid="{0F0C9278-21E2-41D7-BBF9-99EAB7F2EA27}">
          <x14:formula1>
            <xm:f>'Background data'!$D$12:$D$18</xm:f>
          </x14:formula1>
          <xm:sqref>E30:E31</xm:sqref>
        </x14:dataValidation>
        <x14:dataValidation type="list" allowBlank="1" showInputMessage="1" showErrorMessage="1" xr:uid="{07E92909-8C25-4989-B82F-F8FDEF7D074F}">
          <x14:formula1>
            <xm:f>'Background data'!$D$40:$D$44</xm:f>
          </x14:formula1>
          <xm:sqref>E18 E24 E32:E35</xm:sqref>
        </x14:dataValidation>
        <x14:dataValidation type="list" allowBlank="1" showInputMessage="1" showErrorMessage="1" xr:uid="{CA6AAD15-05DA-4976-ACD8-A02CB0FBB088}">
          <x14:formula1>
            <xm:f>'Background data'!$D$12:$D$87</xm:f>
          </x14:formula1>
          <xm:sqref>E15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2581-0511-4D95-9CE8-D8A0510BD9C4}">
  <sheetPr>
    <tabColor theme="1" tint="0.499984740745262"/>
    <outlinePr summaryBelow="0" summaryRight="0"/>
  </sheetPr>
  <dimension ref="A1:Y104"/>
  <sheetViews>
    <sheetView showGridLines="0" zoomScaleNormal="100" workbookViewId="0">
      <pane xSplit="7" ySplit="4" topLeftCell="N5" activePane="bottomRight" state="frozen"/>
      <selection activeCell="E18" sqref="E18:E21"/>
      <selection pane="topRight" activeCell="E18" sqref="E18:E21"/>
      <selection pane="bottomLeft" activeCell="E18" sqref="E18:E21"/>
      <selection pane="bottomRight" activeCell="S8" sqref="S8:U17"/>
    </sheetView>
  </sheetViews>
  <sheetFormatPr baseColWidth="10" defaultRowHeight="14.3" outlineLevelRow="1" outlineLevelCol="1" x14ac:dyDescent="0.25"/>
  <cols>
    <col min="1" max="1" width="2.875" style="2" bestFit="1" customWidth="1"/>
    <col min="2" max="2" width="33.25" style="2" bestFit="1" customWidth="1"/>
    <col min="3" max="3" width="14.125" style="2" bestFit="1" customWidth="1" collapsed="1"/>
    <col min="4" max="4" width="18.125" style="2" hidden="1" customWidth="1" outlineLevel="1"/>
    <col min="5" max="5" width="23.125" style="2" hidden="1" customWidth="1" outlineLevel="1"/>
    <col min="6" max="6" width="27.5" style="2" customWidth="1"/>
    <col min="7" max="7" width="11" style="2" customWidth="1"/>
    <col min="8" max="8" width="1.625" style="2" customWidth="1"/>
    <col min="9" max="20" width="12.625" style="2" customWidth="1"/>
    <col min="21" max="16384" width="11" style="2"/>
  </cols>
  <sheetData>
    <row r="1" spans="1:21" customFormat="1" ht="4.95" customHeight="1" x14ac:dyDescent="0.25"/>
    <row r="2" spans="1:21" customFormat="1" ht="19.05" x14ac:dyDescent="0.35">
      <c r="B2" s="110" t="s">
        <v>436</v>
      </c>
    </row>
    <row r="3" spans="1:21" ht="4.95" customHeight="1" x14ac:dyDescent="0.25"/>
    <row r="4" spans="1:21" x14ac:dyDescent="0.25">
      <c r="B4" s="15" t="s">
        <v>13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</row>
    <row r="6" spans="1:21" x14ac:dyDescent="0.25">
      <c r="B6" s="76" t="s">
        <v>355</v>
      </c>
      <c r="C6" s="75"/>
      <c r="G6" s="89">
        <f ca="1">SUM(G7:G21)</f>
        <v>1982.807606355158</v>
      </c>
      <c r="J6" s="75"/>
      <c r="P6" s="75"/>
    </row>
    <row r="7" spans="1:21" ht="28.55" outlineLevel="1" collapsed="1" x14ac:dyDescent="0.25">
      <c r="B7" s="1" t="s">
        <v>222</v>
      </c>
      <c r="C7" s="1" t="s">
        <v>124</v>
      </c>
      <c r="D7" s="1" t="s">
        <v>231</v>
      </c>
      <c r="E7" s="1" t="s">
        <v>231</v>
      </c>
      <c r="F7" s="1"/>
      <c r="G7" s="91" t="str">
        <f>'Background data'!B1</f>
        <v>ECS EI3.9.1 (Pts)</v>
      </c>
      <c r="I7" s="1" t="s">
        <v>81</v>
      </c>
      <c r="J7" s="1" t="s">
        <v>10</v>
      </c>
      <c r="K7" s="1" t="s">
        <v>11</v>
      </c>
      <c r="L7" s="1" t="s">
        <v>12</v>
      </c>
      <c r="M7" s="1" t="s">
        <v>13</v>
      </c>
      <c r="N7" s="1" t="s">
        <v>14</v>
      </c>
      <c r="O7" s="1" t="s">
        <v>77</v>
      </c>
      <c r="P7" s="1" t="s">
        <v>6</v>
      </c>
      <c r="Q7" s="1" t="s">
        <v>7</v>
      </c>
      <c r="R7" s="1" t="s">
        <v>9</v>
      </c>
      <c r="S7" s="1" t="s">
        <v>15</v>
      </c>
      <c r="T7" s="1" t="s">
        <v>16</v>
      </c>
      <c r="U7" s="1" t="s">
        <v>17</v>
      </c>
    </row>
    <row r="8" spans="1:21" outlineLevel="1" x14ac:dyDescent="0.25">
      <c r="A8" s="2">
        <v>2</v>
      </c>
      <c r="B8" s="4" t="s">
        <v>399</v>
      </c>
      <c r="C8" s="4" t="s">
        <v>212</v>
      </c>
      <c r="D8" s="18"/>
      <c r="E8" s="18"/>
      <c r="F8" s="18"/>
      <c r="G8" s="88">
        <f>_xlfn.XLOOKUP($B$4,$I$7:$U$7,$I8:$U8)*G28</f>
        <v>148.26468349655349</v>
      </c>
      <c r="I8" s="8">
        <v>0.45484540505404031</v>
      </c>
      <c r="J8" s="8">
        <v>0.46195960104869122</v>
      </c>
      <c r="K8" s="8">
        <v>0.44693305236356712</v>
      </c>
      <c r="L8" s="8">
        <v>0.44321027097360038</v>
      </c>
      <c r="M8" s="8">
        <v>0.42274103717104877</v>
      </c>
      <c r="N8" s="8">
        <v>0.40907592940201337</v>
      </c>
      <c r="O8" s="8">
        <v>0.43416001717834335</v>
      </c>
      <c r="P8" s="8">
        <v>0.5094644421948854</v>
      </c>
      <c r="Q8" s="8">
        <v>0.45484540505404031</v>
      </c>
      <c r="R8" s="8">
        <v>0.45484540505404031</v>
      </c>
      <c r="S8" s="6">
        <f>'BOM &amp; cycles'!S3*'BOM &amp; cycles'!$E3/'BOM &amp; cycles'!S$25</f>
        <v>0.54279965870794589</v>
      </c>
      <c r="T8" s="6">
        <f>'BOM &amp; cycles'!T3*'BOM &amp; cycles'!$E3/'BOM &amp; cycles'!T$25</f>
        <v>0.69479211890866988</v>
      </c>
      <c r="U8" s="6">
        <f>'BOM &amp; cycles'!U3*'BOM &amp; cycles'!$E3/'BOM &amp; cycles'!U$25</f>
        <v>0.70158811911797869</v>
      </c>
    </row>
    <row r="9" spans="1:21" outlineLevel="1" x14ac:dyDescent="0.25">
      <c r="A9" s="2">
        <v>3</v>
      </c>
      <c r="B9" s="4" t="s">
        <v>400</v>
      </c>
      <c r="C9" s="4" t="s">
        <v>212</v>
      </c>
      <c r="D9" s="33" t="s">
        <v>232</v>
      </c>
      <c r="E9" s="27"/>
      <c r="F9" s="27" t="s">
        <v>535</v>
      </c>
      <c r="G9" s="88">
        <f>_xlfn.XLOOKUP($B$4,$I$7:$U$7,$I9:$U9)*_xlfn.XLOOKUP($F9,'Background data'!$D:$D,'Background data'!H:H)</f>
        <v>0</v>
      </c>
      <c r="I9" s="8">
        <v>0.2344565046587983</v>
      </c>
      <c r="J9" s="8">
        <v>0.26087817714481626</v>
      </c>
      <c r="K9" s="8">
        <v>0.27500377655524016</v>
      </c>
      <c r="L9" s="8">
        <v>0.27818340860492435</v>
      </c>
      <c r="M9" s="8">
        <v>0.29616988777117337</v>
      </c>
      <c r="N9" s="8">
        <v>0.30815952076594916</v>
      </c>
      <c r="O9" s="8">
        <v>0.28804668611003414</v>
      </c>
      <c r="P9" s="8">
        <v>0.20166062807227622</v>
      </c>
      <c r="Q9" s="8">
        <v>0.2344565046587983</v>
      </c>
      <c r="R9" s="8">
        <v>0.2344565046587983</v>
      </c>
      <c r="S9" s="6">
        <f>'BOM &amp; cycles'!S4*'BOM &amp; cycles'!$E4/'BOM &amp; cycles'!S$25</f>
        <v>0.21892919567887154</v>
      </c>
      <c r="T9" s="6">
        <f>'BOM &amp; cycles'!T4*'BOM &amp; cycles'!$E4/'BOM &amp; cycles'!T$25</f>
        <v>2.7885235222901046E-2</v>
      </c>
      <c r="U9" s="6">
        <f>'BOM &amp; cycles'!U4*'BOM &amp; cycles'!$E4/'BOM &amp; cycles'!U$25</f>
        <v>3.7241212951627564E-2</v>
      </c>
    </row>
    <row r="10" spans="1:21" outlineLevel="1" x14ac:dyDescent="0.25">
      <c r="A10" s="2">
        <v>4</v>
      </c>
      <c r="B10" s="4" t="s">
        <v>401</v>
      </c>
      <c r="C10" s="4" t="s">
        <v>212</v>
      </c>
      <c r="D10" s="33" t="s">
        <v>54</v>
      </c>
      <c r="E10" s="7"/>
      <c r="F10" s="27"/>
      <c r="G10" s="88">
        <f>_xlfn.XLOOKUP($B$4,$I$7:$U$7,$I10:$U10)*_xlfn.XLOOKUP($F10,'Background data'!$D:$D,'Background data'!H:H)</f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6">
        <f>'BOM &amp; cycles'!S5*'BOM &amp; cycles'!$E5/'BOM &amp; cycles'!S$25</f>
        <v>0</v>
      </c>
      <c r="T10" s="6">
        <f>'BOM &amp; cycles'!T5*'BOM &amp; cycles'!$E5/'BOM &amp; cycles'!T$25</f>
        <v>0</v>
      </c>
      <c r="U10" s="6">
        <f>'BOM &amp; cycles'!U5*'BOM &amp; cycles'!$E5/'BOM &amp; cycles'!U$25</f>
        <v>0</v>
      </c>
    </row>
    <row r="11" spans="1:21" outlineLevel="1" x14ac:dyDescent="0.25">
      <c r="A11" s="2">
        <v>5</v>
      </c>
      <c r="B11" s="4" t="s">
        <v>397</v>
      </c>
      <c r="C11" s="4" t="s">
        <v>212</v>
      </c>
      <c r="D11" s="33" t="s">
        <v>54</v>
      </c>
      <c r="E11" s="7"/>
      <c r="F11" s="27" t="s">
        <v>547</v>
      </c>
      <c r="G11" s="88">
        <f>_xlfn.XLOOKUP($B$4,$I$7:$U$7,$I11:$U11)*_xlfn.XLOOKUP($F11,'Background data'!$D:$D,'Background data'!H:H)</f>
        <v>0</v>
      </c>
      <c r="I11" s="8">
        <v>1.4133410853580166E-2</v>
      </c>
      <c r="J11" s="8">
        <v>1.4864433736454371E-2</v>
      </c>
      <c r="K11" s="8">
        <v>1.4831996886976317E-2</v>
      </c>
      <c r="L11" s="8">
        <v>1.4799675799733002E-2</v>
      </c>
      <c r="M11" s="8">
        <v>1.4761521682101797E-2</v>
      </c>
      <c r="N11" s="8">
        <v>1.4768250320457177E-2</v>
      </c>
      <c r="O11" s="8">
        <v>1.4799694465261665E-2</v>
      </c>
      <c r="P11" s="8">
        <v>1.4599458089772421E-2</v>
      </c>
      <c r="Q11" s="8">
        <v>1.4133410853580166E-2</v>
      </c>
      <c r="R11" s="8">
        <v>1.4133410853580166E-2</v>
      </c>
      <c r="S11" s="6">
        <f>'BOM &amp; cycles'!S6*'BOM &amp; cycles'!$E6/'BOM &amp; cycles'!S$25</f>
        <v>1.6818150392936899E-2</v>
      </c>
      <c r="T11" s="6">
        <f>'BOM &amp; cycles'!T6*'BOM &amp; cycles'!$E6/'BOM &amp; cycles'!T$25</f>
        <v>0.1060907127779008</v>
      </c>
      <c r="U11" s="6">
        <f>'BOM &amp; cycles'!U6*'BOM &amp; cycles'!$E6/'BOM &amp; cycles'!U$25</f>
        <v>0.10756390386003646</v>
      </c>
    </row>
    <row r="12" spans="1:21" outlineLevel="1" x14ac:dyDescent="0.25">
      <c r="A12" s="2">
        <v>6</v>
      </c>
      <c r="B12" s="4" t="s">
        <v>306</v>
      </c>
      <c r="C12" s="4" t="s">
        <v>212</v>
      </c>
      <c r="D12" s="15" t="s">
        <v>2</v>
      </c>
      <c r="E12" s="7"/>
      <c r="F12" s="27" t="s">
        <v>407</v>
      </c>
      <c r="G12" s="88">
        <f>_xlfn.XLOOKUP($B$4,$I$7:$U$7,$I12:$U12)*_xlfn.XLOOKUP($F12,'Background data'!$D:$D,'Background data'!H:H)</f>
        <v>1191.6174214745665</v>
      </c>
      <c r="I12" s="8">
        <v>0.13792637389785764</v>
      </c>
      <c r="J12" s="8">
        <v>0.11993723948767633</v>
      </c>
      <c r="K12" s="8">
        <v>0.11984523737718673</v>
      </c>
      <c r="L12" s="8">
        <v>0.12023789939543543</v>
      </c>
      <c r="M12" s="8">
        <v>0.12138824534354802</v>
      </c>
      <c r="N12" s="8">
        <v>0.1222055554916171</v>
      </c>
      <c r="O12" s="8">
        <v>0.11999639495151952</v>
      </c>
      <c r="P12" s="8">
        <v>0.12960022626503873</v>
      </c>
      <c r="Q12" s="8">
        <v>0.13792637389785764</v>
      </c>
      <c r="R12" s="8">
        <v>0.13792637389785764</v>
      </c>
      <c r="S12" s="6">
        <f>'BOM &amp; cycles'!S7*'BOM &amp; cycles'!$E7/'BOM &amp; cycles'!S$25</f>
        <v>2.7326839391248928E-2</v>
      </c>
      <c r="T12" s="6">
        <f>'BOM &amp; cycles'!T7*'BOM &amp; cycles'!$E7/'BOM &amp; cycles'!T$25</f>
        <v>0.12757093348058229</v>
      </c>
      <c r="U12" s="6">
        <f>'BOM &amp; cycles'!U7*'BOM &amp; cycles'!$E7/'BOM &amp; cycles'!U$25</f>
        <v>0.11740793046690794</v>
      </c>
    </row>
    <row r="13" spans="1:21" outlineLevel="1" x14ac:dyDescent="0.25">
      <c r="A13" s="2">
        <v>7</v>
      </c>
      <c r="B13" s="4" t="s">
        <v>402</v>
      </c>
      <c r="C13" s="4" t="s">
        <v>212</v>
      </c>
      <c r="D13" s="33" t="s">
        <v>1</v>
      </c>
      <c r="E13" s="7"/>
      <c r="F13" s="125" t="s">
        <v>554</v>
      </c>
      <c r="G13" s="88">
        <f>_xlfn.XLOOKUP($B$4,$I$7:$U$7,$I13:$U13)*_xlfn.XLOOKUP($F13,'Background data'!$D:$D,'Background data'!H:H)</f>
        <v>16.894352839440788</v>
      </c>
      <c r="I13" s="8">
        <v>2.1237528732171721E-2</v>
      </c>
      <c r="J13" s="8">
        <v>2.1009404910776099E-2</v>
      </c>
      <c r="K13" s="8">
        <v>2.1387997548312308E-2</v>
      </c>
      <c r="L13" s="8">
        <v>2.1502428908543082E-2</v>
      </c>
      <c r="M13" s="8">
        <v>2.2026535644642489E-2</v>
      </c>
      <c r="N13" s="8">
        <v>2.2325837107624133E-2</v>
      </c>
      <c r="O13" s="8">
        <v>2.1646542370804905E-2</v>
      </c>
      <c r="P13" s="8">
        <v>2.0228001813565915E-2</v>
      </c>
      <c r="Q13" s="8">
        <v>2.1237528732171721E-2</v>
      </c>
      <c r="R13" s="8">
        <v>2.1237528732171721E-2</v>
      </c>
      <c r="S13" s="6">
        <f>'BOM &amp; cycles'!S8*'BOM &amp; cycles'!$E8/'BOM &amp; cycles'!S$25</f>
        <v>3.2173596489604397E-2</v>
      </c>
      <c r="T13" s="6">
        <f>'BOM &amp; cycles'!T8*'BOM &amp; cycles'!$E8/'BOM &amp; cycles'!T$25</f>
        <v>3.1873142634623618E-2</v>
      </c>
      <c r="U13" s="6">
        <f>'BOM &amp; cycles'!U8*'BOM &amp; cycles'!$E8/'BOM &amp; cycles'!U$25</f>
        <v>2.4247288730112081E-2</v>
      </c>
    </row>
    <row r="14" spans="1:21" outlineLevel="1" x14ac:dyDescent="0.25">
      <c r="A14" s="2">
        <v>8</v>
      </c>
      <c r="B14" s="4" t="s">
        <v>403</v>
      </c>
      <c r="C14" s="4" t="s">
        <v>212</v>
      </c>
      <c r="D14" s="33" t="s">
        <v>54</v>
      </c>
      <c r="E14" s="7"/>
      <c r="F14" s="27" t="s">
        <v>546</v>
      </c>
      <c r="G14" s="88">
        <f>_xlfn.XLOOKUP($B$4,$I$7:$U$7,$I14:$U14)*_xlfn.XLOOKUP($F14,'Background data'!$D:$D,'Background data'!H:H)</f>
        <v>0</v>
      </c>
      <c r="I14" s="8">
        <v>2.0719492999478437E-2</v>
      </c>
      <c r="J14" s="8">
        <v>1.8279255193441261E-2</v>
      </c>
      <c r="K14" s="8">
        <v>1.8416318673300066E-2</v>
      </c>
      <c r="L14" s="8">
        <v>1.8362794242891022E-2</v>
      </c>
      <c r="M14" s="8">
        <v>1.8512268026775219E-2</v>
      </c>
      <c r="N14" s="8">
        <v>1.861879038439988E-2</v>
      </c>
      <c r="O14" s="8">
        <v>1.8268628540492993E-2</v>
      </c>
      <c r="P14" s="8">
        <v>1.8765523062415204E-2</v>
      </c>
      <c r="Q14" s="8">
        <v>2.0719492999478437E-2</v>
      </c>
      <c r="R14" s="8">
        <v>2.0719492999478437E-2</v>
      </c>
      <c r="S14" s="6">
        <f>'BOM &amp; cycles'!S10*'BOM &amp; cycles'!$E10/'BOM &amp; cycles'!S$25</f>
        <v>2.4500515387241406E-2</v>
      </c>
      <c r="T14" s="6">
        <f>'BOM &amp; cycles'!T10*'BOM &amp; cycles'!$E10/'BOM &amp; cycles'!T$25</f>
        <v>1.178785697532231E-2</v>
      </c>
      <c r="U14" s="6">
        <f>'BOM &amp; cycles'!U10*'BOM &amp; cycles'!$E10/'BOM &amp; cycles'!U$25</f>
        <v>1.1951544873337386E-2</v>
      </c>
    </row>
    <row r="15" spans="1:21" outlineLevel="1" x14ac:dyDescent="0.25">
      <c r="A15" s="2">
        <v>9</v>
      </c>
      <c r="B15" s="4" t="s">
        <v>404</v>
      </c>
      <c r="C15" s="4" t="s">
        <v>212</v>
      </c>
      <c r="D15" s="33" t="s">
        <v>54</v>
      </c>
      <c r="E15" s="7"/>
      <c r="F15" s="27" t="s">
        <v>410</v>
      </c>
      <c r="G15" s="88">
        <f>_xlfn.XLOOKUP($B$4,$I$7:$U$7,$I15:$U15)*_xlfn.XLOOKUP($F15,'Background data'!$D:$D,'Background data'!H:H)</f>
        <v>0</v>
      </c>
      <c r="I15" s="8">
        <v>5.75841573243406E-2</v>
      </c>
      <c r="J15" s="8">
        <v>5.0792845299895008E-2</v>
      </c>
      <c r="K15" s="8">
        <v>5.1024264896954941E-2</v>
      </c>
      <c r="L15" s="8">
        <v>5.1096590098507304E-2</v>
      </c>
      <c r="M15" s="8">
        <v>5.1417806108823273E-2</v>
      </c>
      <c r="N15" s="8">
        <v>5.1633490585905835E-2</v>
      </c>
      <c r="O15" s="8">
        <v>5.0780784392561867E-2</v>
      </c>
      <c r="P15" s="8">
        <v>5.2129095470683923E-2</v>
      </c>
      <c r="Q15" s="8">
        <v>5.75841573243406E-2</v>
      </c>
      <c r="R15" s="8">
        <v>5.75841573243406E-2</v>
      </c>
      <c r="S15" s="6">
        <f>'BOM &amp; cycles'!S11*'BOM &amp; cycles'!$E11/'BOM &amp; cycles'!S$25</f>
        <v>6.7895496030745253E-2</v>
      </c>
      <c r="T15" s="6">
        <f>'BOM &amp; cycles'!T11*'BOM &amp; cycles'!$E11/'BOM &amp; cycles'!T$25</f>
        <v>0</v>
      </c>
      <c r="U15" s="6">
        <f>'BOM &amp; cycles'!U11*'BOM &amp; cycles'!$E11/'BOM &amp; cycles'!U$25</f>
        <v>0</v>
      </c>
    </row>
    <row r="16" spans="1:21" outlineLevel="1" x14ac:dyDescent="0.25">
      <c r="A16" s="2">
        <v>10</v>
      </c>
      <c r="B16" s="4" t="s">
        <v>405</v>
      </c>
      <c r="C16" s="4" t="s">
        <v>212</v>
      </c>
      <c r="D16" s="33" t="s">
        <v>54</v>
      </c>
      <c r="E16" s="7"/>
      <c r="F16" s="27" t="s">
        <v>411</v>
      </c>
      <c r="G16" s="88">
        <f>_xlfn.XLOOKUP($B$4,$I$7:$U$7,$I16:$U16)*_xlfn.XLOOKUP($F16,'Background data'!$D:$D,'Background data'!H:H)</f>
        <v>0</v>
      </c>
      <c r="I16" s="8">
        <v>5.75841573243406E-2</v>
      </c>
      <c r="J16" s="8">
        <v>5.0792845299895008E-2</v>
      </c>
      <c r="K16" s="8">
        <v>5.1024264896954941E-2</v>
      </c>
      <c r="L16" s="8">
        <v>5.1096590098507304E-2</v>
      </c>
      <c r="M16" s="8">
        <v>5.1417806108823273E-2</v>
      </c>
      <c r="N16" s="8">
        <v>5.1633490585905835E-2</v>
      </c>
      <c r="O16" s="8">
        <v>5.0780784392561867E-2</v>
      </c>
      <c r="P16" s="8">
        <v>5.2129095470683923E-2</v>
      </c>
      <c r="Q16" s="8">
        <v>5.75841573243406E-2</v>
      </c>
      <c r="R16" s="8">
        <v>5.75841573243406E-2</v>
      </c>
      <c r="S16" s="6">
        <f>'BOM &amp; cycles'!S12*'BOM &amp; cycles'!$E12/'BOM &amp; cycles'!S$25</f>
        <v>6.7895496030745253E-2</v>
      </c>
      <c r="T16" s="6">
        <f>'BOM &amp; cycles'!T12*'BOM &amp; cycles'!$E12/'BOM &amp; cycles'!T$25</f>
        <v>0</v>
      </c>
      <c r="U16" s="6">
        <f>'BOM &amp; cycles'!U12*'BOM &amp; cycles'!$E12/'BOM &amp; cycles'!U$25</f>
        <v>0</v>
      </c>
    </row>
    <row r="17" spans="1:25" outlineLevel="1" x14ac:dyDescent="0.25">
      <c r="A17" s="2">
        <v>11</v>
      </c>
      <c r="B17" s="4" t="s">
        <v>398</v>
      </c>
      <c r="C17" s="4" t="s">
        <v>212</v>
      </c>
      <c r="D17" s="33" t="s">
        <v>54</v>
      </c>
      <c r="E17" s="7"/>
      <c r="F17" s="27" t="s">
        <v>339</v>
      </c>
      <c r="G17" s="88">
        <f>_xlfn.XLOOKUP($B$4,$I$7:$U$7,$I17:$U17)*_xlfn.XLOOKUP($F17,'Background data'!$D:$D,'Background data'!H:H)</f>
        <v>0.30762929007270984</v>
      </c>
      <c r="I17" s="8">
        <v>1.512969155392223E-3</v>
      </c>
      <c r="J17" s="8">
        <v>1.4861978783543639E-3</v>
      </c>
      <c r="K17" s="8">
        <v>1.5330908015073052E-3</v>
      </c>
      <c r="L17" s="8">
        <v>1.5103418778581064E-3</v>
      </c>
      <c r="M17" s="8">
        <v>1.5648921430637711E-3</v>
      </c>
      <c r="N17" s="8">
        <v>1.5791353561274233E-3</v>
      </c>
      <c r="O17" s="8">
        <v>1.5204675984195979E-3</v>
      </c>
      <c r="P17" s="8">
        <v>1.4235295606783809E-3</v>
      </c>
      <c r="Q17" s="8">
        <v>1.512969155392223E-3</v>
      </c>
      <c r="R17" s="8">
        <v>1.512969155392223E-3</v>
      </c>
      <c r="S17" s="6">
        <f>'BOM &amp; cycles'!S13*'BOM &amp; cycles'!$E13/'BOM &amp; cycles'!S$25</f>
        <v>1.6610518906604343E-3</v>
      </c>
      <c r="T17" s="6">
        <f>'BOM &amp; cycles'!T13*'BOM &amp; cycles'!$E13/'BOM &amp; cycles'!T$25</f>
        <v>0</v>
      </c>
      <c r="U17" s="6">
        <f>'BOM &amp; cycles'!U13*'BOM &amp; cycles'!$E13/'BOM &amp; cycles'!U$25</f>
        <v>0</v>
      </c>
    </row>
    <row r="18" spans="1:25" x14ac:dyDescent="0.25">
      <c r="B18" s="78" t="s">
        <v>356</v>
      </c>
    </row>
    <row r="19" spans="1:25" outlineLevel="1" x14ac:dyDescent="0.25">
      <c r="B19" s="1" t="s">
        <v>223</v>
      </c>
      <c r="C19" s="1" t="s">
        <v>124</v>
      </c>
      <c r="D19" s="1" t="s">
        <v>231</v>
      </c>
      <c r="E19" s="1"/>
      <c r="F19" s="1"/>
      <c r="G19" s="23" t="s">
        <v>396</v>
      </c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</row>
    <row r="20" spans="1:25" outlineLevel="1" x14ac:dyDescent="0.25">
      <c r="B20" s="4" t="s">
        <v>129</v>
      </c>
      <c r="C20" s="4" t="s">
        <v>219</v>
      </c>
      <c r="D20" s="33" t="s">
        <v>129</v>
      </c>
      <c r="E20" s="27"/>
      <c r="F20" s="27" t="s">
        <v>359</v>
      </c>
      <c r="G20" s="88">
        <f ca="1">_xlfn.XLOOKUP($B$4,$I$7:$U$7,$I20:$U20)*_xlfn.XLOOKUP($F20,'Background data'!$D:$D,'Background data'!H:H)</f>
        <v>392.72707346064738</v>
      </c>
      <c r="I20" s="37">
        <f ca="1">I24*OFFSET('GREET input data'!$C$12,0,'BOM &amp; cycles'!I$29-1)/1000</f>
        <v>4.4460073166094158</v>
      </c>
      <c r="J20" s="37">
        <f ca="1">J24*OFFSET('GREET input data'!$C$12,0,'BOM &amp; cycles'!J$29-1)/1000</f>
        <v>5.5794116531289575</v>
      </c>
      <c r="K20" s="37">
        <f ca="1">K24*OFFSET('GREET input data'!$C$12,0,'BOM &amp; cycles'!K$29-1)/1000</f>
        <v>5.8935206405112028</v>
      </c>
      <c r="L20" s="37">
        <f ca="1">L24*OFFSET('GREET input data'!$C$12,0,'BOM &amp; cycles'!L$29-1)/1000</f>
        <v>5.9520878199394938</v>
      </c>
      <c r="M20" s="37">
        <f ca="1">M24*OFFSET('GREET input data'!$C$12,0,'BOM &amp; cycles'!M$29-1)/1000</f>
        <v>6.3545640591795305</v>
      </c>
      <c r="N20" s="37">
        <f ca="1">N24*OFFSET('GREET input data'!$C$12,0,'BOM &amp; cycles'!N$29-1)/1000</f>
        <v>6.6097169804873923</v>
      </c>
      <c r="O20" s="37">
        <f ca="1">O24*OFFSET('GREET input data'!$C$12,0,'BOM &amp; cycles'!O$29-1)/1000</f>
        <v>6.1255351304593493</v>
      </c>
      <c r="P20" s="37">
        <f ca="1">P24*OFFSET('GREET input data'!$C$12,0,'BOM &amp; cycles'!P$29-1)/1000</f>
        <v>4.4765071965918475</v>
      </c>
      <c r="Q20" s="37">
        <f ca="1">Q24*OFFSET('GREET input data'!$C$12,0,'BOM &amp; cycles'!Q$29-1)/1000</f>
        <v>4.4460073166094158</v>
      </c>
      <c r="R20" s="37">
        <f ca="1">R24*OFFSET('GREET input data'!$C$12,0,'BOM &amp; cycles'!R$29-1)/1000</f>
        <v>4.4460073166094158</v>
      </c>
      <c r="S20" s="74"/>
    </row>
    <row r="21" spans="1:25" outlineLevel="1" x14ac:dyDescent="0.25">
      <c r="B21" s="4" t="s">
        <v>221</v>
      </c>
      <c r="C21" s="4" t="s">
        <v>220</v>
      </c>
      <c r="D21" s="33" t="s">
        <v>221</v>
      </c>
      <c r="E21" s="27"/>
      <c r="F21" s="27" t="s">
        <v>275</v>
      </c>
      <c r="G21" s="88">
        <f ca="1">_xlfn.XLOOKUP($B$4,$I$7:$U$7,$I21:$U21)*_xlfn.XLOOKUP($F21,'Background data'!$D:$D,'Background data'!H:H)</f>
        <v>232.99644579387666</v>
      </c>
      <c r="I21" s="37">
        <f ca="1">I25*OFFSET('GREET input data'!$C$12,0,'BOM &amp; cycles'!I$29-1)/1000</f>
        <v>24.008439509690845</v>
      </c>
      <c r="J21" s="37">
        <f ca="1">J25*OFFSET('GREET input data'!$C$12,0,'BOM &amp; cycles'!J$29-1)/1000</f>
        <v>30.128822926896365</v>
      </c>
      <c r="K21" s="37">
        <f ca="1">K25*OFFSET('GREET input data'!$C$12,0,'BOM &amp; cycles'!K$29-1)/1000</f>
        <v>31.825011458760493</v>
      </c>
      <c r="L21" s="37">
        <f ca="1">L25*OFFSET('GREET input data'!$C$12,0,'BOM &amp; cycles'!L$29-1)/1000</f>
        <v>32.141274227673257</v>
      </c>
      <c r="M21" s="37">
        <f ca="1">M25*OFFSET('GREET input data'!$C$12,0,'BOM &amp; cycles'!M$29-1)/1000</f>
        <v>34.314645919569465</v>
      </c>
      <c r="N21" s="37">
        <f ca="1">N25*OFFSET('GREET input data'!$C$12,0,'BOM &amp; cycles'!N$29-1)/1000</f>
        <v>35.692471694631912</v>
      </c>
      <c r="O21" s="37">
        <f ca="1">O25*OFFSET('GREET input data'!$C$12,0,'BOM &amp; cycles'!O$29-1)/1000</f>
        <v>33.077889704480484</v>
      </c>
      <c r="P21" s="37">
        <f ca="1">P25*OFFSET('GREET input data'!$C$12,0,'BOM &amp; cycles'!P$29-1)/1000</f>
        <v>24.173138861595973</v>
      </c>
      <c r="Q21" s="37">
        <f ca="1">Q25*OFFSET('GREET input data'!$C$12,0,'BOM &amp; cycles'!Q$29-1)/1000</f>
        <v>24.008439509690845</v>
      </c>
      <c r="R21" s="37">
        <f ca="1">R25*OFFSET('GREET input data'!$C$12,0,'BOM &amp; cycles'!R$29-1)/1000</f>
        <v>24.008439509690845</v>
      </c>
      <c r="S21" s="74"/>
    </row>
    <row r="22" spans="1:25" ht="4.95" customHeight="1" outlineLevel="1" x14ac:dyDescent="0.25">
      <c r="B22" s="72"/>
      <c r="C22" s="72"/>
      <c r="D22" s="73"/>
      <c r="E22" s="73"/>
      <c r="F22" s="73"/>
      <c r="G22" s="73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</row>
    <row r="23" spans="1:25" outlineLevel="1" x14ac:dyDescent="0.25">
      <c r="B23" s="1" t="s">
        <v>223</v>
      </c>
      <c r="C23" s="1" t="s">
        <v>124</v>
      </c>
      <c r="D23" s="1" t="s">
        <v>231</v>
      </c>
      <c r="E23" s="1"/>
      <c r="F23" s="1"/>
      <c r="G23" s="23" t="s">
        <v>396</v>
      </c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</row>
    <row r="24" spans="1:25" outlineLevel="1" x14ac:dyDescent="0.25">
      <c r="B24" s="4" t="s">
        <v>129</v>
      </c>
      <c r="C24" s="4" t="s">
        <v>580</v>
      </c>
      <c r="D24" s="33" t="s">
        <v>129</v>
      </c>
      <c r="E24" s="27"/>
      <c r="F24" s="27"/>
      <c r="G24" s="88"/>
      <c r="I24" s="85">
        <f t="shared" ref="I24:U24" si="0">47.2*40%</f>
        <v>18.880000000000003</v>
      </c>
      <c r="J24" s="85">
        <f t="shared" si="0"/>
        <v>18.880000000000003</v>
      </c>
      <c r="K24" s="85">
        <f t="shared" si="0"/>
        <v>18.880000000000003</v>
      </c>
      <c r="L24" s="85">
        <f t="shared" si="0"/>
        <v>18.880000000000003</v>
      </c>
      <c r="M24" s="85">
        <f t="shared" si="0"/>
        <v>18.880000000000003</v>
      </c>
      <c r="N24" s="85">
        <f t="shared" si="0"/>
        <v>18.880000000000003</v>
      </c>
      <c r="O24" s="85">
        <f>47.2*40%</f>
        <v>18.880000000000003</v>
      </c>
      <c r="P24" s="85">
        <f>47.2*40%</f>
        <v>18.880000000000003</v>
      </c>
      <c r="Q24" s="85">
        <f t="shared" si="0"/>
        <v>18.880000000000003</v>
      </c>
      <c r="R24" s="85">
        <f t="shared" si="0"/>
        <v>18.880000000000003</v>
      </c>
      <c r="S24" s="85">
        <f t="shared" si="0"/>
        <v>18.880000000000003</v>
      </c>
      <c r="T24" s="85">
        <f t="shared" si="0"/>
        <v>18.880000000000003</v>
      </c>
      <c r="U24" s="85">
        <f t="shared" si="0"/>
        <v>18.880000000000003</v>
      </c>
    </row>
    <row r="25" spans="1:25" outlineLevel="1" x14ac:dyDescent="0.25">
      <c r="B25" s="4" t="s">
        <v>221</v>
      </c>
      <c r="C25" s="4" t="s">
        <v>581</v>
      </c>
      <c r="D25" s="33" t="s">
        <v>221</v>
      </c>
      <c r="E25" s="27"/>
      <c r="F25" s="27"/>
      <c r="G25" s="88"/>
      <c r="I25" s="85">
        <f t="shared" ref="I25:U25" si="1">47.2*60%*3.6</f>
        <v>101.952</v>
      </c>
      <c r="J25" s="85">
        <f t="shared" si="1"/>
        <v>101.952</v>
      </c>
      <c r="K25" s="85">
        <f t="shared" si="1"/>
        <v>101.952</v>
      </c>
      <c r="L25" s="85">
        <f t="shared" si="1"/>
        <v>101.952</v>
      </c>
      <c r="M25" s="85">
        <f t="shared" si="1"/>
        <v>101.952</v>
      </c>
      <c r="N25" s="85">
        <f t="shared" si="1"/>
        <v>101.952</v>
      </c>
      <c r="O25" s="85">
        <f>47.2*60%*3.6</f>
        <v>101.952</v>
      </c>
      <c r="P25" s="85">
        <f>47.2*60%*3.6</f>
        <v>101.952</v>
      </c>
      <c r="Q25" s="85">
        <f t="shared" si="1"/>
        <v>101.952</v>
      </c>
      <c r="R25" s="85">
        <f t="shared" si="1"/>
        <v>101.952</v>
      </c>
      <c r="S25" s="85">
        <f t="shared" si="1"/>
        <v>101.952</v>
      </c>
      <c r="T25" s="85">
        <f t="shared" si="1"/>
        <v>101.952</v>
      </c>
      <c r="U25" s="85">
        <f t="shared" si="1"/>
        <v>101.952</v>
      </c>
    </row>
    <row r="26" spans="1:25" ht="4.95" customHeight="1" x14ac:dyDescent="0.25">
      <c r="B26" s="72"/>
      <c r="C26" s="72"/>
      <c r="D26" s="73"/>
      <c r="E26" s="73"/>
      <c r="F26" s="73"/>
      <c r="G26" s="73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</row>
    <row r="27" spans="1:25" customFormat="1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108"/>
      <c r="L27" s="29"/>
      <c r="M27" s="29"/>
      <c r="N27" s="107"/>
      <c r="O27" s="29"/>
      <c r="P27" s="29"/>
      <c r="Q27" s="29"/>
      <c r="R27" s="29"/>
      <c r="S27" s="29"/>
      <c r="T27" s="29"/>
      <c r="U27" s="29"/>
      <c r="V27" s="2"/>
      <c r="W27" s="2"/>
      <c r="X27" s="2"/>
      <c r="Y27" s="2"/>
    </row>
    <row r="28" spans="1:25" x14ac:dyDescent="0.25">
      <c r="B28" s="76" t="s">
        <v>234</v>
      </c>
      <c r="C28" s="75"/>
      <c r="G28" s="101">
        <f>SUM(G29:G54)</f>
        <v>350.72224</v>
      </c>
      <c r="I28" s="1" t="s">
        <v>6</v>
      </c>
      <c r="J28" s="1" t="s">
        <v>10</v>
      </c>
      <c r="K28" s="1" t="s">
        <v>7</v>
      </c>
      <c r="L28" s="1" t="s">
        <v>8</v>
      </c>
      <c r="M28" s="1" t="s">
        <v>12</v>
      </c>
      <c r="N28" s="1" t="s">
        <v>13</v>
      </c>
      <c r="O28" s="1" t="s">
        <v>77</v>
      </c>
      <c r="P28" s="1" t="s">
        <v>11</v>
      </c>
      <c r="Q28" s="1" t="s">
        <v>14</v>
      </c>
      <c r="R28" s="34" t="s">
        <v>15</v>
      </c>
    </row>
    <row r="29" spans="1:25" outlineLevel="1" x14ac:dyDescent="0.25">
      <c r="B29" s="71" t="s">
        <v>92</v>
      </c>
      <c r="C29" s="4" t="s">
        <v>213</v>
      </c>
      <c r="E29" s="27"/>
      <c r="F29" s="27" t="s">
        <v>369</v>
      </c>
      <c r="G29" s="93">
        <f>_xlfn.XLOOKUP($B$4,$I$28:$U$28,$I29:$U29)*_xlfn.XLOOKUP($F29,'Background data'!$D:$D,'Background data'!H:H)</f>
        <v>0</v>
      </c>
      <c r="I29" s="105">
        <v>0</v>
      </c>
      <c r="J29" s="105">
        <v>0</v>
      </c>
      <c r="K29" s="105">
        <v>0</v>
      </c>
      <c r="L29" s="105">
        <v>0</v>
      </c>
      <c r="M29" s="105">
        <v>0</v>
      </c>
      <c r="N29" s="105">
        <v>0</v>
      </c>
      <c r="O29" s="105">
        <v>0</v>
      </c>
      <c r="P29" s="105">
        <v>0</v>
      </c>
      <c r="Q29" s="105">
        <v>0</v>
      </c>
      <c r="R29" s="28">
        <v>0.26280000000000003</v>
      </c>
    </row>
    <row r="30" spans="1:25" outlineLevel="1" x14ac:dyDescent="0.25">
      <c r="B30" s="71" t="s">
        <v>29</v>
      </c>
      <c r="C30" s="4" t="s">
        <v>213</v>
      </c>
      <c r="E30" s="27"/>
      <c r="F30" s="27" t="s">
        <v>370</v>
      </c>
      <c r="G30" s="93">
        <f>_xlfn.XLOOKUP($B$4,$I$28:$U$28,$I30:$U30)*_xlfn.XLOOKUP($F30,'Background data'!$D:$D,'Background data'!H:H)</f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0.37</v>
      </c>
      <c r="P30" s="105">
        <v>0</v>
      </c>
      <c r="Q30" s="105">
        <v>0</v>
      </c>
      <c r="R30" s="28">
        <v>0</v>
      </c>
    </row>
    <row r="31" spans="1:25" outlineLevel="1" x14ac:dyDescent="0.25">
      <c r="B31" s="71" t="s">
        <v>30</v>
      </c>
      <c r="C31" s="4" t="s">
        <v>213</v>
      </c>
      <c r="E31" s="27" t="s">
        <v>51</v>
      </c>
      <c r="F31" s="27" t="s">
        <v>366</v>
      </c>
      <c r="G31" s="93">
        <f>_xlfn.XLOOKUP($B$4,$I$28:$U$28,$I31:$U31)*_xlfn.XLOOKUP($F31,'Background data'!$D:$D,'Background data'!H:H)</f>
        <v>0</v>
      </c>
      <c r="I31" s="105">
        <v>0</v>
      </c>
      <c r="J31" s="105">
        <v>0.56350593547447403</v>
      </c>
      <c r="K31" s="105">
        <v>0</v>
      </c>
      <c r="L31" s="105">
        <v>0</v>
      </c>
      <c r="M31" s="105">
        <v>1.00915137814103</v>
      </c>
      <c r="N31" s="105">
        <v>1.340421615651967</v>
      </c>
      <c r="O31" s="105">
        <v>1.36</v>
      </c>
      <c r="P31" s="105">
        <v>0.86843996536316936</v>
      </c>
      <c r="Q31" s="105">
        <v>1.587</v>
      </c>
      <c r="R31" s="28">
        <v>0</v>
      </c>
    </row>
    <row r="32" spans="1:25" outlineLevel="1" x14ac:dyDescent="0.25">
      <c r="B32" s="71" t="s">
        <v>31</v>
      </c>
      <c r="C32" s="4" t="s">
        <v>213</v>
      </c>
      <c r="E32" s="27" t="s">
        <v>50</v>
      </c>
      <c r="F32" s="27" t="s">
        <v>367</v>
      </c>
      <c r="G32" s="93">
        <f>_xlfn.XLOOKUP($B$4,$I$28:$U$28,$I32:$U32)*_xlfn.XLOOKUP($F32,'Background data'!$D:$D,'Background data'!H:H)</f>
        <v>0</v>
      </c>
      <c r="I32" s="105">
        <v>0</v>
      </c>
      <c r="J32" s="105">
        <v>0.56437987036632398</v>
      </c>
      <c r="K32" s="105">
        <v>0</v>
      </c>
      <c r="L32" s="105">
        <v>0</v>
      </c>
      <c r="M32" s="105">
        <v>0.33690548647943702</v>
      </c>
      <c r="N32" s="105">
        <v>0.16781255752011201</v>
      </c>
      <c r="O32" s="105">
        <v>0.26</v>
      </c>
      <c r="P32" s="105">
        <v>0.35013347743583872</v>
      </c>
      <c r="Q32" s="105">
        <v>4.2000000000000003E-2</v>
      </c>
      <c r="R32" s="28">
        <v>0</v>
      </c>
    </row>
    <row r="33" spans="2:18" outlineLevel="1" x14ac:dyDescent="0.25">
      <c r="B33" s="71" t="s">
        <v>32</v>
      </c>
      <c r="C33" s="4" t="s">
        <v>213</v>
      </c>
      <c r="E33" s="27" t="s">
        <v>52</v>
      </c>
      <c r="F33" s="27" t="s">
        <v>368</v>
      </c>
      <c r="G33" s="93">
        <f>_xlfn.XLOOKUP($B$4,$I$28:$U$28,$I33:$U33)*_xlfn.XLOOKUP($F33,'Background data'!$D:$D,'Background data'!H:H)</f>
        <v>0</v>
      </c>
      <c r="I33" s="105">
        <v>0</v>
      </c>
      <c r="J33" s="105">
        <v>0.54985070278930903</v>
      </c>
      <c r="K33" s="105">
        <v>0</v>
      </c>
      <c r="L33" s="105">
        <v>0</v>
      </c>
      <c r="M33" s="105">
        <v>0.32823232762368498</v>
      </c>
      <c r="N33" s="105">
        <v>0.16349245877499799</v>
      </c>
      <c r="O33" s="105">
        <v>0</v>
      </c>
      <c r="P33" s="105">
        <v>0.49438654735828846</v>
      </c>
      <c r="Q33" s="105">
        <v>4.1000000000000002E-2</v>
      </c>
      <c r="R33" s="28">
        <v>0</v>
      </c>
    </row>
    <row r="34" spans="2:18" outlineLevel="1" x14ac:dyDescent="0.25">
      <c r="B34" s="71" t="s">
        <v>33</v>
      </c>
      <c r="C34" s="4" t="s">
        <v>213</v>
      </c>
      <c r="E34" s="27"/>
      <c r="F34" s="27" t="s">
        <v>387</v>
      </c>
      <c r="G34" s="93">
        <f>_xlfn.XLOOKUP($B$4,$I$28:$U$28,$I34:$U34)*_xlfn.XLOOKUP($F34,'Background data'!$D:$D,'Background data'!H:H)</f>
        <v>0</v>
      </c>
      <c r="I34" s="105">
        <v>0</v>
      </c>
      <c r="J34" s="105">
        <v>0.88953599999999999</v>
      </c>
      <c r="K34" s="105">
        <v>0</v>
      </c>
      <c r="L34" s="105">
        <v>0</v>
      </c>
      <c r="M34" s="105">
        <v>0.88953599999999999</v>
      </c>
      <c r="N34" s="105">
        <v>0.88953599999999999</v>
      </c>
      <c r="O34" s="105">
        <v>0.88</v>
      </c>
      <c r="P34" s="105">
        <v>0.88953599999999999</v>
      </c>
      <c r="Q34" s="105">
        <v>0.88953599999999999</v>
      </c>
      <c r="R34" s="28">
        <v>0</v>
      </c>
    </row>
    <row r="35" spans="2:18" outlineLevel="1" x14ac:dyDescent="0.25">
      <c r="B35" s="71" t="s">
        <v>34</v>
      </c>
      <c r="C35" s="4" t="s">
        <v>213</v>
      </c>
      <c r="E35" s="27"/>
      <c r="F35" s="27" t="s">
        <v>370</v>
      </c>
      <c r="G35" s="93">
        <f>_xlfn.XLOOKUP($B$4,$I$28:$U$28,$I35:$U35)*_xlfn.XLOOKUP($F35,'Background data'!$D:$D,'Background data'!H:H)</f>
        <v>0</v>
      </c>
      <c r="I35" s="105">
        <v>0</v>
      </c>
      <c r="J35" s="105">
        <v>0.123529411764706</v>
      </c>
      <c r="K35" s="105">
        <v>0</v>
      </c>
      <c r="L35" s="105">
        <v>0</v>
      </c>
      <c r="M35" s="105">
        <v>0.123529411764706</v>
      </c>
      <c r="N35" s="105">
        <v>0.123529411764706</v>
      </c>
      <c r="O35" s="105">
        <v>0</v>
      </c>
      <c r="P35" s="105">
        <v>0.123529411764706</v>
      </c>
      <c r="Q35" s="105">
        <v>0.123529411764706</v>
      </c>
      <c r="R35" s="28">
        <v>0</v>
      </c>
    </row>
    <row r="36" spans="2:18" outlineLevel="1" x14ac:dyDescent="0.25">
      <c r="B36" s="71" t="s">
        <v>35</v>
      </c>
      <c r="C36" s="4" t="s">
        <v>213</v>
      </c>
      <c r="E36" s="27"/>
      <c r="F36" s="27" t="s">
        <v>35</v>
      </c>
      <c r="G36" s="93">
        <f>_xlfn.XLOOKUP($B$4,$I$28:$U$28,$I36:$U36)*_xlfn.XLOOKUP($F36,'Background data'!$D:$D,'Background data'!H:H)</f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28">
        <v>0</v>
      </c>
    </row>
    <row r="37" spans="2:18" outlineLevel="1" x14ac:dyDescent="0.25">
      <c r="B37" s="71" t="s">
        <v>36</v>
      </c>
      <c r="C37" s="4" t="s">
        <v>213</v>
      </c>
      <c r="E37" s="27"/>
      <c r="F37" s="27" t="s">
        <v>36</v>
      </c>
      <c r="G37" s="93">
        <f>_xlfn.XLOOKUP($B$4,$I$28:$U$28,$I37:$U37)*_xlfn.XLOOKUP($F37,'Background data'!$D:$D,'Background data'!H:H)</f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5">
        <v>0</v>
      </c>
      <c r="O37" s="105">
        <v>0.09</v>
      </c>
      <c r="P37" s="105">
        <v>0</v>
      </c>
      <c r="Q37" s="105">
        <v>0</v>
      </c>
      <c r="R37" s="28">
        <v>0</v>
      </c>
    </row>
    <row r="38" spans="2:18" outlineLevel="1" x14ac:dyDescent="0.25">
      <c r="B38" s="71" t="s">
        <v>37</v>
      </c>
      <c r="C38" s="4" t="s">
        <v>213</v>
      </c>
      <c r="E38" s="27"/>
      <c r="F38" s="27" t="s">
        <v>380</v>
      </c>
      <c r="G38" s="93">
        <f>_xlfn.XLOOKUP($B$4,$I$28:$U$28,$I38:$U38)*_xlfn.XLOOKUP($F38,'Background data'!$D:$D,'Background data'!H:H)</f>
        <v>0</v>
      </c>
      <c r="I38" s="105">
        <v>0</v>
      </c>
      <c r="J38" s="105">
        <v>0</v>
      </c>
      <c r="K38" s="105">
        <v>0</v>
      </c>
      <c r="L38" s="105">
        <v>0</v>
      </c>
      <c r="M38" s="105">
        <v>0</v>
      </c>
      <c r="N38" s="105">
        <v>0</v>
      </c>
      <c r="O38" s="105">
        <v>0</v>
      </c>
      <c r="P38" s="105">
        <v>0</v>
      </c>
      <c r="Q38" s="105">
        <v>0</v>
      </c>
      <c r="R38" s="28">
        <v>0.43559999999999999</v>
      </c>
    </row>
    <row r="39" spans="2:18" outlineLevel="1" x14ac:dyDescent="0.25">
      <c r="B39" s="71" t="s">
        <v>38</v>
      </c>
      <c r="C39" s="4" t="s">
        <v>213</v>
      </c>
      <c r="E39" s="27"/>
      <c r="F39" s="27" t="s">
        <v>38</v>
      </c>
      <c r="G39" s="93">
        <f>_xlfn.XLOOKUP($B$4,$I$28:$U$28,$I39:$U39)*_xlfn.XLOOKUP($F39,'Background data'!$D:$D,'Background data'!H:H)</f>
        <v>0</v>
      </c>
      <c r="I39" s="105">
        <v>0</v>
      </c>
      <c r="J39" s="105">
        <v>0</v>
      </c>
      <c r="K39" s="105">
        <v>0</v>
      </c>
      <c r="L39" s="105">
        <v>0</v>
      </c>
      <c r="M39" s="105">
        <v>0</v>
      </c>
      <c r="N39" s="105">
        <v>0</v>
      </c>
      <c r="O39" s="105">
        <v>0</v>
      </c>
      <c r="P39" s="105">
        <v>0</v>
      </c>
      <c r="Q39" s="105">
        <v>0</v>
      </c>
      <c r="R39" s="28">
        <v>0</v>
      </c>
    </row>
    <row r="40" spans="2:18" outlineLevel="1" x14ac:dyDescent="0.25">
      <c r="B40" s="71" t="s">
        <v>33</v>
      </c>
      <c r="C40" s="4" t="s">
        <v>213</v>
      </c>
      <c r="E40" s="27"/>
      <c r="F40" s="27" t="s">
        <v>387</v>
      </c>
      <c r="G40" s="93">
        <f>_xlfn.XLOOKUP($B$4,$I$28:$U$28,$I40:$U40)*_xlfn.XLOOKUP($F40,'Background data'!$D:$D,'Background data'!H:H)</f>
        <v>0</v>
      </c>
      <c r="I40" s="105">
        <v>0</v>
      </c>
      <c r="J40" s="105">
        <v>0</v>
      </c>
      <c r="K40" s="105">
        <v>0</v>
      </c>
      <c r="L40" s="105">
        <v>0</v>
      </c>
      <c r="M40" s="105">
        <v>0</v>
      </c>
      <c r="N40" s="105">
        <v>0</v>
      </c>
      <c r="O40" s="105">
        <v>0</v>
      </c>
      <c r="P40" s="105">
        <v>0</v>
      </c>
      <c r="Q40" s="105">
        <v>0</v>
      </c>
      <c r="R40" s="28">
        <v>0.30159999999999998</v>
      </c>
    </row>
    <row r="41" spans="2:18" outlineLevel="1" x14ac:dyDescent="0.25">
      <c r="B41" s="71" t="s">
        <v>40</v>
      </c>
      <c r="C41" s="4" t="s">
        <v>213</v>
      </c>
      <c r="E41" s="27"/>
      <c r="F41" s="27" t="s">
        <v>390</v>
      </c>
      <c r="G41" s="93">
        <f>_xlfn.XLOOKUP($B$4,$I$28:$U$28,$I41:$U41)*_xlfn.XLOOKUP($F41,'Background data'!$D:$D,'Background data'!H:H)</f>
        <v>0</v>
      </c>
      <c r="I41" s="105">
        <v>0</v>
      </c>
      <c r="J41" s="105">
        <v>0</v>
      </c>
      <c r="K41" s="105">
        <v>0.26837560122177961</v>
      </c>
      <c r="L41" s="105">
        <v>0</v>
      </c>
      <c r="M41" s="105">
        <v>0</v>
      </c>
      <c r="N41" s="105">
        <v>0.246199076881958</v>
      </c>
      <c r="O41" s="105">
        <v>0.25</v>
      </c>
      <c r="P41" s="105">
        <v>0</v>
      </c>
      <c r="Q41" s="105">
        <v>0.246</v>
      </c>
      <c r="R41" s="28">
        <v>0</v>
      </c>
    </row>
    <row r="42" spans="2:18" outlineLevel="1" x14ac:dyDescent="0.25">
      <c r="B42" s="71" t="s">
        <v>41</v>
      </c>
      <c r="C42" s="4" t="s">
        <v>213</v>
      </c>
      <c r="E42" s="27"/>
      <c r="F42" s="27" t="s">
        <v>41</v>
      </c>
      <c r="G42" s="93">
        <f>_xlfn.XLOOKUP($B$4,$I$28:$U$28,$I42:$U42)*_xlfn.XLOOKUP($F42,'Background data'!$D:$D,'Background data'!H:H)</f>
        <v>0</v>
      </c>
      <c r="I42" s="105">
        <v>0</v>
      </c>
      <c r="J42" s="105">
        <v>0</v>
      </c>
      <c r="K42" s="105">
        <v>0</v>
      </c>
      <c r="L42" s="105">
        <v>0</v>
      </c>
      <c r="M42" s="105">
        <v>0</v>
      </c>
      <c r="N42" s="105">
        <v>0</v>
      </c>
      <c r="O42" s="105">
        <v>0.04</v>
      </c>
      <c r="P42" s="105">
        <v>0</v>
      </c>
      <c r="Q42" s="105">
        <v>0</v>
      </c>
      <c r="R42" s="28">
        <v>0</v>
      </c>
    </row>
    <row r="43" spans="2:18" outlineLevel="1" x14ac:dyDescent="0.25">
      <c r="B43" s="71" t="s">
        <v>42</v>
      </c>
      <c r="C43" s="4" t="s">
        <v>213</v>
      </c>
      <c r="E43" s="27"/>
      <c r="F43" s="27" t="s">
        <v>42</v>
      </c>
      <c r="G43" s="93">
        <f>_xlfn.XLOOKUP($B$4,$I$28:$U$28,$I43:$U43)*_xlfn.XLOOKUP($F43,'Background data'!$D:$D,'Background data'!H:H)</f>
        <v>0</v>
      </c>
      <c r="I43" s="105">
        <v>0</v>
      </c>
      <c r="J43" s="105">
        <v>0</v>
      </c>
      <c r="K43" s="105">
        <v>0.36605946504045417</v>
      </c>
      <c r="L43" s="105">
        <v>0</v>
      </c>
      <c r="M43" s="105">
        <v>0</v>
      </c>
      <c r="N43" s="105">
        <v>0</v>
      </c>
      <c r="O43" s="105">
        <v>0</v>
      </c>
      <c r="P43" s="105">
        <v>0</v>
      </c>
      <c r="Q43" s="105">
        <v>0</v>
      </c>
      <c r="R43" s="28">
        <v>0</v>
      </c>
    </row>
    <row r="44" spans="2:18" outlineLevel="1" x14ac:dyDescent="0.25">
      <c r="B44" s="71" t="s">
        <v>43</v>
      </c>
      <c r="C44" s="4" t="s">
        <v>213</v>
      </c>
      <c r="E44" s="27"/>
      <c r="F44" s="27" t="s">
        <v>43</v>
      </c>
      <c r="G44" s="93">
        <f>_xlfn.XLOOKUP($B$4,$I$28:$U$28,$I44:$U44)*_xlfn.XLOOKUP($F44,'Background data'!$D:$D,'Background data'!H:H)</f>
        <v>0</v>
      </c>
      <c r="I44" s="105">
        <v>0</v>
      </c>
      <c r="J44" s="105">
        <v>0</v>
      </c>
      <c r="K44" s="105">
        <v>0.56745045447220144</v>
      </c>
      <c r="L44" s="105">
        <v>0</v>
      </c>
      <c r="M44" s="105">
        <v>0</v>
      </c>
      <c r="N44" s="105">
        <v>0</v>
      </c>
      <c r="O44" s="105">
        <v>0</v>
      </c>
      <c r="P44" s="105">
        <v>0</v>
      </c>
      <c r="Q44" s="105">
        <v>0</v>
      </c>
      <c r="R44" s="28">
        <v>0</v>
      </c>
    </row>
    <row r="45" spans="2:18" outlineLevel="1" x14ac:dyDescent="0.25">
      <c r="B45" s="71" t="s">
        <v>44</v>
      </c>
      <c r="C45" s="4" t="s">
        <v>213</v>
      </c>
      <c r="E45" s="27"/>
      <c r="F45" s="27" t="s">
        <v>44</v>
      </c>
      <c r="G45" s="93">
        <f>_xlfn.XLOOKUP($B$4,$I$28:$U$28,$I45:$U45)*_xlfn.XLOOKUP($F45,'Background data'!$D:$D,'Background data'!H:H)</f>
        <v>0</v>
      </c>
      <c r="I45" s="105">
        <v>0</v>
      </c>
      <c r="J45" s="105">
        <v>0</v>
      </c>
      <c r="K45" s="105">
        <v>0</v>
      </c>
      <c r="L45" s="105">
        <v>0</v>
      </c>
      <c r="M45" s="105">
        <v>0</v>
      </c>
      <c r="N45" s="105">
        <v>0</v>
      </c>
      <c r="O45" s="105">
        <v>0</v>
      </c>
      <c r="P45" s="105">
        <v>0</v>
      </c>
      <c r="Q45" s="105">
        <v>0</v>
      </c>
      <c r="R45" s="28">
        <v>0</v>
      </c>
    </row>
    <row r="46" spans="2:18" outlineLevel="1" x14ac:dyDescent="0.25">
      <c r="B46" s="71" t="s">
        <v>45</v>
      </c>
      <c r="C46" s="4" t="s">
        <v>213</v>
      </c>
      <c r="E46" s="27"/>
      <c r="F46" s="27" t="s">
        <v>381</v>
      </c>
      <c r="G46" s="93">
        <f>_xlfn.XLOOKUP($B$4,$I$28:$U$28,$I46:$U46)*_xlfn.XLOOKUP($F46,'Background data'!$D:$D,'Background data'!H:H)</f>
        <v>0</v>
      </c>
      <c r="I46" s="105">
        <v>0.20433868871498501</v>
      </c>
      <c r="J46" s="105">
        <v>0.38300850093302902</v>
      </c>
      <c r="K46" s="105">
        <v>0</v>
      </c>
      <c r="L46" s="105">
        <v>0.23419160622120438</v>
      </c>
      <c r="M46" s="105">
        <v>0.38115921096071298</v>
      </c>
      <c r="N46" s="105">
        <v>0</v>
      </c>
      <c r="O46" s="105">
        <v>0</v>
      </c>
      <c r="P46" s="105">
        <v>0.38106092642826939</v>
      </c>
      <c r="Q46" s="105">
        <v>0</v>
      </c>
      <c r="R46" s="28">
        <v>0</v>
      </c>
    </row>
    <row r="47" spans="2:18" outlineLevel="1" x14ac:dyDescent="0.25">
      <c r="B47" s="71" t="s">
        <v>46</v>
      </c>
      <c r="C47" s="4" t="s">
        <v>213</v>
      </c>
      <c r="E47" s="27"/>
      <c r="F47" s="27" t="s">
        <v>46</v>
      </c>
      <c r="G47" s="93">
        <f>_xlfn.XLOOKUP($B$4,$I$28:$U$28,$I47:$U47)*_xlfn.XLOOKUP($F47,'Background data'!$D:$D,'Background data'!H:H)</f>
        <v>0</v>
      </c>
      <c r="I47" s="105">
        <v>0</v>
      </c>
      <c r="J47" s="105">
        <v>0</v>
      </c>
      <c r="K47" s="105">
        <v>0</v>
      </c>
      <c r="L47" s="105">
        <v>0.48921668285333864</v>
      </c>
      <c r="M47" s="105">
        <v>0</v>
      </c>
      <c r="N47" s="105">
        <v>0</v>
      </c>
      <c r="O47" s="105">
        <v>0</v>
      </c>
      <c r="P47" s="105">
        <v>0</v>
      </c>
      <c r="Q47" s="105">
        <v>0</v>
      </c>
      <c r="R47" s="28">
        <v>0</v>
      </c>
    </row>
    <row r="48" spans="2:18" outlineLevel="1" x14ac:dyDescent="0.25">
      <c r="B48" s="71" t="s">
        <v>47</v>
      </c>
      <c r="C48" s="4" t="s">
        <v>213</v>
      </c>
      <c r="E48" s="27"/>
      <c r="F48" s="27" t="s">
        <v>47</v>
      </c>
      <c r="G48" s="93">
        <f>_xlfn.XLOOKUP($B$4,$I$28:$U$28,$I48:$U48)*_xlfn.XLOOKUP($F48,'Background data'!$D:$D,'Background data'!H:H)</f>
        <v>0</v>
      </c>
      <c r="I48" s="105">
        <v>0</v>
      </c>
      <c r="J48" s="105">
        <v>0</v>
      </c>
      <c r="K48" s="105">
        <v>0</v>
      </c>
      <c r="L48" s="105">
        <v>0.83707780940201104</v>
      </c>
      <c r="M48" s="105">
        <v>0</v>
      </c>
      <c r="N48" s="105">
        <v>0</v>
      </c>
      <c r="O48" s="105">
        <v>0</v>
      </c>
      <c r="P48" s="105">
        <v>0</v>
      </c>
      <c r="Q48" s="105">
        <v>0</v>
      </c>
      <c r="R48" s="28">
        <v>0.55000000000000004</v>
      </c>
    </row>
    <row r="49" spans="2:18" outlineLevel="1" x14ac:dyDescent="0.25">
      <c r="B49" s="71" t="s">
        <v>48</v>
      </c>
      <c r="C49" s="4" t="s">
        <v>213</v>
      </c>
      <c r="E49" s="27"/>
      <c r="F49" s="27" t="s">
        <v>48</v>
      </c>
      <c r="G49" s="93">
        <f>_xlfn.XLOOKUP($B$4,$I$28:$U$28,$I49:$U49)*_xlfn.XLOOKUP($F49,'Background data'!$D:$D,'Background data'!H:H)</f>
        <v>0</v>
      </c>
      <c r="I49" s="105">
        <v>7.0000000000000001E-3</v>
      </c>
      <c r="J49" s="105">
        <v>7.0000000000000001E-3</v>
      </c>
      <c r="K49" s="105">
        <v>7.0000000000000001E-3</v>
      </c>
      <c r="L49" s="105">
        <v>7.0000000000000001E-3</v>
      </c>
      <c r="M49" s="105">
        <v>7.0000000000000001E-3</v>
      </c>
      <c r="N49" s="105">
        <v>7.0000000000000001E-3</v>
      </c>
      <c r="O49" s="105">
        <v>7.0000000000000001E-3</v>
      </c>
      <c r="P49" s="105">
        <v>7.0000000000000001E-3</v>
      </c>
      <c r="Q49" s="105">
        <v>7.0000000000000001E-3</v>
      </c>
      <c r="R49" s="28">
        <v>7.0000000000000001E-3</v>
      </c>
    </row>
    <row r="50" spans="2:18" outlineLevel="1" x14ac:dyDescent="0.25">
      <c r="B50" s="71" t="s">
        <v>49</v>
      </c>
      <c r="C50" s="4" t="s">
        <v>213</v>
      </c>
      <c r="E50" s="27"/>
      <c r="F50" s="27" t="s">
        <v>380</v>
      </c>
      <c r="G50" s="93">
        <f>_xlfn.XLOOKUP($B$4,$I$28:$U$28,$I50:$U50)*_xlfn.XLOOKUP($F50,'Background data'!$D:$D,'Background data'!H:H)</f>
        <v>0</v>
      </c>
      <c r="I50" s="105">
        <v>0.87312667643724295</v>
      </c>
      <c r="J50" s="105">
        <v>0</v>
      </c>
      <c r="K50" s="105">
        <v>0</v>
      </c>
      <c r="L50" s="105">
        <v>0</v>
      </c>
      <c r="M50" s="105">
        <v>0</v>
      </c>
      <c r="N50" s="105">
        <v>0</v>
      </c>
      <c r="O50" s="105">
        <v>0</v>
      </c>
      <c r="P50" s="105">
        <v>0</v>
      </c>
      <c r="Q50" s="105">
        <v>0</v>
      </c>
      <c r="R50" s="28">
        <v>0</v>
      </c>
    </row>
    <row r="51" spans="2:18" ht="3.1" customHeight="1" outlineLevel="1" x14ac:dyDescent="0.25">
      <c r="G51" s="94"/>
    </row>
    <row r="52" spans="2:18" outlineLevel="1" x14ac:dyDescent="0.25">
      <c r="B52" s="71" t="s">
        <v>214</v>
      </c>
      <c r="C52" s="4" t="s">
        <v>215</v>
      </c>
      <c r="E52" s="7"/>
      <c r="F52" s="125" t="s">
        <v>270</v>
      </c>
      <c r="G52" s="93">
        <f>_xlfn.XLOOKUP($B$4,$I$28:$U$28,$I52:$U52)*_xlfn.XLOOKUP($F52,'Background data'!$D:$D,'Background data'!H:H)</f>
        <v>192.38560000000001</v>
      </c>
      <c r="I52" s="28">
        <f>17.8*40%</f>
        <v>7.120000000000001</v>
      </c>
      <c r="J52" s="28">
        <f>17.8*40%</f>
        <v>7.120000000000001</v>
      </c>
      <c r="K52" s="28">
        <v>9.1999999999999993</v>
      </c>
      <c r="L52" s="28">
        <v>0.7</v>
      </c>
      <c r="M52" s="28">
        <f>17.8*40%</f>
        <v>7.120000000000001</v>
      </c>
      <c r="N52" s="105">
        <f>18.7*40%</f>
        <v>7.48</v>
      </c>
      <c r="O52" s="28"/>
      <c r="P52" s="28">
        <f>17.8*40%</f>
        <v>7.120000000000001</v>
      </c>
      <c r="Q52" s="28">
        <f>18.7*40%</f>
        <v>7.48</v>
      </c>
      <c r="R52" s="15">
        <f>18.7*40%</f>
        <v>7.48</v>
      </c>
    </row>
    <row r="53" spans="2:18" outlineLevel="1" x14ac:dyDescent="0.25">
      <c r="B53" s="71" t="s">
        <v>209</v>
      </c>
      <c r="C53" s="4" t="s">
        <v>216</v>
      </c>
      <c r="E53" s="7"/>
      <c r="F53" s="125" t="s">
        <v>416</v>
      </c>
      <c r="G53" s="93">
        <f>_xlfn.XLOOKUP($B$4,$I$28:$U$28,$I53:$U53)*_xlfn.XLOOKUP($F53,'Background data'!$D:$D,'Background data'!H:H)</f>
        <v>158.33663999999999</v>
      </c>
      <c r="I53" s="28">
        <f>17.8*60%*3.6</f>
        <v>38.448</v>
      </c>
      <c r="J53" s="28">
        <f>17.8*60%*3.6</f>
        <v>38.448</v>
      </c>
      <c r="K53" s="28"/>
      <c r="L53" s="28"/>
      <c r="M53" s="28">
        <f>17.8*60%*3.6</f>
        <v>38.448</v>
      </c>
      <c r="N53" s="105">
        <f>18.7*60%*3.6</f>
        <v>40.391999999999996</v>
      </c>
      <c r="O53" s="28"/>
      <c r="P53" s="28">
        <f>17.8*60%*3.6</f>
        <v>38.448</v>
      </c>
      <c r="Q53" s="28">
        <f>18.7*60%*3.6</f>
        <v>40.391999999999996</v>
      </c>
      <c r="R53" s="15">
        <f>18.7*60%*3.6</f>
        <v>40.391999999999996</v>
      </c>
    </row>
    <row r="54" spans="2:18" outlineLevel="1" x14ac:dyDescent="0.25">
      <c r="B54" s="71" t="s">
        <v>217</v>
      </c>
      <c r="C54" s="4" t="s">
        <v>218</v>
      </c>
      <c r="E54" s="7"/>
      <c r="F54" s="27" t="s">
        <v>360</v>
      </c>
      <c r="G54" s="93">
        <f>_xlfn.XLOOKUP($B$4,$I$28:$U$28,$I54:$U54)*_xlfn.XLOOKUP($F54,'Background data'!$D:$D,'Background data'!H:H)</f>
        <v>0</v>
      </c>
      <c r="I54" s="103">
        <v>0</v>
      </c>
      <c r="J54" s="103">
        <v>0.20599999999999999</v>
      </c>
      <c r="K54" s="104">
        <v>0.14099999999999999</v>
      </c>
      <c r="L54" s="28"/>
      <c r="M54" s="103">
        <v>0.20599999999999999</v>
      </c>
      <c r="N54" s="28"/>
      <c r="O54" s="28"/>
      <c r="P54" s="103">
        <v>0.20599999999999999</v>
      </c>
      <c r="Q54" s="28"/>
      <c r="R54" s="15">
        <v>0.24</v>
      </c>
    </row>
    <row r="55" spans="2:18" outlineLevel="1" x14ac:dyDescent="0.25">
      <c r="B55" s="78" t="s">
        <v>233</v>
      </c>
      <c r="G55" s="102"/>
    </row>
    <row r="56" spans="2:18" x14ac:dyDescent="0.25">
      <c r="G56" s="102"/>
    </row>
    <row r="57" spans="2:18" x14ac:dyDescent="0.25">
      <c r="B57" s="76" t="s">
        <v>227</v>
      </c>
      <c r="G57" s="106">
        <f>SUM(G58:G60)</f>
        <v>2557.5002274820945</v>
      </c>
    </row>
    <row r="58" spans="2:18" outlineLevel="1" x14ac:dyDescent="0.25">
      <c r="B58" s="71" t="s">
        <v>129</v>
      </c>
      <c r="C58" s="4" t="s">
        <v>228</v>
      </c>
      <c r="E58" s="7"/>
      <c r="F58" s="27" t="s">
        <v>359</v>
      </c>
      <c r="G58" s="85">
        <f>$I58*_xlfn.XLOOKUP($F58,'Background data'!$D:$D,'Background data'!H:H)</f>
        <v>2014.7570274820948</v>
      </c>
      <c r="I58" s="77">
        <v>32.6</v>
      </c>
    </row>
    <row r="59" spans="2:18" outlineLevel="1" x14ac:dyDescent="0.25">
      <c r="B59" s="71" t="s">
        <v>209</v>
      </c>
      <c r="C59" s="4" t="s">
        <v>229</v>
      </c>
      <c r="E59" s="7"/>
      <c r="F59" s="27" t="s">
        <v>275</v>
      </c>
      <c r="G59" s="85">
        <f>$I59*_xlfn.XLOOKUP($F59,'Background data'!$D:$D,'Background data'!H:H)</f>
        <v>68.443200000000004</v>
      </c>
      <c r="I59" s="77">
        <f>2.8*3.6</f>
        <v>10.08</v>
      </c>
    </row>
    <row r="60" spans="2:18" outlineLevel="1" x14ac:dyDescent="0.25">
      <c r="B60" s="71" t="s">
        <v>217</v>
      </c>
      <c r="C60" s="4" t="s">
        <v>218</v>
      </c>
      <c r="E60" s="7"/>
      <c r="F60" s="27" t="s">
        <v>360</v>
      </c>
      <c r="G60" s="85">
        <f>$I60*_xlfn.XLOOKUP($F60,'Background data'!$D:$D,'Background data'!H:H)</f>
        <v>474.29999999999995</v>
      </c>
      <c r="I60" s="103">
        <v>17</v>
      </c>
    </row>
    <row r="61" spans="2:18" outlineLevel="1" x14ac:dyDescent="0.25">
      <c r="B61" s="78" t="s">
        <v>230</v>
      </c>
    </row>
    <row r="63" spans="2:18" ht="4.95" customHeight="1" x14ac:dyDescent="0.25"/>
    <row r="64" spans="2:18" x14ac:dyDescent="0.25">
      <c r="B64" s="76" t="s">
        <v>354</v>
      </c>
      <c r="C64" s="75"/>
    </row>
    <row r="65" spans="2:21" x14ac:dyDescent="0.25">
      <c r="B65" s="79" t="s">
        <v>0</v>
      </c>
      <c r="C65" s="1" t="s">
        <v>124</v>
      </c>
      <c r="I65" s="1" t="s">
        <v>81</v>
      </c>
      <c r="J65" s="1" t="s">
        <v>10</v>
      </c>
      <c r="K65" s="1" t="s">
        <v>11</v>
      </c>
      <c r="L65" s="1" t="s">
        <v>12</v>
      </c>
      <c r="M65" s="1" t="s">
        <v>13</v>
      </c>
      <c r="N65" s="1" t="s">
        <v>14</v>
      </c>
      <c r="O65" s="1" t="s">
        <v>77</v>
      </c>
      <c r="P65" s="1" t="s">
        <v>6</v>
      </c>
      <c r="Q65" s="1" t="s">
        <v>7</v>
      </c>
      <c r="R65" s="1" t="s">
        <v>9</v>
      </c>
      <c r="S65" s="1" t="s">
        <v>15</v>
      </c>
      <c r="T65" s="1" t="s">
        <v>16</v>
      </c>
      <c r="U65" s="1" t="s">
        <v>17</v>
      </c>
    </row>
    <row r="66" spans="2:21" x14ac:dyDescent="0.25">
      <c r="B66" s="51" t="s">
        <v>232</v>
      </c>
      <c r="C66" s="3" t="s">
        <v>211</v>
      </c>
      <c r="I66" s="7">
        <f>SUMIF($D$9:$D$17,$B66,I$9:I$17)+SUMIF($D$81:$D$102,$B66,I$81:I$102)</f>
        <v>0.2344565046587983</v>
      </c>
      <c r="J66" s="7">
        <f t="shared" ref="J66:U75" si="2">SUMIF($D$9:$D$17,$B66,J$9:J$17)+SUMIF($D$81:$D$102,$B66,J$81:J$102)</f>
        <v>0.26087817714481626</v>
      </c>
      <c r="K66" s="7">
        <f t="shared" si="2"/>
        <v>0.27500377655524016</v>
      </c>
      <c r="L66" s="7">
        <f t="shared" si="2"/>
        <v>0.27818340860492435</v>
      </c>
      <c r="M66" s="7">
        <f t="shared" si="2"/>
        <v>0.29616988777117337</v>
      </c>
      <c r="N66" s="7">
        <f t="shared" si="2"/>
        <v>0.30815952076594916</v>
      </c>
      <c r="O66" s="7">
        <f t="shared" si="2"/>
        <v>0.28804668611003414</v>
      </c>
      <c r="P66" s="7">
        <f t="shared" si="2"/>
        <v>0.20166062807227622</v>
      </c>
      <c r="Q66" s="7">
        <f t="shared" si="2"/>
        <v>0.2344565046587983</v>
      </c>
      <c r="R66" s="7">
        <f t="shared" si="2"/>
        <v>0.2344565046587983</v>
      </c>
      <c r="S66" s="7">
        <f t="shared" si="2"/>
        <v>0.21892919567887154</v>
      </c>
      <c r="T66" s="7">
        <f t="shared" si="2"/>
        <v>2.7885235222901046E-2</v>
      </c>
      <c r="U66" s="7">
        <f t="shared" si="2"/>
        <v>3.7241212951627564E-2</v>
      </c>
    </row>
    <row r="67" spans="2:21" x14ac:dyDescent="0.25">
      <c r="B67" s="51" t="s">
        <v>1</v>
      </c>
      <c r="C67" s="3" t="s">
        <v>211</v>
      </c>
      <c r="I67" s="7">
        <f t="shared" ref="I67:I75" si="3">SUMIF($D$9:$D$17,$B67,I$9:I$17)+SUMIF($D$81:$D$102,$B67,I$81:I$102)</f>
        <v>2.1237528732171721E-2</v>
      </c>
      <c r="J67" s="7">
        <f t="shared" si="2"/>
        <v>2.1009404910776099E-2</v>
      </c>
      <c r="K67" s="7">
        <f t="shared" si="2"/>
        <v>2.1387997548312308E-2</v>
      </c>
      <c r="L67" s="7">
        <f t="shared" si="2"/>
        <v>2.1502428908543082E-2</v>
      </c>
      <c r="M67" s="7">
        <f t="shared" si="2"/>
        <v>2.2026535644642489E-2</v>
      </c>
      <c r="N67" s="7">
        <f t="shared" si="2"/>
        <v>2.2325837107624133E-2</v>
      </c>
      <c r="O67" s="7">
        <f t="shared" si="2"/>
        <v>2.1646542370804905E-2</v>
      </c>
      <c r="P67" s="7">
        <f t="shared" si="2"/>
        <v>2.0228001813565915E-2</v>
      </c>
      <c r="Q67" s="7">
        <f t="shared" si="2"/>
        <v>2.1237528732171721E-2</v>
      </c>
      <c r="R67" s="7">
        <f t="shared" si="2"/>
        <v>2.1237528732171721E-2</v>
      </c>
      <c r="S67" s="7">
        <f t="shared" si="2"/>
        <v>3.2173596489604397E-2</v>
      </c>
      <c r="T67" s="7">
        <f t="shared" si="2"/>
        <v>3.1873142634623618E-2</v>
      </c>
      <c r="U67" s="7">
        <f t="shared" si="2"/>
        <v>2.4247288730112081E-2</v>
      </c>
    </row>
    <row r="68" spans="2:21" x14ac:dyDescent="0.25">
      <c r="B68" s="51" t="s">
        <v>2</v>
      </c>
      <c r="C68" s="3" t="s">
        <v>211</v>
      </c>
      <c r="I68" s="7">
        <f t="shared" si="3"/>
        <v>0.13792637389785764</v>
      </c>
      <c r="J68" s="7">
        <f t="shared" si="2"/>
        <v>0.11993723948767633</v>
      </c>
      <c r="K68" s="7">
        <f t="shared" si="2"/>
        <v>0.11984523737718673</v>
      </c>
      <c r="L68" s="7">
        <f t="shared" si="2"/>
        <v>0.12023789939543543</v>
      </c>
      <c r="M68" s="7">
        <f t="shared" si="2"/>
        <v>0.12138824534354802</v>
      </c>
      <c r="N68" s="7">
        <f t="shared" si="2"/>
        <v>0.1222055554916171</v>
      </c>
      <c r="O68" s="7">
        <f t="shared" si="2"/>
        <v>0.11999639495151952</v>
      </c>
      <c r="P68" s="7">
        <f t="shared" si="2"/>
        <v>0.12960022626503873</v>
      </c>
      <c r="Q68" s="7">
        <f t="shared" si="2"/>
        <v>0.13792637389785764</v>
      </c>
      <c r="R68" s="7">
        <f t="shared" si="2"/>
        <v>0.13792637389785764</v>
      </c>
      <c r="S68" s="7">
        <f t="shared" si="2"/>
        <v>2.7326839391248928E-2</v>
      </c>
      <c r="T68" s="7">
        <f t="shared" si="2"/>
        <v>0.12757093348058229</v>
      </c>
      <c r="U68" s="7">
        <f t="shared" si="2"/>
        <v>0.11740793046690794</v>
      </c>
    </row>
    <row r="69" spans="2:21" x14ac:dyDescent="0.25">
      <c r="B69" s="51" t="s">
        <v>3</v>
      </c>
      <c r="C69" s="3" t="s">
        <v>211</v>
      </c>
      <c r="I69" s="7">
        <f t="shared" si="3"/>
        <v>0</v>
      </c>
      <c r="J69" s="7">
        <f t="shared" si="2"/>
        <v>0</v>
      </c>
      <c r="K69" s="7">
        <f t="shared" si="2"/>
        <v>0</v>
      </c>
      <c r="L69" s="7">
        <f t="shared" si="2"/>
        <v>0</v>
      </c>
      <c r="M69" s="7">
        <f t="shared" si="2"/>
        <v>0</v>
      </c>
      <c r="N69" s="7">
        <f t="shared" si="2"/>
        <v>0</v>
      </c>
      <c r="O69" s="7">
        <f t="shared" si="2"/>
        <v>0</v>
      </c>
      <c r="P69" s="7">
        <f t="shared" si="2"/>
        <v>0</v>
      </c>
      <c r="Q69" s="7">
        <f t="shared" si="2"/>
        <v>0</v>
      </c>
      <c r="R69" s="7">
        <f t="shared" si="2"/>
        <v>0</v>
      </c>
      <c r="S69" s="7">
        <f t="shared" si="2"/>
        <v>0</v>
      </c>
      <c r="T69" s="7">
        <f t="shared" si="2"/>
        <v>0</v>
      </c>
      <c r="U69" s="7">
        <f t="shared" si="2"/>
        <v>0</v>
      </c>
    </row>
    <row r="70" spans="2:21" x14ac:dyDescent="0.25">
      <c r="B70" s="51" t="s">
        <v>50</v>
      </c>
      <c r="C70" s="3" t="s">
        <v>211</v>
      </c>
      <c r="I70" s="7">
        <f t="shared" ca="1" si="3"/>
        <v>0</v>
      </c>
      <c r="J70" s="7">
        <f t="shared" ca="1" si="2"/>
        <v>0.26072069975433909</v>
      </c>
      <c r="K70" s="7">
        <f t="shared" ca="1" si="2"/>
        <v>0.15648622380506955</v>
      </c>
      <c r="L70" s="7">
        <f t="shared" ca="1" si="2"/>
        <v>0.14931997195504396</v>
      </c>
      <c r="M70" s="7">
        <f t="shared" ca="1" si="2"/>
        <v>7.094125461637843E-2</v>
      </c>
      <c r="N70" s="7">
        <f t="shared" ca="1" si="2"/>
        <v>1.7181189034884563E-2</v>
      </c>
      <c r="O70" s="7">
        <f t="shared" ca="1" si="2"/>
        <v>0.11288160446636927</v>
      </c>
      <c r="P70" s="7">
        <f t="shared" ca="1" si="2"/>
        <v>0</v>
      </c>
      <c r="Q70" s="7">
        <f t="shared" ca="1" si="2"/>
        <v>0</v>
      </c>
      <c r="R70" s="7">
        <f t="shared" ca="1" si="2"/>
        <v>0</v>
      </c>
      <c r="S70" s="7">
        <f t="shared" ca="1" si="2"/>
        <v>0</v>
      </c>
      <c r="T70" s="7">
        <f t="shared" ca="1" si="2"/>
        <v>0</v>
      </c>
      <c r="U70" s="7">
        <f t="shared" ca="1" si="2"/>
        <v>0.117735296594913</v>
      </c>
    </row>
    <row r="71" spans="2:21" x14ac:dyDescent="0.25">
      <c r="B71" s="51" t="s">
        <v>51</v>
      </c>
      <c r="C71" s="3" t="s">
        <v>211</v>
      </c>
      <c r="I71" s="7">
        <f t="shared" ca="1" si="3"/>
        <v>0</v>
      </c>
      <c r="J71" s="7">
        <f t="shared" ca="1" si="2"/>
        <v>0.26031697714035756</v>
      </c>
      <c r="K71" s="7">
        <f t="shared" ca="1" si="2"/>
        <v>0.38813452451427177</v>
      </c>
      <c r="L71" s="7">
        <f t="shared" ca="1" si="2"/>
        <v>0.44726625575926815</v>
      </c>
      <c r="M71" s="7">
        <f t="shared" ca="1" si="2"/>
        <v>0.56665122404720547</v>
      </c>
      <c r="N71" s="7">
        <f t="shared" ca="1" si="2"/>
        <v>0.64920349996099525</v>
      </c>
      <c r="O71" s="7">
        <f t="shared" ca="1" si="2"/>
        <v>0.59045762336254703</v>
      </c>
      <c r="P71" s="7">
        <f t="shared" ca="1" si="2"/>
        <v>0</v>
      </c>
      <c r="Q71" s="7">
        <f t="shared" ca="1" si="2"/>
        <v>0</v>
      </c>
      <c r="R71" s="7">
        <f t="shared" ca="1" si="2"/>
        <v>0</v>
      </c>
      <c r="S71" s="7">
        <f t="shared" ca="1" si="2"/>
        <v>0</v>
      </c>
      <c r="T71" s="7">
        <f t="shared" ca="1" si="2"/>
        <v>0</v>
      </c>
      <c r="U71" s="7">
        <f t="shared" ca="1" si="2"/>
        <v>0.94042388015034573</v>
      </c>
    </row>
    <row r="72" spans="2:21" x14ac:dyDescent="0.25">
      <c r="B72" s="51" t="s">
        <v>52</v>
      </c>
      <c r="C72" s="3" t="s">
        <v>211</v>
      </c>
      <c r="I72" s="7">
        <f t="shared" ca="1" si="3"/>
        <v>0</v>
      </c>
      <c r="J72" s="7">
        <f t="shared" ca="1" si="2"/>
        <v>0.25400881129689168</v>
      </c>
      <c r="K72" s="7">
        <f t="shared" ca="1" si="2"/>
        <v>0.2209576886583251</v>
      </c>
      <c r="L72" s="7">
        <f t="shared" ca="1" si="2"/>
        <v>0.145475938868389</v>
      </c>
      <c r="M72" s="7">
        <f t="shared" ca="1" si="2"/>
        <v>6.9114971592187588E-2</v>
      </c>
      <c r="N72" s="7">
        <f t="shared" ca="1" si="2"/>
        <v>1.6772113105482548E-2</v>
      </c>
      <c r="O72" s="7">
        <f t="shared" ca="1" si="2"/>
        <v>0</v>
      </c>
      <c r="P72" s="7">
        <f t="shared" ca="1" si="2"/>
        <v>0</v>
      </c>
      <c r="Q72" s="7">
        <f t="shared" ca="1" si="2"/>
        <v>0</v>
      </c>
      <c r="R72" s="7">
        <f t="shared" ca="1" si="2"/>
        <v>0</v>
      </c>
      <c r="S72" s="7">
        <f t="shared" ca="1" si="2"/>
        <v>0</v>
      </c>
      <c r="T72" s="7">
        <f t="shared" ca="1" si="2"/>
        <v>0</v>
      </c>
      <c r="U72" s="7">
        <f t="shared" ca="1" si="2"/>
        <v>0.11470436664192452</v>
      </c>
    </row>
    <row r="73" spans="2:21" x14ac:dyDescent="0.25">
      <c r="B73" s="51" t="s">
        <v>53</v>
      </c>
      <c r="C73" s="3" t="s">
        <v>211</v>
      </c>
      <c r="I73" s="7">
        <f t="shared" ca="1" si="3"/>
        <v>0.10652097599194002</v>
      </c>
      <c r="J73" s="7">
        <f t="shared" ca="1" si="2"/>
        <v>0.17693445428927937</v>
      </c>
      <c r="K73" s="7">
        <f t="shared" ca="1" si="2"/>
        <v>0.17030872298507513</v>
      </c>
      <c r="L73" s="7">
        <f t="shared" ca="1" si="2"/>
        <v>0.16893367717398131</v>
      </c>
      <c r="M73" s="7">
        <f t="shared" ca="1" si="2"/>
        <v>0.1040784531116337</v>
      </c>
      <c r="N73" s="7">
        <f t="shared" ca="1" si="2"/>
        <v>0.10063267863289529</v>
      </c>
      <c r="O73" s="7">
        <f t="shared" ca="1" si="2"/>
        <v>0.10854000429458584</v>
      </c>
      <c r="P73" s="7">
        <f t="shared" ca="1" si="2"/>
        <v>0.10410329606501416</v>
      </c>
      <c r="Q73" s="7">
        <f t="shared" ca="1" si="2"/>
        <v>0.12206940904434194</v>
      </c>
      <c r="R73" s="7">
        <f t="shared" ca="1" si="2"/>
        <v>0.10652097599194002</v>
      </c>
      <c r="S73" s="7">
        <f t="shared" ca="1" si="2"/>
        <v>0</v>
      </c>
      <c r="T73" s="7">
        <f t="shared" ca="1" si="2"/>
        <v>0.16271448231705543</v>
      </c>
      <c r="U73" s="7">
        <f t="shared" ca="1" si="2"/>
        <v>0.17273034727819553</v>
      </c>
    </row>
    <row r="74" spans="2:21" x14ac:dyDescent="0.25">
      <c r="B74" s="51" t="s">
        <v>4</v>
      </c>
      <c r="C74" s="3" t="s">
        <v>211</v>
      </c>
      <c r="I74" s="7">
        <f t="shared" si="3"/>
        <v>0</v>
      </c>
      <c r="J74" s="7">
        <f t="shared" si="2"/>
        <v>0</v>
      </c>
      <c r="K74" s="7">
        <f t="shared" si="2"/>
        <v>0</v>
      </c>
      <c r="L74" s="7">
        <f t="shared" si="2"/>
        <v>0</v>
      </c>
      <c r="M74" s="7">
        <f t="shared" si="2"/>
        <v>0</v>
      </c>
      <c r="N74" s="7">
        <f t="shared" si="2"/>
        <v>0</v>
      </c>
      <c r="O74" s="7">
        <f t="shared" si="2"/>
        <v>0</v>
      </c>
      <c r="P74" s="7">
        <f t="shared" si="2"/>
        <v>0</v>
      </c>
      <c r="Q74" s="7">
        <f t="shared" si="2"/>
        <v>0</v>
      </c>
      <c r="R74" s="7">
        <f t="shared" si="2"/>
        <v>0</v>
      </c>
      <c r="S74" s="7">
        <f t="shared" si="2"/>
        <v>0</v>
      </c>
      <c r="T74" s="7">
        <f t="shared" si="2"/>
        <v>0</v>
      </c>
      <c r="U74" s="7">
        <f t="shared" si="2"/>
        <v>0</v>
      </c>
    </row>
    <row r="75" spans="2:21" x14ac:dyDescent="0.25">
      <c r="B75" s="51" t="s">
        <v>54</v>
      </c>
      <c r="C75" s="3" t="s">
        <v>211</v>
      </c>
      <c r="I75" s="7">
        <f t="shared" ca="1" si="3"/>
        <v>0.75797706104333751</v>
      </c>
      <c r="J75" s="7">
        <f t="shared" ca="1" si="2"/>
        <v>0.60744458807043245</v>
      </c>
      <c r="K75" s="7">
        <f t="shared" ca="1" si="2"/>
        <v>0.59273088424619247</v>
      </c>
      <c r="L75" s="7">
        <f t="shared" ca="1" si="2"/>
        <v>0.58896945967652936</v>
      </c>
      <c r="M75" s="7">
        <f t="shared" ca="1" si="2"/>
        <v>0.56889780422131209</v>
      </c>
      <c r="N75" s="7">
        <f t="shared" ca="1" si="2"/>
        <v>0.55551736360129067</v>
      </c>
      <c r="O75" s="7">
        <f t="shared" ca="1" si="2"/>
        <v>0.73833030321566018</v>
      </c>
      <c r="P75" s="7">
        <f t="shared" ca="1" si="2"/>
        <v>0.58743994792617216</v>
      </c>
      <c r="Q75" s="7">
        <f t="shared" ca="1" si="2"/>
        <v>0.57932080295520871</v>
      </c>
      <c r="R75" s="7">
        <f t="shared" ca="1" si="2"/>
        <v>0.75797706104333751</v>
      </c>
      <c r="S75" s="7">
        <f t="shared" ca="1" si="2"/>
        <v>0.17877070973232925</v>
      </c>
      <c r="T75" s="7">
        <f t="shared" ca="1" si="2"/>
        <v>1.0442410751565767</v>
      </c>
      <c r="U75" s="7">
        <f t="shared" ca="1" si="2"/>
        <v>0.83518122235068037</v>
      </c>
    </row>
    <row r="76" spans="2:21" ht="4.95" customHeight="1" x14ac:dyDescent="0.25">
      <c r="B76" s="80"/>
      <c r="C76" s="72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</row>
    <row r="77" spans="2:21" x14ac:dyDescent="0.25">
      <c r="B77" s="81" t="s">
        <v>210</v>
      </c>
      <c r="C77" s="5"/>
      <c r="I77" s="17">
        <f t="shared" ref="I77:U77" ca="1" si="4">SUM(I66:I75)</f>
        <v>1.2581184443241051</v>
      </c>
      <c r="J77" s="17">
        <f t="shared" ca="1" si="4"/>
        <v>1.9612503520945688</v>
      </c>
      <c r="K77" s="17">
        <f t="shared" ca="1" si="4"/>
        <v>1.9448550556896731</v>
      </c>
      <c r="L77" s="17">
        <f t="shared" ca="1" si="4"/>
        <v>1.9198890403421147</v>
      </c>
      <c r="M77" s="17">
        <f t="shared" ca="1" si="4"/>
        <v>1.8192683763480813</v>
      </c>
      <c r="N77" s="17">
        <f t="shared" ca="1" si="4"/>
        <v>1.7919977577007387</v>
      </c>
      <c r="O77" s="17">
        <f t="shared" ca="1" si="4"/>
        <v>1.9798991587715209</v>
      </c>
      <c r="P77" s="17">
        <f t="shared" ca="1" si="4"/>
        <v>1.0430321001420673</v>
      </c>
      <c r="Q77" s="17">
        <f t="shared" ca="1" si="4"/>
        <v>1.0950106192883782</v>
      </c>
      <c r="R77" s="17">
        <f t="shared" ca="1" si="4"/>
        <v>1.2581184443241051</v>
      </c>
      <c r="S77" s="17">
        <f t="shared" ca="1" si="4"/>
        <v>0.45720034129205411</v>
      </c>
      <c r="T77" s="17">
        <f t="shared" ca="1" si="4"/>
        <v>1.3942848688117391</v>
      </c>
      <c r="U77" s="17">
        <f t="shared" ca="1" si="4"/>
        <v>2.3596715451647068</v>
      </c>
    </row>
    <row r="79" spans="2:21" x14ac:dyDescent="0.25">
      <c r="B79" s="76" t="s">
        <v>415</v>
      </c>
    </row>
    <row r="80" spans="2:21" outlineLevel="1" collapsed="1" x14ac:dyDescent="0.25">
      <c r="B80" s="1" t="s">
        <v>222</v>
      </c>
      <c r="C80" s="1" t="s">
        <v>124</v>
      </c>
      <c r="D80" s="1" t="s">
        <v>231</v>
      </c>
      <c r="E80" s="1"/>
      <c r="F80" s="1"/>
      <c r="G80" s="23" t="s">
        <v>396</v>
      </c>
      <c r="I80" s="1" t="s">
        <v>8</v>
      </c>
      <c r="J80" s="1" t="s">
        <v>10</v>
      </c>
      <c r="K80" s="1" t="s">
        <v>11</v>
      </c>
      <c r="L80" s="1" t="s">
        <v>12</v>
      </c>
      <c r="M80" s="1" t="s">
        <v>13</v>
      </c>
      <c r="N80" s="1" t="s">
        <v>14</v>
      </c>
      <c r="O80" s="1" t="s">
        <v>77</v>
      </c>
      <c r="P80" s="1" t="s">
        <v>6</v>
      </c>
      <c r="Q80" s="1" t="s">
        <v>7</v>
      </c>
      <c r="R80" s="1" t="s">
        <v>9</v>
      </c>
      <c r="S80" s="1" t="s">
        <v>15</v>
      </c>
      <c r="T80" s="1" t="s">
        <v>16</v>
      </c>
      <c r="U80" s="1" t="s">
        <v>17</v>
      </c>
    </row>
    <row r="81" spans="1:21" outlineLevel="1" x14ac:dyDescent="0.25">
      <c r="A81" s="2">
        <v>2</v>
      </c>
      <c r="B81" s="71" t="s">
        <v>28</v>
      </c>
      <c r="C81" s="4" t="s">
        <v>211</v>
      </c>
      <c r="D81" s="33" t="s">
        <v>54</v>
      </c>
      <c r="E81" s="7"/>
      <c r="F81" s="7"/>
      <c r="G81" s="93">
        <f>_xlfn.XLOOKUP($B$4,'Cell &amp; CAM'!$I$7:$U$7,'Cell &amp; CAM'!$I$8:$U$8)*G29</f>
        <v>0</v>
      </c>
      <c r="I81" s="7">
        <f ca="1">I$8*OFFSET($I29,0,I$103-1)</f>
        <v>0</v>
      </c>
      <c r="J81" s="7">
        <f t="shared" ref="J81:U81" ca="1" si="5">J$8*OFFSET($I29,0,J$103-1)</f>
        <v>0</v>
      </c>
      <c r="K81" s="7">
        <f t="shared" ca="1" si="5"/>
        <v>0</v>
      </c>
      <c r="L81" s="7">
        <f t="shared" ca="1" si="5"/>
        <v>0</v>
      </c>
      <c r="M81" s="7">
        <f t="shared" ca="1" si="5"/>
        <v>0</v>
      </c>
      <c r="N81" s="7">
        <f t="shared" ca="1" si="5"/>
        <v>0</v>
      </c>
      <c r="O81" s="7">
        <f t="shared" ca="1" si="5"/>
        <v>0</v>
      </c>
      <c r="P81" s="7">
        <f t="shared" ca="1" si="5"/>
        <v>0</v>
      </c>
      <c r="Q81" s="7">
        <f t="shared" ca="1" si="5"/>
        <v>0</v>
      </c>
      <c r="R81" s="7">
        <f t="shared" ca="1" si="5"/>
        <v>0</v>
      </c>
      <c r="S81" s="7">
        <f t="shared" ca="1" si="5"/>
        <v>0</v>
      </c>
      <c r="T81" s="7">
        <f t="shared" ca="1" si="5"/>
        <v>0</v>
      </c>
      <c r="U81" s="7">
        <f t="shared" ca="1" si="5"/>
        <v>0</v>
      </c>
    </row>
    <row r="82" spans="1:21" outlineLevel="1" x14ac:dyDescent="0.25">
      <c r="A82" s="2">
        <v>3</v>
      </c>
      <c r="B82" s="71" t="s">
        <v>29</v>
      </c>
      <c r="C82" s="4" t="s">
        <v>211</v>
      </c>
      <c r="D82" s="33" t="s">
        <v>54</v>
      </c>
      <c r="E82" s="7"/>
      <c r="F82" s="7"/>
      <c r="G82" s="93">
        <f>_xlfn.XLOOKUP($B$4,'Cell &amp; CAM'!$I$7:$U$7,'Cell &amp; CAM'!$I$8:$U$8)*G30</f>
        <v>0</v>
      </c>
      <c r="I82" s="7">
        <f t="shared" ref="I82:U82" ca="1" si="6">I$8*OFFSET($I30,0,I$103-1)</f>
        <v>0</v>
      </c>
      <c r="J82" s="7">
        <f t="shared" ca="1" si="6"/>
        <v>0</v>
      </c>
      <c r="K82" s="7">
        <f t="shared" ca="1" si="6"/>
        <v>0</v>
      </c>
      <c r="L82" s="7">
        <f t="shared" ca="1" si="6"/>
        <v>0</v>
      </c>
      <c r="M82" s="7">
        <f t="shared" ca="1" si="6"/>
        <v>0</v>
      </c>
      <c r="N82" s="7">
        <f t="shared" ca="1" si="6"/>
        <v>0</v>
      </c>
      <c r="O82" s="7">
        <f t="shared" ca="1" si="6"/>
        <v>0.16063920635598702</v>
      </c>
      <c r="P82" s="7">
        <f t="shared" ca="1" si="6"/>
        <v>0</v>
      </c>
      <c r="Q82" s="7">
        <f t="shared" ca="1" si="6"/>
        <v>0</v>
      </c>
      <c r="R82" s="7">
        <f t="shared" ca="1" si="6"/>
        <v>0</v>
      </c>
      <c r="S82" s="7">
        <f t="shared" ca="1" si="6"/>
        <v>0</v>
      </c>
      <c r="T82" s="7">
        <f t="shared" ca="1" si="6"/>
        <v>0</v>
      </c>
      <c r="U82" s="7">
        <f t="shared" ca="1" si="6"/>
        <v>0</v>
      </c>
    </row>
    <row r="83" spans="1:21" outlineLevel="1" x14ac:dyDescent="0.25">
      <c r="A83" s="2">
        <v>4</v>
      </c>
      <c r="B83" s="71" t="s">
        <v>30</v>
      </c>
      <c r="C83" s="4" t="s">
        <v>211</v>
      </c>
      <c r="D83" s="33" t="s">
        <v>51</v>
      </c>
      <c r="E83" s="7"/>
      <c r="F83" s="7"/>
      <c r="G83" s="93">
        <f>_xlfn.XLOOKUP($B$4,'Cell &amp; CAM'!$I$7:$U$7,'Cell &amp; CAM'!$I$8:$U$8)*G31</f>
        <v>0</v>
      </c>
      <c r="I83" s="7">
        <f t="shared" ref="I83:U83" ca="1" si="7">I$8*OFFSET($I31,0,I$103-1)</f>
        <v>0</v>
      </c>
      <c r="J83" s="7">
        <f t="shared" ca="1" si="7"/>
        <v>0.26031697714035756</v>
      </c>
      <c r="K83" s="7">
        <f t="shared" ca="1" si="7"/>
        <v>0.38813452451427177</v>
      </c>
      <c r="L83" s="7">
        <f t="shared" ca="1" si="7"/>
        <v>0.44726625575926815</v>
      </c>
      <c r="M83" s="7">
        <f t="shared" ca="1" si="7"/>
        <v>0.56665122404720547</v>
      </c>
      <c r="N83" s="7">
        <f t="shared" ca="1" si="7"/>
        <v>0.64920349996099525</v>
      </c>
      <c r="O83" s="7">
        <f t="shared" ca="1" si="7"/>
        <v>0.59045762336254703</v>
      </c>
      <c r="P83" s="7">
        <f t="shared" ca="1" si="7"/>
        <v>0</v>
      </c>
      <c r="Q83" s="7">
        <f t="shared" ca="1" si="7"/>
        <v>0</v>
      </c>
      <c r="R83" s="7">
        <f t="shared" ca="1" si="7"/>
        <v>0</v>
      </c>
      <c r="S83" s="7">
        <f t="shared" ca="1" si="7"/>
        <v>0</v>
      </c>
      <c r="T83" s="7">
        <f t="shared" ca="1" si="7"/>
        <v>0</v>
      </c>
      <c r="U83" s="7">
        <f t="shared" ca="1" si="7"/>
        <v>0.94042388015034573</v>
      </c>
    </row>
    <row r="84" spans="1:21" outlineLevel="1" x14ac:dyDescent="0.25">
      <c r="A84" s="2">
        <v>5</v>
      </c>
      <c r="B84" s="71" t="s">
        <v>31</v>
      </c>
      <c r="C84" s="4" t="s">
        <v>211</v>
      </c>
      <c r="D84" s="33" t="s">
        <v>50</v>
      </c>
      <c r="E84" s="7"/>
      <c r="F84" s="7"/>
      <c r="G84" s="93">
        <f>_xlfn.XLOOKUP($B$4,'Cell &amp; CAM'!$I$7:$U$7,'Cell &amp; CAM'!$I$8:$U$8)*G32</f>
        <v>0</v>
      </c>
      <c r="I84" s="7">
        <f t="shared" ref="I84:U84" ca="1" si="8">I$8*OFFSET($I32,0,I$103-1)</f>
        <v>0</v>
      </c>
      <c r="J84" s="7">
        <f t="shared" ca="1" si="8"/>
        <v>0.26072069975433909</v>
      </c>
      <c r="K84" s="7">
        <f t="shared" ca="1" si="8"/>
        <v>0.15648622380506955</v>
      </c>
      <c r="L84" s="7">
        <f t="shared" ca="1" si="8"/>
        <v>0.14931997195504396</v>
      </c>
      <c r="M84" s="7">
        <f t="shared" ca="1" si="8"/>
        <v>7.094125461637843E-2</v>
      </c>
      <c r="N84" s="7">
        <f t="shared" ca="1" si="8"/>
        <v>1.7181189034884563E-2</v>
      </c>
      <c r="O84" s="7">
        <f t="shared" ca="1" si="8"/>
        <v>0.11288160446636927</v>
      </c>
      <c r="P84" s="7">
        <f t="shared" ca="1" si="8"/>
        <v>0</v>
      </c>
      <c r="Q84" s="7">
        <f t="shared" ca="1" si="8"/>
        <v>0</v>
      </c>
      <c r="R84" s="7">
        <f t="shared" ca="1" si="8"/>
        <v>0</v>
      </c>
      <c r="S84" s="7">
        <f t="shared" ca="1" si="8"/>
        <v>0</v>
      </c>
      <c r="T84" s="7">
        <f t="shared" ca="1" si="8"/>
        <v>0</v>
      </c>
      <c r="U84" s="7">
        <f t="shared" ca="1" si="8"/>
        <v>0.117735296594913</v>
      </c>
    </row>
    <row r="85" spans="1:21" outlineLevel="1" x14ac:dyDescent="0.25">
      <c r="A85" s="2">
        <v>6</v>
      </c>
      <c r="B85" s="71" t="s">
        <v>32</v>
      </c>
      <c r="C85" s="4" t="s">
        <v>211</v>
      </c>
      <c r="D85" s="33" t="s">
        <v>52</v>
      </c>
      <c r="E85" s="7"/>
      <c r="F85" s="7"/>
      <c r="G85" s="93">
        <f>_xlfn.XLOOKUP($B$4,'Cell &amp; CAM'!$I$7:$U$7,'Cell &amp; CAM'!$I$8:$U$8)*G33</f>
        <v>0</v>
      </c>
      <c r="I85" s="7">
        <f t="shared" ref="I85:U85" ca="1" si="9">I$8*OFFSET($I33,0,I$103-1)</f>
        <v>0</v>
      </c>
      <c r="J85" s="7">
        <f t="shared" ca="1" si="9"/>
        <v>0.25400881129689168</v>
      </c>
      <c r="K85" s="7">
        <f t="shared" ca="1" si="9"/>
        <v>0.2209576886583251</v>
      </c>
      <c r="L85" s="7">
        <f t="shared" ca="1" si="9"/>
        <v>0.145475938868389</v>
      </c>
      <c r="M85" s="7">
        <f t="shared" ca="1" si="9"/>
        <v>6.9114971592187588E-2</v>
      </c>
      <c r="N85" s="7">
        <f t="shared" ca="1" si="9"/>
        <v>1.6772113105482548E-2</v>
      </c>
      <c r="O85" s="7">
        <f t="shared" ca="1" si="9"/>
        <v>0</v>
      </c>
      <c r="P85" s="7">
        <f t="shared" ca="1" si="9"/>
        <v>0</v>
      </c>
      <c r="Q85" s="7">
        <f t="shared" ca="1" si="9"/>
        <v>0</v>
      </c>
      <c r="R85" s="7">
        <f t="shared" ca="1" si="9"/>
        <v>0</v>
      </c>
      <c r="S85" s="7">
        <f t="shared" ca="1" si="9"/>
        <v>0</v>
      </c>
      <c r="T85" s="7">
        <f t="shared" ca="1" si="9"/>
        <v>0</v>
      </c>
      <c r="U85" s="7">
        <f t="shared" ca="1" si="9"/>
        <v>0.11470436664192452</v>
      </c>
    </row>
    <row r="86" spans="1:21" outlineLevel="1" x14ac:dyDescent="0.25">
      <c r="A86" s="2">
        <v>7</v>
      </c>
      <c r="B86" s="71" t="s">
        <v>33</v>
      </c>
      <c r="C86" s="4" t="s">
        <v>211</v>
      </c>
      <c r="D86" s="33" t="s">
        <v>54</v>
      </c>
      <c r="E86" s="7"/>
      <c r="F86" s="7"/>
      <c r="G86" s="93">
        <f>_xlfn.XLOOKUP($B$4,'Cell &amp; CAM'!$I$7:$U$7,'Cell &amp; CAM'!$I$8:$U$8)*G34</f>
        <v>0</v>
      </c>
      <c r="I86" s="7">
        <f t="shared" ref="I86:U86" ca="1" si="10">I$8*OFFSET($I34,0,I$103-1)</f>
        <v>0</v>
      </c>
      <c r="J86" s="7">
        <f t="shared" ca="1" si="10"/>
        <v>0.41092969567844856</v>
      </c>
      <c r="K86" s="7">
        <f t="shared" ca="1" si="10"/>
        <v>0.39756303966727802</v>
      </c>
      <c r="L86" s="7">
        <f t="shared" ca="1" si="10"/>
        <v>0.39425149160077261</v>
      </c>
      <c r="M86" s="7">
        <f t="shared" ca="1" si="10"/>
        <v>0.37604337124098602</v>
      </c>
      <c r="N86" s="7">
        <f t="shared" ca="1" si="10"/>
        <v>0.36388776593654937</v>
      </c>
      <c r="O86" s="7">
        <f t="shared" ca="1" si="10"/>
        <v>0.38206081511694218</v>
      </c>
      <c r="P86" s="7">
        <f t="shared" ca="1" si="10"/>
        <v>0</v>
      </c>
      <c r="Q86" s="7">
        <f t="shared" ca="1" si="10"/>
        <v>0</v>
      </c>
      <c r="R86" s="7">
        <f t="shared" ca="1" si="10"/>
        <v>0</v>
      </c>
      <c r="S86" s="7">
        <f t="shared" ca="1" si="10"/>
        <v>0</v>
      </c>
      <c r="T86" s="7">
        <f t="shared" ca="1" si="10"/>
        <v>0</v>
      </c>
      <c r="U86" s="7">
        <f t="shared" ca="1" si="10"/>
        <v>0.62408788912773028</v>
      </c>
    </row>
    <row r="87" spans="1:21" outlineLevel="1" x14ac:dyDescent="0.25">
      <c r="A87" s="2">
        <v>8</v>
      </c>
      <c r="B87" s="71" t="s">
        <v>34</v>
      </c>
      <c r="C87" s="4" t="s">
        <v>211</v>
      </c>
      <c r="D87" s="33" t="s">
        <v>54</v>
      </c>
      <c r="E87" s="7"/>
      <c r="F87" s="7"/>
      <c r="G87" s="93">
        <f>_xlfn.XLOOKUP($B$4,'Cell &amp; CAM'!$I$7:$U$7,'Cell &amp; CAM'!$I$8:$U$8)*G35</f>
        <v>0</v>
      </c>
      <c r="I87" s="7">
        <f t="shared" ref="I87:U87" ca="1" si="11">I$8*OFFSET($I35,0,I$103-1)</f>
        <v>0</v>
      </c>
      <c r="J87" s="7">
        <f t="shared" ca="1" si="11"/>
        <v>5.7065597776603083E-2</v>
      </c>
      <c r="K87" s="7">
        <f t="shared" ca="1" si="11"/>
        <v>5.5209377056675987E-2</v>
      </c>
      <c r="L87" s="7">
        <f t="shared" ca="1" si="11"/>
        <v>5.4749504061444805E-2</v>
      </c>
      <c r="M87" s="7">
        <f t="shared" ca="1" si="11"/>
        <v>5.2220951650541365E-2</v>
      </c>
      <c r="N87" s="7">
        <f t="shared" ca="1" si="11"/>
        <v>5.0532908926131111E-2</v>
      </c>
      <c r="O87" s="7">
        <f t="shared" ca="1" si="11"/>
        <v>0</v>
      </c>
      <c r="P87" s="7">
        <f t="shared" ca="1" si="11"/>
        <v>0</v>
      </c>
      <c r="Q87" s="7">
        <f t="shared" ca="1" si="11"/>
        <v>0</v>
      </c>
      <c r="R87" s="7">
        <f t="shared" ca="1" si="11"/>
        <v>0</v>
      </c>
      <c r="S87" s="7">
        <f t="shared" ca="1" si="11"/>
        <v>0</v>
      </c>
      <c r="T87" s="7">
        <f t="shared" ca="1" si="11"/>
        <v>0</v>
      </c>
      <c r="U87" s="7">
        <f t="shared" ca="1" si="11"/>
        <v>8.666676765575039E-2</v>
      </c>
    </row>
    <row r="88" spans="1:21" outlineLevel="1" x14ac:dyDescent="0.25">
      <c r="A88" s="2">
        <v>9</v>
      </c>
      <c r="B88" s="71" t="s">
        <v>35</v>
      </c>
      <c r="C88" s="4" t="s">
        <v>211</v>
      </c>
      <c r="D88" s="33" t="s">
        <v>54</v>
      </c>
      <c r="E88" s="7"/>
      <c r="F88" s="7"/>
      <c r="G88" s="93">
        <f>_xlfn.XLOOKUP($B$4,'Cell &amp; CAM'!$I$7:$U$7,'Cell &amp; CAM'!$I$8:$U$8)*G36</f>
        <v>0</v>
      </c>
      <c r="I88" s="7">
        <f t="shared" ref="I88:U88" ca="1" si="12">I$8*OFFSET($I36,0,I$103-1)</f>
        <v>0</v>
      </c>
      <c r="J88" s="7">
        <f t="shared" ca="1" si="12"/>
        <v>0</v>
      </c>
      <c r="K88" s="7">
        <f t="shared" ca="1" si="12"/>
        <v>0</v>
      </c>
      <c r="L88" s="7">
        <f t="shared" ca="1" si="12"/>
        <v>0</v>
      </c>
      <c r="M88" s="7">
        <f t="shared" ca="1" si="12"/>
        <v>0</v>
      </c>
      <c r="N88" s="7">
        <f t="shared" ca="1" si="12"/>
        <v>0</v>
      </c>
      <c r="O88" s="7">
        <f t="shared" ca="1" si="12"/>
        <v>0</v>
      </c>
      <c r="P88" s="7">
        <f t="shared" ca="1" si="12"/>
        <v>0</v>
      </c>
      <c r="Q88" s="7">
        <f t="shared" ca="1" si="12"/>
        <v>0</v>
      </c>
      <c r="R88" s="7">
        <f t="shared" ca="1" si="12"/>
        <v>0</v>
      </c>
      <c r="S88" s="7">
        <f t="shared" ca="1" si="12"/>
        <v>0</v>
      </c>
      <c r="T88" s="7">
        <f t="shared" ca="1" si="12"/>
        <v>0</v>
      </c>
      <c r="U88" s="7">
        <f t="shared" ca="1" si="12"/>
        <v>0</v>
      </c>
    </row>
    <row r="89" spans="1:21" outlineLevel="1" x14ac:dyDescent="0.25">
      <c r="A89" s="2">
        <v>10</v>
      </c>
      <c r="B89" s="71" t="s">
        <v>36</v>
      </c>
      <c r="C89" s="4" t="s">
        <v>211</v>
      </c>
      <c r="D89" s="33" t="s">
        <v>54</v>
      </c>
      <c r="E89" s="7"/>
      <c r="F89" s="7"/>
      <c r="G89" s="93">
        <f>_xlfn.XLOOKUP($B$4,'Cell &amp; CAM'!$I$7:$U$7,'Cell &amp; CAM'!$I$8:$U$8)*G37</f>
        <v>0</v>
      </c>
      <c r="I89" s="7">
        <f t="shared" ref="I89:U89" ca="1" si="13">I$8*OFFSET($I37,0,I$103-1)</f>
        <v>0</v>
      </c>
      <c r="J89" s="7">
        <f t="shared" ca="1" si="13"/>
        <v>0</v>
      </c>
      <c r="K89" s="7">
        <f t="shared" ca="1" si="13"/>
        <v>0</v>
      </c>
      <c r="L89" s="7">
        <f t="shared" ca="1" si="13"/>
        <v>0</v>
      </c>
      <c r="M89" s="7">
        <f t="shared" ca="1" si="13"/>
        <v>0</v>
      </c>
      <c r="N89" s="7">
        <f t="shared" ca="1" si="13"/>
        <v>0</v>
      </c>
      <c r="O89" s="7">
        <f t="shared" ca="1" si="13"/>
        <v>3.9074401546050901E-2</v>
      </c>
      <c r="P89" s="7">
        <f t="shared" ca="1" si="13"/>
        <v>0</v>
      </c>
      <c r="Q89" s="7">
        <f t="shared" ca="1" si="13"/>
        <v>0</v>
      </c>
      <c r="R89" s="7">
        <f t="shared" ca="1" si="13"/>
        <v>0</v>
      </c>
      <c r="S89" s="7">
        <f t="shared" ca="1" si="13"/>
        <v>0</v>
      </c>
      <c r="T89" s="7">
        <f t="shared" ca="1" si="13"/>
        <v>0</v>
      </c>
      <c r="U89" s="7">
        <f t="shared" ca="1" si="13"/>
        <v>0</v>
      </c>
    </row>
    <row r="90" spans="1:21" outlineLevel="1" x14ac:dyDescent="0.25">
      <c r="A90" s="2">
        <v>11</v>
      </c>
      <c r="B90" s="71" t="s">
        <v>37</v>
      </c>
      <c r="C90" s="4" t="s">
        <v>211</v>
      </c>
      <c r="D90" s="33" t="s">
        <v>54</v>
      </c>
      <c r="E90" s="7"/>
      <c r="F90" s="7"/>
      <c r="G90" s="93">
        <f>_xlfn.XLOOKUP($B$4,'Cell &amp; CAM'!$I$7:$U$7,'Cell &amp; CAM'!$I$8:$U$8)*G38</f>
        <v>0</v>
      </c>
      <c r="I90" s="7">
        <f t="shared" ref="I90:U90" ca="1" si="14">I$8*OFFSET($I38,0,I$103-1)</f>
        <v>0</v>
      </c>
      <c r="J90" s="7">
        <f t="shared" ca="1" si="14"/>
        <v>0</v>
      </c>
      <c r="K90" s="7">
        <f t="shared" ca="1" si="14"/>
        <v>0</v>
      </c>
      <c r="L90" s="7">
        <f t="shared" ca="1" si="14"/>
        <v>0</v>
      </c>
      <c r="M90" s="7">
        <f t="shared" ca="1" si="14"/>
        <v>0</v>
      </c>
      <c r="N90" s="7">
        <f t="shared" ca="1" si="14"/>
        <v>0</v>
      </c>
      <c r="O90" s="7">
        <f t="shared" ca="1" si="14"/>
        <v>0</v>
      </c>
      <c r="P90" s="7">
        <f t="shared" ca="1" si="14"/>
        <v>0</v>
      </c>
      <c r="Q90" s="7">
        <f t="shared" ca="1" si="14"/>
        <v>0</v>
      </c>
      <c r="R90" s="7">
        <f t="shared" ca="1" si="14"/>
        <v>0</v>
      </c>
      <c r="S90" s="7">
        <f t="shared" ca="1" si="14"/>
        <v>0</v>
      </c>
      <c r="T90" s="7">
        <f t="shared" ca="1" si="14"/>
        <v>0</v>
      </c>
      <c r="U90" s="7">
        <f t="shared" ca="1" si="14"/>
        <v>0</v>
      </c>
    </row>
    <row r="91" spans="1:21" outlineLevel="1" x14ac:dyDescent="0.25">
      <c r="A91" s="2">
        <v>12</v>
      </c>
      <c r="B91" s="71" t="s">
        <v>38</v>
      </c>
      <c r="C91" s="4" t="s">
        <v>211</v>
      </c>
      <c r="D91" s="33" t="s">
        <v>54</v>
      </c>
      <c r="E91" s="7"/>
      <c r="F91" s="7"/>
      <c r="G91" s="93">
        <f>_xlfn.XLOOKUP($B$4,'Cell &amp; CAM'!$I$7:$U$7,'Cell &amp; CAM'!$I$8:$U$8)*G39</f>
        <v>0</v>
      </c>
      <c r="I91" s="7">
        <f t="shared" ref="I91:U91" ca="1" si="15">I$8*OFFSET($I39,0,I$103-1)</f>
        <v>0</v>
      </c>
      <c r="J91" s="7">
        <f t="shared" ca="1" si="15"/>
        <v>0</v>
      </c>
      <c r="K91" s="7">
        <f t="shared" ca="1" si="15"/>
        <v>0</v>
      </c>
      <c r="L91" s="7">
        <f t="shared" ca="1" si="15"/>
        <v>0</v>
      </c>
      <c r="M91" s="7">
        <f t="shared" ca="1" si="15"/>
        <v>0</v>
      </c>
      <c r="N91" s="7">
        <f t="shared" ca="1" si="15"/>
        <v>0</v>
      </c>
      <c r="O91" s="7">
        <f t="shared" ca="1" si="15"/>
        <v>0</v>
      </c>
      <c r="P91" s="7">
        <f t="shared" ca="1" si="15"/>
        <v>0</v>
      </c>
      <c r="Q91" s="7">
        <f t="shared" ca="1" si="15"/>
        <v>0</v>
      </c>
      <c r="R91" s="7">
        <f t="shared" ca="1" si="15"/>
        <v>0</v>
      </c>
      <c r="S91" s="7">
        <f t="shared" ca="1" si="15"/>
        <v>0</v>
      </c>
      <c r="T91" s="7">
        <f t="shared" ca="1" si="15"/>
        <v>0</v>
      </c>
      <c r="U91" s="7">
        <f t="shared" ca="1" si="15"/>
        <v>0</v>
      </c>
    </row>
    <row r="92" spans="1:21" outlineLevel="1" x14ac:dyDescent="0.25">
      <c r="A92" s="2">
        <v>13</v>
      </c>
      <c r="B92" s="71" t="s">
        <v>39</v>
      </c>
      <c r="C92" s="4" t="s">
        <v>211</v>
      </c>
      <c r="D92" s="33" t="s">
        <v>54</v>
      </c>
      <c r="E92" s="7"/>
      <c r="F92" s="7"/>
      <c r="G92" s="93">
        <f>_xlfn.XLOOKUP($B$4,'Cell &amp; CAM'!$I$7:$U$7,'Cell &amp; CAM'!$I$8:$U$8)*G40</f>
        <v>0</v>
      </c>
      <c r="I92" s="7">
        <f t="shared" ref="I92:U92" ca="1" si="16">I$8*OFFSET($I40,0,I$103-1)</f>
        <v>0</v>
      </c>
      <c r="J92" s="7">
        <f t="shared" ca="1" si="16"/>
        <v>0</v>
      </c>
      <c r="K92" s="7">
        <f t="shared" ca="1" si="16"/>
        <v>0</v>
      </c>
      <c r="L92" s="7">
        <f t="shared" ca="1" si="16"/>
        <v>0</v>
      </c>
      <c r="M92" s="7">
        <f t="shared" ca="1" si="16"/>
        <v>0</v>
      </c>
      <c r="N92" s="7">
        <f t="shared" ca="1" si="16"/>
        <v>0</v>
      </c>
      <c r="O92" s="7">
        <f t="shared" ca="1" si="16"/>
        <v>0</v>
      </c>
      <c r="P92" s="7">
        <f t="shared" ca="1" si="16"/>
        <v>0</v>
      </c>
      <c r="Q92" s="7">
        <f t="shared" ca="1" si="16"/>
        <v>0</v>
      </c>
      <c r="R92" s="7">
        <f t="shared" ca="1" si="16"/>
        <v>0</v>
      </c>
      <c r="S92" s="7">
        <f t="shared" ca="1" si="16"/>
        <v>0</v>
      </c>
      <c r="T92" s="7">
        <f t="shared" ca="1" si="16"/>
        <v>0</v>
      </c>
      <c r="U92" s="7">
        <f t="shared" ca="1" si="16"/>
        <v>0</v>
      </c>
    </row>
    <row r="93" spans="1:21" outlineLevel="1" x14ac:dyDescent="0.25">
      <c r="A93" s="2">
        <v>14</v>
      </c>
      <c r="B93" s="71" t="s">
        <v>40</v>
      </c>
      <c r="C93" s="4" t="s">
        <v>211</v>
      </c>
      <c r="D93" s="33" t="s">
        <v>53</v>
      </c>
      <c r="E93" s="7"/>
      <c r="F93" s="7"/>
      <c r="G93" s="93">
        <f>_xlfn.XLOOKUP($B$4,'Cell &amp; CAM'!$I$7:$U$7,'Cell &amp; CAM'!$I$8:$U$8)*G41</f>
        <v>0</v>
      </c>
      <c r="I93" s="7">
        <f t="shared" ref="I93:U93" ca="1" si="17">I$8*OFFSET($I41,0,I$103-1)</f>
        <v>0</v>
      </c>
      <c r="J93" s="7">
        <f t="shared" ca="1" si="17"/>
        <v>0</v>
      </c>
      <c r="K93" s="7">
        <f t="shared" ca="1" si="17"/>
        <v>0</v>
      </c>
      <c r="L93" s="7">
        <f t="shared" ca="1" si="17"/>
        <v>0</v>
      </c>
      <c r="M93" s="7">
        <f t="shared" ca="1" si="17"/>
        <v>0.1040784531116337</v>
      </c>
      <c r="N93" s="7">
        <f t="shared" ca="1" si="17"/>
        <v>0.10063267863289529</v>
      </c>
      <c r="O93" s="7">
        <f t="shared" ca="1" si="17"/>
        <v>0.10854000429458584</v>
      </c>
      <c r="P93" s="7">
        <f t="shared" ca="1" si="17"/>
        <v>0</v>
      </c>
      <c r="Q93" s="7">
        <f t="shared" ca="1" si="17"/>
        <v>0.12206940904434194</v>
      </c>
      <c r="R93" s="7">
        <f t="shared" ca="1" si="17"/>
        <v>0</v>
      </c>
      <c r="S93" s="7">
        <f t="shared" ca="1" si="17"/>
        <v>0</v>
      </c>
      <c r="T93" s="7">
        <f t="shared" ca="1" si="17"/>
        <v>0</v>
      </c>
      <c r="U93" s="7">
        <f t="shared" ca="1" si="17"/>
        <v>0.17273034727819553</v>
      </c>
    </row>
    <row r="94" spans="1:21" outlineLevel="1" x14ac:dyDescent="0.25">
      <c r="A94" s="2">
        <v>15</v>
      </c>
      <c r="B94" s="71" t="s">
        <v>41</v>
      </c>
      <c r="C94" s="4" t="s">
        <v>211</v>
      </c>
      <c r="D94" s="33" t="s">
        <v>54</v>
      </c>
      <c r="E94" s="7"/>
      <c r="F94" s="7"/>
      <c r="G94" s="93">
        <f>_xlfn.XLOOKUP($B$4,'Cell &amp; CAM'!$I$7:$U$7,'Cell &amp; CAM'!$I$8:$U$8)*G42</f>
        <v>0</v>
      </c>
      <c r="I94" s="7">
        <f t="shared" ref="I94:U94" ca="1" si="18">I$8*OFFSET($I42,0,I$103-1)</f>
        <v>0</v>
      </c>
      <c r="J94" s="7">
        <f t="shared" ca="1" si="18"/>
        <v>0</v>
      </c>
      <c r="K94" s="7">
        <f t="shared" ca="1" si="18"/>
        <v>0</v>
      </c>
      <c r="L94" s="7">
        <f t="shared" ca="1" si="18"/>
        <v>0</v>
      </c>
      <c r="M94" s="7">
        <f t="shared" ca="1" si="18"/>
        <v>0</v>
      </c>
      <c r="N94" s="7">
        <f t="shared" ca="1" si="18"/>
        <v>0</v>
      </c>
      <c r="O94" s="7">
        <f t="shared" ca="1" si="18"/>
        <v>1.7366400687133736E-2</v>
      </c>
      <c r="P94" s="7">
        <f t="shared" ca="1" si="18"/>
        <v>0</v>
      </c>
      <c r="Q94" s="7">
        <f t="shared" ca="1" si="18"/>
        <v>0</v>
      </c>
      <c r="R94" s="7">
        <f t="shared" ca="1" si="18"/>
        <v>0</v>
      </c>
      <c r="S94" s="7">
        <f t="shared" ca="1" si="18"/>
        <v>0</v>
      </c>
      <c r="T94" s="7">
        <f t="shared" ca="1" si="18"/>
        <v>0</v>
      </c>
      <c r="U94" s="7">
        <f t="shared" ca="1" si="18"/>
        <v>0</v>
      </c>
    </row>
    <row r="95" spans="1:21" outlineLevel="1" x14ac:dyDescent="0.25">
      <c r="A95" s="2">
        <v>16</v>
      </c>
      <c r="B95" s="71" t="s">
        <v>42</v>
      </c>
      <c r="C95" s="4" t="s">
        <v>211</v>
      </c>
      <c r="D95" s="33" t="s">
        <v>54</v>
      </c>
      <c r="E95" s="7"/>
      <c r="F95" s="7"/>
      <c r="G95" s="93">
        <f>_xlfn.XLOOKUP($B$4,'Cell &amp; CAM'!$I$7:$U$7,'Cell &amp; CAM'!$I$8:$U$8)*G43</f>
        <v>0</v>
      </c>
      <c r="I95" s="7">
        <f t="shared" ref="I95:U95" ca="1" si="19">I$8*OFFSET($I43,0,I$103-1)</f>
        <v>0</v>
      </c>
      <c r="J95" s="7">
        <f t="shared" ca="1" si="19"/>
        <v>0</v>
      </c>
      <c r="K95" s="7">
        <f t="shared" ca="1" si="19"/>
        <v>0</v>
      </c>
      <c r="L95" s="7">
        <f t="shared" ca="1" si="19"/>
        <v>0</v>
      </c>
      <c r="M95" s="7">
        <f t="shared" ca="1" si="19"/>
        <v>0</v>
      </c>
      <c r="N95" s="7">
        <f t="shared" ca="1" si="19"/>
        <v>0</v>
      </c>
      <c r="O95" s="7">
        <f t="shared" ca="1" si="19"/>
        <v>0</v>
      </c>
      <c r="P95" s="7">
        <f t="shared" ca="1" si="19"/>
        <v>0</v>
      </c>
      <c r="Q95" s="7">
        <f t="shared" ca="1" si="19"/>
        <v>0.16650046565019069</v>
      </c>
      <c r="R95" s="7">
        <f t="shared" ca="1" si="19"/>
        <v>0</v>
      </c>
      <c r="S95" s="7">
        <f t="shared" ca="1" si="19"/>
        <v>0</v>
      </c>
      <c r="T95" s="7">
        <f t="shared" ca="1" si="19"/>
        <v>0</v>
      </c>
      <c r="U95" s="7">
        <f t="shared" ca="1" si="19"/>
        <v>0</v>
      </c>
    </row>
    <row r="96" spans="1:21" outlineLevel="1" x14ac:dyDescent="0.25">
      <c r="A96" s="2">
        <v>17</v>
      </c>
      <c r="B96" s="71" t="s">
        <v>43</v>
      </c>
      <c r="C96" s="4" t="s">
        <v>211</v>
      </c>
      <c r="D96" s="33" t="s">
        <v>54</v>
      </c>
      <c r="E96" s="7"/>
      <c r="F96" s="7"/>
      <c r="G96" s="93">
        <f>_xlfn.XLOOKUP($B$4,'Cell &amp; CAM'!$I$7:$U$7,'Cell &amp; CAM'!$I$8:$U$8)*G44</f>
        <v>0</v>
      </c>
      <c r="I96" s="7">
        <f t="shared" ref="I96:U96" ca="1" si="20">I$8*OFFSET($I44,0,I$103-1)</f>
        <v>0</v>
      </c>
      <c r="J96" s="7">
        <f t="shared" ca="1" si="20"/>
        <v>0</v>
      </c>
      <c r="K96" s="7">
        <f t="shared" ca="1" si="20"/>
        <v>0</v>
      </c>
      <c r="L96" s="7">
        <f t="shared" ca="1" si="20"/>
        <v>0</v>
      </c>
      <c r="M96" s="7">
        <f t="shared" ca="1" si="20"/>
        <v>0</v>
      </c>
      <c r="N96" s="7">
        <f t="shared" ca="1" si="20"/>
        <v>0</v>
      </c>
      <c r="O96" s="7">
        <f t="shared" ca="1" si="20"/>
        <v>0</v>
      </c>
      <c r="P96" s="7">
        <f t="shared" ca="1" si="20"/>
        <v>0</v>
      </c>
      <c r="Q96" s="7">
        <f t="shared" ca="1" si="20"/>
        <v>0.25810223181250774</v>
      </c>
      <c r="R96" s="7">
        <f t="shared" ca="1" si="20"/>
        <v>0</v>
      </c>
      <c r="S96" s="7">
        <f t="shared" ca="1" si="20"/>
        <v>0</v>
      </c>
      <c r="T96" s="7">
        <f t="shared" ca="1" si="20"/>
        <v>0</v>
      </c>
      <c r="U96" s="7">
        <f t="shared" ca="1" si="20"/>
        <v>0</v>
      </c>
    </row>
    <row r="97" spans="1:25" outlineLevel="1" x14ac:dyDescent="0.25">
      <c r="A97" s="2">
        <v>18</v>
      </c>
      <c r="B97" s="71" t="s">
        <v>44</v>
      </c>
      <c r="C97" s="4" t="s">
        <v>211</v>
      </c>
      <c r="D97" s="33" t="s">
        <v>54</v>
      </c>
      <c r="E97" s="7"/>
      <c r="F97" s="7"/>
      <c r="G97" s="93">
        <f>_xlfn.XLOOKUP($B$4,'Cell &amp; CAM'!$I$7:$U$7,'Cell &amp; CAM'!$I$8:$U$8)*G45</f>
        <v>0</v>
      </c>
      <c r="I97" s="7">
        <f t="shared" ref="I97:U97" ca="1" si="21">I$8*OFFSET($I45,0,I$103-1)</f>
        <v>0</v>
      </c>
      <c r="J97" s="7">
        <f t="shared" ca="1" si="21"/>
        <v>0</v>
      </c>
      <c r="K97" s="7">
        <f t="shared" ca="1" si="21"/>
        <v>0</v>
      </c>
      <c r="L97" s="7">
        <f t="shared" ca="1" si="21"/>
        <v>0</v>
      </c>
      <c r="M97" s="7">
        <f t="shared" ca="1" si="21"/>
        <v>0</v>
      </c>
      <c r="N97" s="7">
        <f t="shared" ca="1" si="21"/>
        <v>0</v>
      </c>
      <c r="O97" s="7">
        <f t="shared" ca="1" si="21"/>
        <v>0</v>
      </c>
      <c r="P97" s="7">
        <f t="shared" ca="1" si="21"/>
        <v>0</v>
      </c>
      <c r="Q97" s="7">
        <f t="shared" ca="1" si="21"/>
        <v>0</v>
      </c>
      <c r="R97" s="7">
        <f t="shared" ca="1" si="21"/>
        <v>0</v>
      </c>
      <c r="S97" s="7">
        <f t="shared" ca="1" si="21"/>
        <v>0</v>
      </c>
      <c r="T97" s="7">
        <f t="shared" ca="1" si="21"/>
        <v>0</v>
      </c>
      <c r="U97" s="7">
        <f t="shared" ca="1" si="21"/>
        <v>0</v>
      </c>
    </row>
    <row r="98" spans="1:25" outlineLevel="1" x14ac:dyDescent="0.25">
      <c r="A98" s="2">
        <v>19</v>
      </c>
      <c r="B98" s="71" t="s">
        <v>45</v>
      </c>
      <c r="C98" s="4" t="s">
        <v>211</v>
      </c>
      <c r="D98" s="33" t="s">
        <v>53</v>
      </c>
      <c r="E98" s="7"/>
      <c r="F98" s="7"/>
      <c r="G98" s="93">
        <f>_xlfn.XLOOKUP($B$4,'Cell &amp; CAM'!$I$7:$U$7,'Cell &amp; CAM'!$I$8:$U$8)*G46</f>
        <v>0</v>
      </c>
      <c r="I98" s="7">
        <f t="shared" ref="I98:U98" ca="1" si="22">I$8*OFFSET($I46,0,I$103-1)</f>
        <v>0.10652097599194002</v>
      </c>
      <c r="J98" s="7">
        <f t="shared" ca="1" si="22"/>
        <v>0.17693445428927937</v>
      </c>
      <c r="K98" s="7">
        <f t="shared" ca="1" si="22"/>
        <v>0.17030872298507513</v>
      </c>
      <c r="L98" s="7">
        <f t="shared" ca="1" si="22"/>
        <v>0.16893367717398131</v>
      </c>
      <c r="M98" s="7">
        <f t="shared" ca="1" si="22"/>
        <v>0</v>
      </c>
      <c r="N98" s="7">
        <f t="shared" ca="1" si="22"/>
        <v>0</v>
      </c>
      <c r="O98" s="7">
        <f t="shared" ca="1" si="22"/>
        <v>0</v>
      </c>
      <c r="P98" s="7">
        <f t="shared" ca="1" si="22"/>
        <v>0.10410329606501416</v>
      </c>
      <c r="Q98" s="7">
        <f t="shared" ca="1" si="22"/>
        <v>0</v>
      </c>
      <c r="R98" s="7">
        <f t="shared" ca="1" si="22"/>
        <v>0.10652097599194002</v>
      </c>
      <c r="S98" s="7">
        <f t="shared" ca="1" si="22"/>
        <v>0</v>
      </c>
      <c r="T98" s="7">
        <f t="shared" ca="1" si="22"/>
        <v>0.16271448231705543</v>
      </c>
      <c r="U98" s="7">
        <f t="shared" ca="1" si="22"/>
        <v>0</v>
      </c>
    </row>
    <row r="99" spans="1:25" outlineLevel="1" x14ac:dyDescent="0.25">
      <c r="A99" s="2">
        <v>20</v>
      </c>
      <c r="B99" s="71" t="s">
        <v>46</v>
      </c>
      <c r="C99" s="4" t="s">
        <v>211</v>
      </c>
      <c r="D99" s="33" t="s">
        <v>54</v>
      </c>
      <c r="E99" s="7"/>
      <c r="F99" s="7"/>
      <c r="G99" s="93">
        <f>_xlfn.XLOOKUP($B$4,'Cell &amp; CAM'!$I$7:$U$7,'Cell &amp; CAM'!$I$8:$U$8)*G47</f>
        <v>0</v>
      </c>
      <c r="I99" s="7">
        <f t="shared" ref="I99:U99" ca="1" si="23">I$8*OFFSET($I47,0,I$103-1)</f>
        <v>0.2225179602716208</v>
      </c>
      <c r="J99" s="7">
        <f t="shared" ca="1" si="23"/>
        <v>0</v>
      </c>
      <c r="K99" s="7">
        <f t="shared" ca="1" si="23"/>
        <v>0</v>
      </c>
      <c r="L99" s="7">
        <f t="shared" ca="1" si="23"/>
        <v>0</v>
      </c>
      <c r="M99" s="7">
        <f t="shared" ca="1" si="23"/>
        <v>0</v>
      </c>
      <c r="N99" s="7">
        <f t="shared" ca="1" si="23"/>
        <v>0</v>
      </c>
      <c r="O99" s="7">
        <f t="shared" ca="1" si="23"/>
        <v>0</v>
      </c>
      <c r="P99" s="7">
        <f t="shared" ca="1" si="23"/>
        <v>0</v>
      </c>
      <c r="Q99" s="7">
        <f t="shared" ca="1" si="23"/>
        <v>0</v>
      </c>
      <c r="R99" s="7">
        <f t="shared" ca="1" si="23"/>
        <v>0.2225179602716208</v>
      </c>
      <c r="S99" s="7">
        <f t="shared" ca="1" si="23"/>
        <v>0</v>
      </c>
      <c r="T99" s="7">
        <f t="shared" ca="1" si="23"/>
        <v>0.3399038956851419</v>
      </c>
      <c r="U99" s="7">
        <f t="shared" ca="1" si="23"/>
        <v>0</v>
      </c>
    </row>
    <row r="100" spans="1:25" outlineLevel="1" x14ac:dyDescent="0.25">
      <c r="A100" s="2">
        <v>21</v>
      </c>
      <c r="B100" s="71" t="s">
        <v>47</v>
      </c>
      <c r="C100" s="4" t="s">
        <v>211</v>
      </c>
      <c r="D100" s="33" t="s">
        <v>54</v>
      </c>
      <c r="E100" s="7"/>
      <c r="F100" s="7"/>
      <c r="G100" s="93">
        <f>_xlfn.XLOOKUP($B$4,'Cell &amp; CAM'!$I$7:$U$7,'Cell &amp; CAM'!$I$8:$U$8)*G48</f>
        <v>0</v>
      </c>
      <c r="I100" s="7">
        <f t="shared" ref="I100:U100" ca="1" si="24">I$8*OFFSET($I48,0,I$103-1)</f>
        <v>0.38074099527920646</v>
      </c>
      <c r="J100" s="7">
        <f t="shared" ca="1" si="24"/>
        <v>0</v>
      </c>
      <c r="K100" s="7">
        <f t="shared" ca="1" si="24"/>
        <v>0</v>
      </c>
      <c r="L100" s="7">
        <f t="shared" ca="1" si="24"/>
        <v>0</v>
      </c>
      <c r="M100" s="7">
        <f t="shared" ca="1" si="24"/>
        <v>0</v>
      </c>
      <c r="N100" s="7">
        <f t="shared" ca="1" si="24"/>
        <v>0</v>
      </c>
      <c r="O100" s="7">
        <f t="shared" ca="1" si="24"/>
        <v>0</v>
      </c>
      <c r="P100" s="7">
        <f t="shared" ca="1" si="24"/>
        <v>0</v>
      </c>
      <c r="Q100" s="7">
        <f t="shared" ca="1" si="24"/>
        <v>0</v>
      </c>
      <c r="R100" s="7">
        <f t="shared" ca="1" si="24"/>
        <v>0.38074099527920646</v>
      </c>
      <c r="S100" s="7">
        <f t="shared" ca="1" si="24"/>
        <v>0</v>
      </c>
      <c r="T100" s="7">
        <f t="shared" ca="1" si="24"/>
        <v>0.581595064885851</v>
      </c>
      <c r="U100" s="7">
        <f t="shared" ca="1" si="24"/>
        <v>0</v>
      </c>
    </row>
    <row r="101" spans="1:25" outlineLevel="1" x14ac:dyDescent="0.25">
      <c r="A101" s="2">
        <v>22</v>
      </c>
      <c r="B101" s="71" t="s">
        <v>48</v>
      </c>
      <c r="C101" s="4" t="s">
        <v>211</v>
      </c>
      <c r="D101" s="33" t="s">
        <v>54</v>
      </c>
      <c r="E101" s="7"/>
      <c r="F101" s="7"/>
      <c r="G101" s="93">
        <f>_xlfn.XLOOKUP($B$4,'Cell &amp; CAM'!$I$7:$U$7,'Cell &amp; CAM'!$I$8:$U$8)*G49</f>
        <v>0</v>
      </c>
      <c r="I101" s="7">
        <f t="shared" ref="I101:U101" ca="1" si="25">I$8*OFFSET($I49,0,I$103-1)</f>
        <v>3.1839178353782823E-3</v>
      </c>
      <c r="J101" s="7">
        <f t="shared" ca="1" si="25"/>
        <v>3.2337172073408386E-3</v>
      </c>
      <c r="K101" s="7">
        <f t="shared" ca="1" si="25"/>
        <v>3.1285313665449701E-3</v>
      </c>
      <c r="L101" s="7">
        <f t="shared" ca="1" si="25"/>
        <v>3.1024718968152027E-3</v>
      </c>
      <c r="M101" s="7">
        <f t="shared" ca="1" si="25"/>
        <v>2.9591872601973414E-3</v>
      </c>
      <c r="N101" s="7">
        <f t="shared" ca="1" si="25"/>
        <v>2.8635315058140936E-3</v>
      </c>
      <c r="O101" s="7">
        <f t="shared" ca="1" si="25"/>
        <v>3.0391201202484034E-3</v>
      </c>
      <c r="P101" s="7">
        <f t="shared" ca="1" si="25"/>
        <v>3.5662510953641978E-3</v>
      </c>
      <c r="Q101" s="7">
        <f t="shared" ca="1" si="25"/>
        <v>3.1839178353782823E-3</v>
      </c>
      <c r="R101" s="7">
        <f t="shared" ca="1" si="25"/>
        <v>3.1839178353782823E-3</v>
      </c>
      <c r="S101" s="7">
        <f t="shared" ca="1" si="25"/>
        <v>0</v>
      </c>
      <c r="T101" s="7">
        <f t="shared" ca="1" si="25"/>
        <v>4.8635448323606891E-3</v>
      </c>
      <c r="U101" s="7">
        <f t="shared" ca="1" si="25"/>
        <v>4.9111168338258513E-3</v>
      </c>
    </row>
    <row r="102" spans="1:25" outlineLevel="1" x14ac:dyDescent="0.25">
      <c r="A102" s="2">
        <v>23</v>
      </c>
      <c r="B102" s="71" t="s">
        <v>49</v>
      </c>
      <c r="C102" s="4" t="s">
        <v>211</v>
      </c>
      <c r="D102" s="33" t="s">
        <v>54</v>
      </c>
      <c r="E102" s="27" t="s">
        <v>52</v>
      </c>
      <c r="F102" s="7"/>
      <c r="G102" s="93">
        <f>_xlfn.XLOOKUP($B$4,'Cell &amp; CAM'!$I$7:$U$7,'Cell &amp; CAM'!$I$8:$U$8)*G50</f>
        <v>0</v>
      </c>
      <c r="I102" s="7">
        <f t="shared" ref="I102:U102" ca="1" si="26">I$8*OFFSET($I50,0,I$103-1)</f>
        <v>0</v>
      </c>
      <c r="J102" s="7">
        <f t="shared" ca="1" si="26"/>
        <v>0</v>
      </c>
      <c r="K102" s="7">
        <f t="shared" ca="1" si="26"/>
        <v>0</v>
      </c>
      <c r="L102" s="7">
        <f t="shared" ca="1" si="26"/>
        <v>0</v>
      </c>
      <c r="M102" s="7">
        <f t="shared" ca="1" si="26"/>
        <v>0</v>
      </c>
      <c r="N102" s="7">
        <f t="shared" ca="1" si="26"/>
        <v>0</v>
      </c>
      <c r="O102" s="7">
        <f t="shared" ca="1" si="26"/>
        <v>0</v>
      </c>
      <c r="P102" s="7">
        <f t="shared" ca="1" si="26"/>
        <v>0.44482699517657415</v>
      </c>
      <c r="Q102" s="7">
        <f t="shared" ca="1" si="26"/>
        <v>0</v>
      </c>
      <c r="R102" s="7">
        <f t="shared" ca="1" si="26"/>
        <v>0</v>
      </c>
      <c r="S102" s="7">
        <f t="shared" ca="1" si="26"/>
        <v>0</v>
      </c>
      <c r="T102" s="7">
        <f t="shared" ca="1" si="26"/>
        <v>0</v>
      </c>
      <c r="U102" s="7">
        <f t="shared" ca="1" si="26"/>
        <v>0</v>
      </c>
    </row>
    <row r="103" spans="1:25" customFormat="1" outlineLevel="1" x14ac:dyDescent="0.25">
      <c r="B103" s="31" t="s">
        <v>91</v>
      </c>
      <c r="C103" s="71"/>
      <c r="D103" s="29"/>
      <c r="E103" s="29"/>
      <c r="F103" s="29"/>
      <c r="G103" s="29"/>
      <c r="H103" s="29"/>
      <c r="I103" s="30">
        <v>4</v>
      </c>
      <c r="J103" s="30">
        <v>2</v>
      </c>
      <c r="K103" s="30">
        <v>8</v>
      </c>
      <c r="L103" s="30">
        <v>5</v>
      </c>
      <c r="M103" s="30">
        <v>6</v>
      </c>
      <c r="N103" s="30">
        <v>9</v>
      </c>
      <c r="O103" s="30">
        <v>7</v>
      </c>
      <c r="P103" s="30">
        <v>1</v>
      </c>
      <c r="Q103" s="30">
        <v>3</v>
      </c>
      <c r="R103" s="30">
        <v>4</v>
      </c>
      <c r="S103" s="30">
        <v>11</v>
      </c>
      <c r="T103" s="30">
        <v>4</v>
      </c>
      <c r="U103" s="30">
        <v>6</v>
      </c>
      <c r="V103" s="2"/>
      <c r="W103" s="2"/>
      <c r="X103" s="2"/>
      <c r="Y103" s="2"/>
    </row>
    <row r="104" spans="1:25" ht="4.95" customHeight="1" x14ac:dyDescent="0.25">
      <c r="B104" s="72"/>
      <c r="C104" s="72"/>
      <c r="D104" s="73"/>
      <c r="E104" s="73"/>
      <c r="F104" s="73"/>
      <c r="G104" s="73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</row>
  </sheetData>
  <conditionalFormatting sqref="I19:R19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{C7AB332C-D20D-48C7-848B-B46E5280EB86}</x14:id>
        </ext>
      </extLst>
    </cfRule>
  </conditionalFormatting>
  <conditionalFormatting sqref="I22:R22 T22:U22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{BF4CC2E2-368A-420B-9922-F55B0E2FD8F0}</x14:id>
        </ext>
      </extLst>
    </cfRule>
  </conditionalFormatting>
  <conditionalFormatting sqref="I29:R50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{70550000-7AEF-46D3-84E5-D85397D6AE95}</x14:id>
        </ext>
      </extLst>
    </cfRule>
  </conditionalFormatting>
  <conditionalFormatting sqref="I4:U4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{8A76FF71-E82F-4F0C-8F5F-671B2BE41F30}</x14:id>
        </ext>
      </extLst>
    </cfRule>
  </conditionalFormatting>
  <conditionalFormatting sqref="I23:U23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{111B844E-FA4A-4EE5-B13B-B4C356F4BBD9}</x14:id>
        </ext>
      </extLst>
    </cfRule>
  </conditionalFormatting>
  <conditionalFormatting sqref="I26:U26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{DE948850-5886-4B90-BC5D-421E70AE002C}</x14:id>
        </ext>
      </extLst>
    </cfRule>
  </conditionalFormatting>
  <conditionalFormatting sqref="I66:U7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{723DFC72-58B3-430D-8A65-DA9E4B9260F0}</x14:id>
        </ext>
      </extLst>
    </cfRule>
  </conditionalFormatting>
  <conditionalFormatting sqref="I76:U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{70C04BC9-CC36-488B-B8BC-FFB1D1F0A5EA}</x14:id>
        </ext>
      </extLst>
    </cfRule>
  </conditionalFormatting>
  <conditionalFormatting sqref="I104:U104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{89950260-5E31-4DEA-B81B-9DA729BC8BCB}</x14:id>
        </ext>
      </extLst>
    </cfRule>
  </conditionalFormatting>
  <conditionalFormatting sqref="S19:U19 S20:S2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{7C399029-1BC6-48BC-99B2-13DB2551BF83}</x14:id>
        </ext>
      </extLst>
    </cfRule>
  </conditionalFormatting>
  <dataValidations count="4">
    <dataValidation type="list" allowBlank="1" showInputMessage="1" showErrorMessage="1" sqref="E80:F80" xr:uid="{F02E0CFA-E4B4-4DC1-B03F-447D0B7F6849}">
      <formula1>$I$65:$U$65</formula1>
    </dataValidation>
    <dataValidation type="list" allowBlank="1" showInputMessage="1" showErrorMessage="1" sqref="B4" xr:uid="{4240245A-A327-4C9F-9E40-B5DB46DAEF1C}">
      <formula1>Battery_Chemistry</formula1>
    </dataValidation>
    <dataValidation type="list" allowBlank="1" showInputMessage="1" showErrorMessage="1" sqref="D9:D17 D81:D102 D20:D21 D24:D25" xr:uid="{6E60460A-0C59-481B-868C-2DF95938D161}">
      <formula1>#REF!</formula1>
    </dataValidation>
    <dataValidation type="list" allowBlank="1" showInputMessage="1" showErrorMessage="1" sqref="E19:F19 E23:F23" xr:uid="{0FC980A8-7EA2-45CE-A0F3-39F18D026C42}">
      <formula1>$I$66:$U$66</formula1>
    </dataValidation>
  </dataValidations>
  <pageMargins left="0.7" right="0.7" top="0.75" bottom="0.75" header="0.3" footer="0.3"/>
  <pageSetup paperSize="9" orientation="portrait" horizontalDpi="4294967292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AB332C-D20D-48C7-848B-B46E5280EB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I19:R19</xm:sqref>
        </x14:conditionalFormatting>
        <x14:conditionalFormatting xmlns:xm="http://schemas.microsoft.com/office/excel/2006/main">
          <x14:cfRule type="dataBar" id="{BF4CC2E2-368A-420B-9922-F55B0E2FD8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I22:R22 T22:U22</xm:sqref>
        </x14:conditionalFormatting>
        <x14:conditionalFormatting xmlns:xm="http://schemas.microsoft.com/office/excel/2006/main">
          <x14:cfRule type="dataBar" id="{70550000-7AEF-46D3-84E5-D85397D6AE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I29:R50</xm:sqref>
        </x14:conditionalFormatting>
        <x14:conditionalFormatting xmlns:xm="http://schemas.microsoft.com/office/excel/2006/main">
          <x14:cfRule type="dataBar" id="{8A76FF71-E82F-4F0C-8F5F-671B2BE41F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I4:U4</xm:sqref>
        </x14:conditionalFormatting>
        <x14:conditionalFormatting xmlns:xm="http://schemas.microsoft.com/office/excel/2006/main">
          <x14:cfRule type="dataBar" id="{111B844E-FA4A-4EE5-B13B-B4C356F4BB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I23:U23</xm:sqref>
        </x14:conditionalFormatting>
        <x14:conditionalFormatting xmlns:xm="http://schemas.microsoft.com/office/excel/2006/main">
          <x14:cfRule type="dataBar" id="{DE948850-5886-4B90-BC5D-421E70AE00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I26:U26</xm:sqref>
        </x14:conditionalFormatting>
        <x14:conditionalFormatting xmlns:xm="http://schemas.microsoft.com/office/excel/2006/main">
          <x14:cfRule type="dataBar" id="{723DFC72-58B3-430D-8A65-DA9E4B9260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I66:U75</xm:sqref>
        </x14:conditionalFormatting>
        <x14:conditionalFormatting xmlns:xm="http://schemas.microsoft.com/office/excel/2006/main">
          <x14:cfRule type="dataBar" id="{70C04BC9-CC36-488B-B8BC-FFB1D1F0A5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I76:U76</xm:sqref>
        </x14:conditionalFormatting>
        <x14:conditionalFormatting xmlns:xm="http://schemas.microsoft.com/office/excel/2006/main">
          <x14:cfRule type="dataBar" id="{89950260-5E31-4DEA-B81B-9DA729BC8B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I104:U104</xm:sqref>
        </x14:conditionalFormatting>
        <x14:conditionalFormatting xmlns:xm="http://schemas.microsoft.com/office/excel/2006/main">
          <x14:cfRule type="dataBar" id="{7C399029-1BC6-48BC-99B2-13DB2551BF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S19:U19 S20:S22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0F6468B-889F-44FB-8E4E-68581D5D67C7}">
          <x14:formula1>
            <xm:f>'Background data'!$D$92:$D$113</xm:f>
          </x14:formula1>
          <xm:sqref>F58:F60 F52:F54</xm:sqref>
        </x14:dataValidation>
        <x14:dataValidation type="list" allowBlank="1" showInputMessage="1" showErrorMessage="1" xr:uid="{226C2968-4E16-440D-A96E-DE0FBED05784}">
          <x14:formula1>
            <xm:f>'Background data'!$D$12:$D$36</xm:f>
          </x14:formula1>
          <xm:sqref>E29:E50 F17 E102 F10 F12:F13 E9</xm:sqref>
        </x14:dataValidation>
        <x14:dataValidation type="list" allowBlank="1" showInputMessage="1" showErrorMessage="1" xr:uid="{D0BFBAD1-EC1A-48F8-B02E-4390BA61B8E5}">
          <x14:formula1>
            <xm:f>'Background data'!$D$12:$D$86</xm:f>
          </x14:formula1>
          <xm:sqref>F29:F50 F11 F14:F16</xm:sqref>
        </x14:dataValidation>
        <x14:dataValidation type="list" allowBlank="1" showInputMessage="1" showErrorMessage="1" xr:uid="{8BCC2A86-59D6-44FE-950F-C33465ED0FE0}">
          <x14:formula1>
            <xm:f>'Background data'!$D$47:$D$89</xm:f>
          </x14:formula1>
          <xm:sqref>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763F-A52D-4FA9-A03A-699FEDC3EA57}">
  <sheetPr>
    <tabColor theme="1"/>
  </sheetPr>
  <dimension ref="B1:I63"/>
  <sheetViews>
    <sheetView showGridLines="0" workbookViewId="0">
      <selection activeCell="C2" sqref="C2"/>
    </sheetView>
  </sheetViews>
  <sheetFormatPr baseColWidth="10" defaultRowHeight="14.3" x14ac:dyDescent="0.25"/>
  <cols>
    <col min="1" max="1" width="1.625" style="2" customWidth="1"/>
    <col min="2" max="2" width="30" style="2" customWidth="1"/>
    <col min="3" max="5" width="13.125" style="2" customWidth="1"/>
    <col min="6" max="6" width="1.625" style="2" customWidth="1"/>
    <col min="7" max="9" width="11.125" style="2" customWidth="1"/>
    <col min="10" max="16384" width="11" style="2"/>
  </cols>
  <sheetData>
    <row r="1" spans="2:8" customFormat="1" ht="4.95" customHeight="1" x14ac:dyDescent="0.25"/>
    <row r="2" spans="2:8" customFormat="1" ht="19.05" x14ac:dyDescent="0.35">
      <c r="B2" s="110" t="s">
        <v>435</v>
      </c>
    </row>
    <row r="3" spans="2:8" customFormat="1" ht="4.95" customHeight="1" x14ac:dyDescent="0.25"/>
    <row r="4" spans="2:8" x14ac:dyDescent="0.25">
      <c r="B4" s="120" t="s">
        <v>438</v>
      </c>
      <c r="C4" s="124">
        <v>500</v>
      </c>
      <c r="E4"/>
      <c r="F4" s="20"/>
    </row>
    <row r="5" spans="2:8" x14ac:dyDescent="0.25">
      <c r="B5" s="120" t="s">
        <v>442</v>
      </c>
      <c r="C5" s="28"/>
      <c r="D5" s="78" t="s">
        <v>443</v>
      </c>
      <c r="E5"/>
      <c r="F5" s="20"/>
    </row>
    <row r="6" spans="2:8" x14ac:dyDescent="0.25">
      <c r="B6" s="120" t="s">
        <v>444</v>
      </c>
      <c r="C6" s="28" t="s">
        <v>242</v>
      </c>
      <c r="E6"/>
      <c r="F6" s="20"/>
    </row>
    <row r="7" spans="2:8" x14ac:dyDescent="0.25">
      <c r="B7" s="120" t="s">
        <v>453</v>
      </c>
      <c r="C7" s="15" t="s">
        <v>12</v>
      </c>
      <c r="E7" s="26"/>
      <c r="F7" s="20"/>
    </row>
    <row r="8" spans="2:8" customFormat="1" x14ac:dyDescent="0.25">
      <c r="B8" s="2"/>
    </row>
    <row r="9" spans="2:8" customFormat="1" x14ac:dyDescent="0.25">
      <c r="B9" s="116" t="s">
        <v>452</v>
      </c>
      <c r="C9" s="121" t="s">
        <v>454</v>
      </c>
      <c r="D9" s="23" t="s">
        <v>466</v>
      </c>
      <c r="E9" s="143" t="s">
        <v>430</v>
      </c>
      <c r="F9" s="2"/>
    </row>
    <row r="10" spans="2:8" customFormat="1" x14ac:dyDescent="0.25">
      <c r="B10" s="120" t="s">
        <v>74</v>
      </c>
      <c r="C10" s="7">
        <f>$C$4/_xlfn.XLOOKUP($C$7,'GREET input data'!$C$11:$J$11,'GREET input data'!$C$12:$J$12)</f>
        <v>1.5859981044594138</v>
      </c>
      <c r="D10" s="88">
        <f>C10*_xlfn.XLOOKUP($E10,'Background data'!$D:$D,'Background data'!J:J)</f>
        <v>7102.0995117692546</v>
      </c>
      <c r="E10" s="169" t="s">
        <v>465</v>
      </c>
      <c r="F10" s="169"/>
      <c r="G10" s="169"/>
      <c r="H10" s="169"/>
    </row>
    <row r="11" spans="2:8" customFormat="1" x14ac:dyDescent="0.25">
      <c r="B11" s="120" t="s">
        <v>245</v>
      </c>
      <c r="C11" s="105">
        <v>0.05</v>
      </c>
      <c r="D11" s="88">
        <f>C11*_xlfn.XLOOKUP($E11,'Background data'!$D:$D,'Background data'!J:J)</f>
        <v>727.18700000000001</v>
      </c>
      <c r="E11" s="168" t="s">
        <v>428</v>
      </c>
      <c r="F11" s="168"/>
      <c r="G11" s="168"/>
      <c r="H11" s="168"/>
    </row>
    <row r="12" spans="2:8" customFormat="1" x14ac:dyDescent="0.25">
      <c r="B12" s="4" t="s">
        <v>450</v>
      </c>
      <c r="C12" s="7">
        <f>IF(ISBLANK($C$5),$C$4/_xlfn.XLOOKUP($C$6,$C$23:$D$23,$C$32:$D$32),C5-C10-C11)</f>
        <v>1.1111111111111112</v>
      </c>
      <c r="D12" s="88">
        <f>SUM(D13:D19)</f>
        <v>1545.3206404821285</v>
      </c>
      <c r="E12" s="168"/>
      <c r="F12" s="168"/>
      <c r="G12" s="168"/>
      <c r="H12" s="168"/>
    </row>
    <row r="13" spans="2:8" customFormat="1" x14ac:dyDescent="0.25">
      <c r="B13" s="71" t="s">
        <v>242</v>
      </c>
      <c r="C13" s="118">
        <f t="shared" ref="C13:C18" si="0">C$12*_xlfn.XLOOKUP($C$6,$C$23:$D$23,$C24:$D24)</f>
        <v>0.66666666666666663</v>
      </c>
      <c r="D13" s="88">
        <f>C13*_xlfn.XLOOKUP($E13,'Background data'!$D:$D,'Background data'!J:J)</f>
        <v>1002.0175246130927</v>
      </c>
      <c r="E13" s="169" t="s">
        <v>551</v>
      </c>
      <c r="F13" s="169"/>
      <c r="G13" s="169"/>
      <c r="H13" s="169"/>
    </row>
    <row r="14" spans="2:8" customFormat="1" x14ac:dyDescent="0.25">
      <c r="B14" s="71" t="s">
        <v>238</v>
      </c>
      <c r="C14" s="118">
        <f t="shared" si="0"/>
        <v>0.27777777777777779</v>
      </c>
      <c r="D14" s="88">
        <f>C14*_xlfn.XLOOKUP($E14,'Background data'!$D:$D,'Background data'!J:J)</f>
        <v>352.13160282635852</v>
      </c>
      <c r="E14" s="168" t="s">
        <v>343</v>
      </c>
      <c r="F14" s="168"/>
      <c r="G14" s="168"/>
      <c r="H14" s="168"/>
    </row>
    <row r="15" spans="2:8" customFormat="1" x14ac:dyDescent="0.25">
      <c r="B15" s="71" t="s">
        <v>253</v>
      </c>
      <c r="C15" s="118">
        <f t="shared" si="0"/>
        <v>0</v>
      </c>
      <c r="D15" s="88">
        <f>C15*_xlfn.XLOOKUP($E15,'Background data'!$D:$D,'Background data'!J:J)</f>
        <v>0</v>
      </c>
      <c r="E15" s="168" t="s">
        <v>341</v>
      </c>
      <c r="F15" s="168"/>
      <c r="G15" s="168"/>
      <c r="H15" s="168"/>
    </row>
    <row r="16" spans="2:8" customFormat="1" x14ac:dyDescent="0.25">
      <c r="B16" s="71" t="s">
        <v>241</v>
      </c>
      <c r="C16" s="118">
        <f t="shared" si="0"/>
        <v>0.11111111111111112</v>
      </c>
      <c r="D16" s="88">
        <f>C16*_xlfn.XLOOKUP($E16,'Background data'!$D:$D,'Background data'!J:J)</f>
        <v>21.842420502783611</v>
      </c>
      <c r="E16" s="168" t="s">
        <v>339</v>
      </c>
      <c r="F16" s="168"/>
      <c r="G16" s="168"/>
      <c r="H16" s="168"/>
    </row>
    <row r="17" spans="2:8" customFormat="1" x14ac:dyDescent="0.25">
      <c r="B17" s="71" t="s">
        <v>243</v>
      </c>
      <c r="C17" s="118">
        <f t="shared" si="0"/>
        <v>2.2222222222222223E-2</v>
      </c>
      <c r="D17" s="88">
        <f>C17*_xlfn.XLOOKUP($E17,'Background data'!$D:$D,'Background data'!J:J)</f>
        <v>10.451697500607489</v>
      </c>
      <c r="E17" s="168" t="s">
        <v>351</v>
      </c>
      <c r="F17" s="168"/>
      <c r="G17" s="168"/>
      <c r="H17" s="168"/>
    </row>
    <row r="18" spans="2:8" customFormat="1" x14ac:dyDescent="0.25">
      <c r="B18" s="71" t="s">
        <v>448</v>
      </c>
      <c r="C18" s="118">
        <f t="shared" si="0"/>
        <v>1.6666666666666666E-2</v>
      </c>
      <c r="D18" s="88">
        <f>C18*_xlfn.XLOOKUP($E18,'Background data'!$D:$D,'Background data'!J:J)</f>
        <v>155.41666666666666</v>
      </c>
      <c r="E18" s="168" t="s">
        <v>306</v>
      </c>
      <c r="F18" s="168"/>
      <c r="G18" s="168"/>
      <c r="H18" s="168"/>
    </row>
    <row r="19" spans="2:8" customFormat="1" x14ac:dyDescent="0.25">
      <c r="B19" s="71" t="s">
        <v>449</v>
      </c>
      <c r="C19" s="118">
        <f>C18</f>
        <v>1.6666666666666666E-2</v>
      </c>
      <c r="D19" s="88">
        <f>C19*_xlfn.XLOOKUP($E19,'Background data'!$D:$D,'Background data'!J:J)</f>
        <v>3.4607283726196036</v>
      </c>
      <c r="E19" s="168" t="s">
        <v>337</v>
      </c>
      <c r="F19" s="168"/>
      <c r="G19" s="168"/>
      <c r="H19" s="168"/>
    </row>
    <row r="20" spans="2:8" customFormat="1" x14ac:dyDescent="0.25">
      <c r="B20" s="122" t="s">
        <v>451</v>
      </c>
      <c r="C20" s="123">
        <f>SUM(C10:C12)</f>
        <v>2.747109215570525</v>
      </c>
      <c r="D20" s="126">
        <f>SUM(D10:D12)</f>
        <v>9374.607152251383</v>
      </c>
      <c r="E20" s="2"/>
      <c r="F20" s="2"/>
      <c r="G20" s="2"/>
    </row>
    <row r="21" spans="2:8" customFormat="1" x14ac:dyDescent="0.25">
      <c r="B21" s="2"/>
      <c r="E21" s="2"/>
    </row>
    <row r="22" spans="2:8" customFormat="1" x14ac:dyDescent="0.25">
      <c r="B22" s="75" t="s">
        <v>467</v>
      </c>
      <c r="E22" s="2"/>
    </row>
    <row r="23" spans="2:8" customFormat="1" x14ac:dyDescent="0.25">
      <c r="B23" s="23" t="s">
        <v>439</v>
      </c>
      <c r="C23" s="63" t="s">
        <v>242</v>
      </c>
      <c r="D23" s="63" t="s">
        <v>303</v>
      </c>
      <c r="E23" s="2"/>
    </row>
    <row r="24" spans="2:8" customFormat="1" x14ac:dyDescent="0.25">
      <c r="B24" s="4" t="s">
        <v>242</v>
      </c>
      <c r="C24" s="115">
        <v>0.6</v>
      </c>
      <c r="D24" s="115">
        <v>0.15</v>
      </c>
      <c r="E24" s="2"/>
      <c r="F24" s="2"/>
    </row>
    <row r="25" spans="2:8" customFormat="1" x14ac:dyDescent="0.25">
      <c r="B25" s="4" t="s">
        <v>238</v>
      </c>
      <c r="C25" s="115">
        <v>0.25</v>
      </c>
      <c r="D25" s="115">
        <v>0.45</v>
      </c>
      <c r="E25" s="2"/>
      <c r="F25" s="2"/>
    </row>
    <row r="26" spans="2:8" customFormat="1" x14ac:dyDescent="0.25">
      <c r="B26" s="4" t="s">
        <v>253</v>
      </c>
      <c r="C26" s="115"/>
      <c r="D26" s="115">
        <v>0.15</v>
      </c>
      <c r="E26" s="2"/>
      <c r="F26" s="2"/>
    </row>
    <row r="27" spans="2:8" customFormat="1" x14ac:dyDescent="0.25">
      <c r="B27" s="4" t="s">
        <v>241</v>
      </c>
      <c r="C27" s="115">
        <v>0.1</v>
      </c>
      <c r="D27" s="115">
        <v>0.12</v>
      </c>
      <c r="E27" s="2"/>
      <c r="F27" s="2"/>
    </row>
    <row r="28" spans="2:8" customFormat="1" x14ac:dyDescent="0.25">
      <c r="B28" s="4" t="s">
        <v>243</v>
      </c>
      <c r="C28" s="115">
        <v>0.02</v>
      </c>
      <c r="D28" s="115">
        <v>7.0000000000000007E-2</v>
      </c>
      <c r="E28" s="2"/>
      <c r="F28" s="2"/>
    </row>
    <row r="29" spans="2:8" customFormat="1" x14ac:dyDescent="0.25">
      <c r="B29" s="71" t="s">
        <v>448</v>
      </c>
      <c r="C29" s="115">
        <v>1.4999999999999999E-2</v>
      </c>
      <c r="D29" s="115">
        <v>0.03</v>
      </c>
      <c r="E29" s="2"/>
      <c r="F29" s="2"/>
    </row>
    <row r="30" spans="2:8" customFormat="1" x14ac:dyDescent="0.25">
      <c r="B30" s="71" t="s">
        <v>449</v>
      </c>
      <c r="C30" s="115">
        <v>1.4999999999999999E-2</v>
      </c>
      <c r="D30" s="115">
        <v>0.03</v>
      </c>
      <c r="E30" s="2"/>
      <c r="F30" s="2"/>
    </row>
    <row r="31" spans="2:8" customFormat="1" x14ac:dyDescent="0.25">
      <c r="B31" s="9" t="s">
        <v>68</v>
      </c>
      <c r="C31" s="44">
        <f>SUM(C24:C30)</f>
        <v>1</v>
      </c>
      <c r="D31" s="44">
        <f>SUM(D24:D30)</f>
        <v>1</v>
      </c>
      <c r="E31" s="2"/>
      <c r="F31" s="2"/>
    </row>
    <row r="32" spans="2:8" customFormat="1" x14ac:dyDescent="0.25">
      <c r="B32" s="4" t="s">
        <v>446</v>
      </c>
      <c r="C32" s="119">
        <v>450</v>
      </c>
      <c r="D32" s="119">
        <v>550</v>
      </c>
      <c r="E32" s="2"/>
      <c r="F32" s="2"/>
    </row>
    <row r="33" spans="2:9" customFormat="1" x14ac:dyDescent="0.25">
      <c r="B33" s="46" t="s">
        <v>468</v>
      </c>
    </row>
    <row r="34" spans="2:9" customFormat="1" x14ac:dyDescent="0.25">
      <c r="B34" s="62" t="s">
        <v>441</v>
      </c>
    </row>
    <row r="35" spans="2:9" customFormat="1" x14ac:dyDescent="0.25">
      <c r="B35" s="117" t="s">
        <v>252</v>
      </c>
    </row>
    <row r="36" spans="2:9" x14ac:dyDescent="0.25">
      <c r="C36" s="87" t="s">
        <v>246</v>
      </c>
      <c r="D36" s="87" t="s">
        <v>247</v>
      </c>
      <c r="E36" s="87" t="s">
        <v>248</v>
      </c>
      <c r="G36" s="87" t="s">
        <v>246</v>
      </c>
      <c r="H36" s="87" t="s">
        <v>247</v>
      </c>
      <c r="I36" s="87" t="s">
        <v>248</v>
      </c>
    </row>
    <row r="37" spans="2:9" x14ac:dyDescent="0.25">
      <c r="B37" s="4" t="s">
        <v>258</v>
      </c>
      <c r="C37" s="7">
        <v>2.9853999999999998</v>
      </c>
      <c r="D37" s="7">
        <v>3.26</v>
      </c>
      <c r="E37" s="7">
        <v>2.8538999999999999</v>
      </c>
    </row>
    <row r="38" spans="2:9" x14ac:dyDescent="0.25">
      <c r="B38" s="4" t="s">
        <v>256</v>
      </c>
      <c r="C38" s="85">
        <v>500</v>
      </c>
      <c r="D38" s="85">
        <v>540</v>
      </c>
      <c r="E38" s="85">
        <v>360</v>
      </c>
    </row>
    <row r="39" spans="2:9" x14ac:dyDescent="0.25">
      <c r="B39" s="4" t="s">
        <v>437</v>
      </c>
      <c r="C39" s="85">
        <f>C38/C37</f>
        <v>167.48174448985063</v>
      </c>
      <c r="D39" s="85">
        <f t="shared" ref="D39:E39" si="1">D38/D37</f>
        <v>165.64417177914112</v>
      </c>
      <c r="E39" s="85">
        <f t="shared" si="1"/>
        <v>126.1431725007884</v>
      </c>
    </row>
    <row r="40" spans="2:9" x14ac:dyDescent="0.25">
      <c r="B40" s="4" t="s">
        <v>447</v>
      </c>
      <c r="C40" s="85">
        <f>C38*1000/C60</f>
        <v>254.427030327702</v>
      </c>
      <c r="D40" s="85">
        <f>D38*1000/D60</f>
        <v>238.93805309734512</v>
      </c>
      <c r="E40" s="85">
        <f t="shared" ref="E40" si="2">E38*1000/E60</f>
        <v>192.71948608137046</v>
      </c>
    </row>
    <row r="41" spans="2:9" x14ac:dyDescent="0.25">
      <c r="B41" s="4" t="s">
        <v>446</v>
      </c>
      <c r="C41" s="85">
        <f>C38*1000/C62</f>
        <v>501.90724754065445</v>
      </c>
      <c r="D41" s="85">
        <f t="shared" ref="D41:E41" si="3">D38*1000/D62</f>
        <v>553.27868852459028</v>
      </c>
      <c r="E41" s="85">
        <f t="shared" si="3"/>
        <v>394.04553415061304</v>
      </c>
    </row>
    <row r="42" spans="2:9" x14ac:dyDescent="0.25">
      <c r="B42" s="4" t="s">
        <v>255</v>
      </c>
      <c r="C42" s="37">
        <v>49.13</v>
      </c>
      <c r="D42" s="37">
        <v>45.2</v>
      </c>
      <c r="E42" s="37">
        <v>46.7</v>
      </c>
    </row>
    <row r="43" spans="2:9" x14ac:dyDescent="0.25">
      <c r="B43" s="4" t="s">
        <v>257</v>
      </c>
      <c r="C43" s="4">
        <v>40</v>
      </c>
      <c r="D43" s="4">
        <v>50</v>
      </c>
      <c r="E43" s="4">
        <v>40</v>
      </c>
    </row>
    <row r="44" spans="2:9" x14ac:dyDescent="0.25">
      <c r="B44" s="76" t="s">
        <v>259</v>
      </c>
      <c r="C44" s="20"/>
      <c r="D44" s="20"/>
      <c r="E44" s="20"/>
    </row>
    <row r="45" spans="2:9" x14ac:dyDescent="0.25">
      <c r="B45" s="4" t="s">
        <v>242</v>
      </c>
      <c r="C45" s="88">
        <v>520.20000000000005</v>
      </c>
      <c r="D45" s="88">
        <v>112.8</v>
      </c>
      <c r="E45" s="88">
        <v>666.19999999999993</v>
      </c>
      <c r="G45" s="39">
        <f t="shared" ref="G45:G62" si="4">C45/C$61</f>
        <v>0.17424800696724058</v>
      </c>
      <c r="H45" s="39">
        <f t="shared" ref="H45:H62" si="5">D45/D$61</f>
        <v>3.4605473064179652E-2</v>
      </c>
      <c r="I45" s="39">
        <f t="shared" ref="I45:I62" si="6">E45/E$61</f>
        <v>0.23476759347358775</v>
      </c>
    </row>
    <row r="46" spans="2:9" x14ac:dyDescent="0.25">
      <c r="B46" s="4" t="s">
        <v>238</v>
      </c>
      <c r="C46" s="88">
        <v>111.69999999999999</v>
      </c>
      <c r="D46" s="88">
        <v>316.33</v>
      </c>
      <c r="E46" s="88">
        <v>144.6</v>
      </c>
      <c r="G46" s="39">
        <f t="shared" si="4"/>
        <v>3.7415421719032622E-2</v>
      </c>
      <c r="H46" s="39">
        <f t="shared" si="5"/>
        <v>9.7045649772978276E-2</v>
      </c>
      <c r="I46" s="39">
        <f t="shared" si="6"/>
        <v>5.0956760756951054E-2</v>
      </c>
    </row>
    <row r="47" spans="2:9" x14ac:dyDescent="0.25">
      <c r="B47" s="4" t="s">
        <v>253</v>
      </c>
      <c r="C47" s="88"/>
      <c r="D47" s="88">
        <v>135.57</v>
      </c>
      <c r="E47" s="88">
        <v>0</v>
      </c>
      <c r="G47" s="39">
        <f t="shared" si="4"/>
        <v>0</v>
      </c>
      <c r="H47" s="39">
        <f t="shared" si="5"/>
        <v>4.1590992759847831E-2</v>
      </c>
      <c r="I47" s="39">
        <f t="shared" si="6"/>
        <v>0</v>
      </c>
    </row>
    <row r="48" spans="2:9" x14ac:dyDescent="0.25">
      <c r="B48" s="4" t="s">
        <v>254</v>
      </c>
      <c r="C48" s="88"/>
      <c r="D48" s="88">
        <v>3.5</v>
      </c>
      <c r="E48" s="88">
        <v>0</v>
      </c>
      <c r="G48" s="39">
        <f t="shared" si="4"/>
        <v>0</v>
      </c>
      <c r="H48" s="39">
        <f t="shared" si="5"/>
        <v>1.0737513805374893E-3</v>
      </c>
      <c r="I48" s="39">
        <f t="shared" si="6"/>
        <v>0</v>
      </c>
    </row>
    <row r="49" spans="2:9" x14ac:dyDescent="0.25">
      <c r="B49" s="4" t="s">
        <v>239</v>
      </c>
      <c r="C49" s="88">
        <v>32.9</v>
      </c>
      <c r="D49" s="88">
        <v>1</v>
      </c>
      <c r="E49" s="88">
        <v>0</v>
      </c>
      <c r="G49" s="39">
        <f t="shared" si="4"/>
        <v>1.1020298787432169E-2</v>
      </c>
      <c r="H49" s="39">
        <f t="shared" si="5"/>
        <v>3.0678610872499691E-4</v>
      </c>
      <c r="I49" s="39">
        <f t="shared" si="6"/>
        <v>0</v>
      </c>
    </row>
    <row r="50" spans="2:9" x14ac:dyDescent="0.25">
      <c r="B50" s="4" t="s">
        <v>240</v>
      </c>
      <c r="C50" s="88">
        <v>7.4</v>
      </c>
      <c r="D50" s="88">
        <v>0</v>
      </c>
      <c r="E50" s="88">
        <v>2</v>
      </c>
      <c r="G50" s="39">
        <f t="shared" si="4"/>
        <v>2.4787298184497891E-3</v>
      </c>
      <c r="H50" s="39">
        <f t="shared" si="5"/>
        <v>0</v>
      </c>
      <c r="I50" s="39">
        <f t="shared" si="6"/>
        <v>7.0479613771716541E-4</v>
      </c>
    </row>
    <row r="51" spans="2:9" x14ac:dyDescent="0.25">
      <c r="B51" s="4" t="s">
        <v>241</v>
      </c>
      <c r="C51" s="88">
        <v>94.2</v>
      </c>
      <c r="D51" s="88">
        <v>105.3</v>
      </c>
      <c r="E51" s="88">
        <v>0</v>
      </c>
      <c r="G51" s="39">
        <f t="shared" si="4"/>
        <v>3.1553560661887851E-2</v>
      </c>
      <c r="H51" s="39">
        <f t="shared" si="5"/>
        <v>3.2304577248742174E-2</v>
      </c>
      <c r="I51" s="39">
        <f t="shared" si="6"/>
        <v>0</v>
      </c>
    </row>
    <row r="52" spans="2:9" x14ac:dyDescent="0.25">
      <c r="B52" s="4" t="s">
        <v>243</v>
      </c>
      <c r="C52" s="88">
        <v>17.399999999999999</v>
      </c>
      <c r="D52" s="88">
        <v>65.2</v>
      </c>
      <c r="E52" s="88">
        <v>8.6999999999999993</v>
      </c>
      <c r="G52" s="39">
        <f t="shared" si="4"/>
        <v>5.8283647082468006E-3</v>
      </c>
      <c r="H52" s="39">
        <f t="shared" si="5"/>
        <v>2.0002454288869802E-2</v>
      </c>
      <c r="I52" s="39">
        <f t="shared" si="6"/>
        <v>3.065863199069669E-3</v>
      </c>
    </row>
    <row r="53" spans="2:9" x14ac:dyDescent="0.25">
      <c r="B53" s="4" t="s">
        <v>244</v>
      </c>
      <c r="C53" s="88">
        <v>20</v>
      </c>
      <c r="D53" s="88">
        <v>81.199999999999989</v>
      </c>
      <c r="E53" s="88">
        <v>3.2</v>
      </c>
      <c r="G53" s="39">
        <f t="shared" si="4"/>
        <v>6.6992697795940238E-3</v>
      </c>
      <c r="H53" s="39">
        <f t="shared" si="5"/>
        <v>2.4911032028469747E-2</v>
      </c>
      <c r="I53" s="39">
        <f t="shared" si="6"/>
        <v>1.1276738203474647E-3</v>
      </c>
    </row>
    <row r="54" spans="2:9" x14ac:dyDescent="0.25">
      <c r="B54" s="4" t="s">
        <v>250</v>
      </c>
      <c r="C54" s="88"/>
      <c r="D54" s="88">
        <v>2.8</v>
      </c>
      <c r="E54" s="88">
        <v>0</v>
      </c>
      <c r="G54" s="39">
        <f t="shared" si="4"/>
        <v>0</v>
      </c>
      <c r="H54" s="39">
        <f t="shared" si="5"/>
        <v>8.5900110442999143E-4</v>
      </c>
      <c r="I54" s="39">
        <f t="shared" si="6"/>
        <v>0</v>
      </c>
    </row>
    <row r="55" spans="2:9" x14ac:dyDescent="0.25">
      <c r="B55" s="4" t="s">
        <v>251</v>
      </c>
      <c r="C55" s="88"/>
      <c r="D55" s="88">
        <v>27.6</v>
      </c>
      <c r="E55" s="88">
        <v>3.8</v>
      </c>
      <c r="G55" s="39">
        <f t="shared" si="4"/>
        <v>0</v>
      </c>
      <c r="H55" s="39">
        <f t="shared" si="5"/>
        <v>8.4672966008099166E-3</v>
      </c>
      <c r="I55" s="39">
        <f t="shared" si="6"/>
        <v>1.3391126616626142E-3</v>
      </c>
    </row>
    <row r="56" spans="2:9" x14ac:dyDescent="0.25">
      <c r="B56" s="4" t="s">
        <v>245</v>
      </c>
      <c r="C56" s="88">
        <v>24</v>
      </c>
      <c r="D56" s="88">
        <v>23.6</v>
      </c>
      <c r="E56" s="88">
        <v>56.1</v>
      </c>
      <c r="G56" s="39">
        <f t="shared" si="4"/>
        <v>8.0391237355128282E-3</v>
      </c>
      <c r="H56" s="39">
        <f t="shared" si="5"/>
        <v>7.2401521659099279E-3</v>
      </c>
      <c r="I56" s="39">
        <f t="shared" si="6"/>
        <v>1.9769531662966487E-2</v>
      </c>
    </row>
    <row r="57" spans="2:9" x14ac:dyDescent="0.25">
      <c r="B57" s="4" t="s">
        <v>249</v>
      </c>
      <c r="C57" s="88">
        <v>2157.6</v>
      </c>
      <c r="D57" s="88">
        <v>2384.6999999999998</v>
      </c>
      <c r="E57" s="90">
        <f>SUM(E58:E60)</f>
        <v>1953.1</v>
      </c>
      <c r="G57" s="39">
        <f t="shared" si="4"/>
        <v>0.72271722382260328</v>
      </c>
      <c r="H57" s="39">
        <f t="shared" si="5"/>
        <v>0.73159283347650017</v>
      </c>
      <c r="I57" s="39">
        <f t="shared" si="6"/>
        <v>0.68826866828769784</v>
      </c>
    </row>
    <row r="58" spans="2:9" x14ac:dyDescent="0.25">
      <c r="B58" s="71" t="s">
        <v>260</v>
      </c>
      <c r="C58" s="90">
        <f>80%*($C$57-$C$60)</f>
        <v>153.9199999999999</v>
      </c>
      <c r="D58" s="88">
        <v>103.6</v>
      </c>
      <c r="E58" s="88">
        <v>67.900000000000006</v>
      </c>
      <c r="G58" s="39">
        <f t="shared" si="4"/>
        <v>5.1557580223755575E-2</v>
      </c>
      <c r="H58" s="39">
        <f t="shared" si="5"/>
        <v>3.1783040863909678E-2</v>
      </c>
      <c r="I58" s="39">
        <f t="shared" si="6"/>
        <v>2.3927828875497766E-2</v>
      </c>
    </row>
    <row r="59" spans="2:9" x14ac:dyDescent="0.25">
      <c r="B59" s="71" t="s">
        <v>261</v>
      </c>
      <c r="C59" s="90">
        <f>20%*($C$57-$C$60)</f>
        <v>38.479999999999976</v>
      </c>
      <c r="D59" s="88">
        <v>21.1</v>
      </c>
      <c r="E59" s="88">
        <v>17.2</v>
      </c>
      <c r="G59" s="39">
        <f t="shared" si="4"/>
        <v>1.2889395055938894E-2</v>
      </c>
      <c r="H59" s="39">
        <f t="shared" si="5"/>
        <v>6.4731868940974355E-3</v>
      </c>
      <c r="I59" s="39">
        <f t="shared" si="6"/>
        <v>6.0612467843676222E-3</v>
      </c>
    </row>
    <row r="60" spans="2:9" x14ac:dyDescent="0.25">
      <c r="B60" s="71" t="s">
        <v>74</v>
      </c>
      <c r="C60" s="88">
        <f>C42*C43</f>
        <v>1965.2</v>
      </c>
      <c r="D60" s="88">
        <f>D42*D43</f>
        <v>2260</v>
      </c>
      <c r="E60" s="88">
        <f>E42*E43</f>
        <v>1868</v>
      </c>
      <c r="G60" s="39">
        <f t="shared" si="4"/>
        <v>0.65827024854290883</v>
      </c>
      <c r="H60" s="39">
        <f t="shared" si="5"/>
        <v>0.69333660571849309</v>
      </c>
      <c r="I60" s="39">
        <f t="shared" si="6"/>
        <v>0.65827959262783242</v>
      </c>
    </row>
    <row r="61" spans="2:9" x14ac:dyDescent="0.25">
      <c r="B61" s="9" t="s">
        <v>68</v>
      </c>
      <c r="C61" s="89">
        <f>SUM(C45:C57)</f>
        <v>2985.4</v>
      </c>
      <c r="D61" s="89">
        <f>SUM(D45:D57)</f>
        <v>3259.6</v>
      </c>
      <c r="E61" s="89">
        <f>SUM(E45:E57)</f>
        <v>2837.7</v>
      </c>
      <c r="G61" s="44">
        <f t="shared" si="4"/>
        <v>1</v>
      </c>
      <c r="H61" s="44">
        <f t="shared" si="5"/>
        <v>1</v>
      </c>
      <c r="I61" s="44">
        <f t="shared" si="6"/>
        <v>1</v>
      </c>
    </row>
    <row r="62" spans="2:9" x14ac:dyDescent="0.25">
      <c r="B62" s="9" t="s">
        <v>445</v>
      </c>
      <c r="C62" s="89">
        <f>C61-C60-C56</f>
        <v>996.2</v>
      </c>
      <c r="D62" s="89">
        <f t="shared" ref="D62:E62" si="7">D61-D60-D56</f>
        <v>975.99999999999989</v>
      </c>
      <c r="E62" s="89">
        <f t="shared" si="7"/>
        <v>913.5999999999998</v>
      </c>
      <c r="G62" s="44">
        <f t="shared" si="4"/>
        <v>0.33369062772157837</v>
      </c>
      <c r="H62" s="44">
        <f t="shared" si="5"/>
        <v>0.29942324211559695</v>
      </c>
      <c r="I62" s="44">
        <f t="shared" si="6"/>
        <v>0.32195087570920106</v>
      </c>
    </row>
    <row r="63" spans="2:9" x14ac:dyDescent="0.25">
      <c r="B63" s="2" t="s">
        <v>440</v>
      </c>
    </row>
  </sheetData>
  <mergeCells count="10">
    <mergeCell ref="E16:H16"/>
    <mergeCell ref="E17:H17"/>
    <mergeCell ref="E18:H18"/>
    <mergeCell ref="E19:H19"/>
    <mergeCell ref="E10:H10"/>
    <mergeCell ref="E11:H11"/>
    <mergeCell ref="E12:H12"/>
    <mergeCell ref="E13:H13"/>
    <mergeCell ref="E14:H14"/>
    <mergeCell ref="E15:H15"/>
  </mergeCells>
  <dataValidations count="1">
    <dataValidation type="list" allowBlank="1" showInputMessage="1" showErrorMessage="1" sqref="C6" xr:uid="{AB322EE0-1EC3-45CE-A18B-4FBAB4D15D7A}">
      <formula1>"Aluminium,Plastic"</formula1>
    </dataValidation>
  </dataValidations>
  <hyperlinks>
    <hyperlink ref="B35" r:id="rId1" xr:uid="{80492393-87FA-40F4-A82D-1059B634BB5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67CA57A-D3C5-4217-AB8A-EEA027671270}">
          <x14:formula1>
            <xm:f>'GREET input data'!$C$11:$J$11</xm:f>
          </x14:formula1>
          <xm:sqref>C7</xm:sqref>
        </x14:dataValidation>
        <x14:dataValidation type="list" allowBlank="1" showInputMessage="1" showErrorMessage="1" xr:uid="{FDCFCE80-3BFF-429F-81C6-6D13C1096891}">
          <x14:formula1>
            <xm:f>'Background data'!$D$12:$D$87</xm:f>
          </x14:formula1>
          <xm:sqref>E12</xm:sqref>
        </x14:dataValidation>
        <x14:dataValidation type="list" allowBlank="1" showInputMessage="1" showErrorMessage="1" xr:uid="{AAE82005-531F-4356-BB78-E4824CAFEA59}">
          <x14:formula1>
            <xm:f>'Background data'!$D$20:$D$26</xm:f>
          </x14:formula1>
          <xm:sqref>E13</xm:sqref>
        </x14:dataValidation>
        <x14:dataValidation type="list" allowBlank="1" showInputMessage="1" showErrorMessage="1" xr:uid="{C2914D4F-A477-41F5-88E6-A09F69CB2154}">
          <x14:formula1>
            <xm:f>'Background data'!$D$28:$D$38</xm:f>
          </x14:formula1>
          <xm:sqref>E14:E16 E19</xm:sqref>
        </x14:dataValidation>
        <x14:dataValidation type="list" allowBlank="1" showInputMessage="1" showErrorMessage="1" xr:uid="{B04B8B9F-E579-4649-9316-591C25A8C125}">
          <x14:formula1>
            <xm:f>'Background data'!$D$40:$D$44</xm:f>
          </x14:formula1>
          <xm:sqref>E11 E18</xm:sqref>
        </x14:dataValidation>
        <x14:dataValidation type="list" allowBlank="1" showInputMessage="1" showErrorMessage="1" xr:uid="{C9D3A744-CF83-4523-B09F-F007F7203407}">
          <x14:formula1>
            <xm:f>'Background data'!$D$12:$D$18</xm:f>
          </x14:formula1>
          <xm:sqref>E17</xm:sqref>
        </x14:dataValidation>
        <x14:dataValidation type="list" allowBlank="1" showInputMessage="1" showErrorMessage="1" xr:uid="{DB63D02F-9882-4AB5-87BD-583852A0625A}">
          <x14:formula1>
            <xm:f>'Background data'!$D$5:$D$10</xm:f>
          </x14:formula1>
          <xm:sqref>E10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97629-C458-41EB-921B-D8EB6068A865}">
  <sheetPr>
    <tabColor theme="1"/>
    <outlinePr summaryBelow="0" summaryRight="0"/>
  </sheetPr>
  <dimension ref="A1:N52"/>
  <sheetViews>
    <sheetView showGridLines="0" zoomScaleNormal="100" workbookViewId="0">
      <selection activeCell="N15" sqref="N15"/>
    </sheetView>
  </sheetViews>
  <sheetFormatPr baseColWidth="10" defaultRowHeight="14.3" outlineLevelRow="1" x14ac:dyDescent="0.25"/>
  <cols>
    <col min="1" max="1" width="27.875" style="2" bestFit="1" customWidth="1"/>
    <col min="2" max="2" width="12" style="2" bestFit="1" customWidth="1"/>
    <col min="3" max="4" width="13.5" style="2" customWidth="1"/>
    <col min="5" max="6" width="11" style="2"/>
    <col min="7" max="7" width="13.375" style="2" bestFit="1" customWidth="1"/>
    <col min="8" max="8" width="36.125" style="2" customWidth="1"/>
    <col min="9" max="16384" width="11" style="2"/>
  </cols>
  <sheetData>
    <row r="1" spans="1:14" x14ac:dyDescent="0.25">
      <c r="A1" s="61" t="s">
        <v>189</v>
      </c>
      <c r="B1" s="170" t="s">
        <v>187</v>
      </c>
      <c r="C1" s="171"/>
    </row>
    <row r="3" spans="1:14" s="100" customFormat="1" ht="28.55" x14ac:dyDescent="0.25">
      <c r="A3" s="98" t="s">
        <v>95</v>
      </c>
      <c r="B3" s="99" t="s">
        <v>386</v>
      </c>
      <c r="C3" s="99" t="s">
        <v>384</v>
      </c>
      <c r="D3" s="99" t="s">
        <v>385</v>
      </c>
      <c r="E3" s="99" t="s">
        <v>97</v>
      </c>
      <c r="F3" s="99" t="s">
        <v>98</v>
      </c>
      <c r="G3" s="99" t="s">
        <v>383</v>
      </c>
      <c r="H3" s="99" t="s">
        <v>382</v>
      </c>
      <c r="I3" s="99" t="s">
        <v>99</v>
      </c>
      <c r="J3" s="99" t="s">
        <v>100</v>
      </c>
      <c r="K3" s="99" t="s">
        <v>101</v>
      </c>
      <c r="L3" s="99" t="s">
        <v>102</v>
      </c>
      <c r="M3" s="99" t="s">
        <v>103</v>
      </c>
      <c r="N3" s="99" t="s">
        <v>104</v>
      </c>
    </row>
    <row r="4" spans="1:14" outlineLevel="1" x14ac:dyDescent="0.25">
      <c r="A4" s="41" t="s">
        <v>105</v>
      </c>
      <c r="B4" s="40">
        <f>'Cell &amp; CAM'!K66</f>
        <v>0.27500377655524016</v>
      </c>
      <c r="C4" s="39">
        <f>B43</f>
        <v>0</v>
      </c>
      <c r="D4" s="40">
        <f>B4*C4</f>
        <v>0</v>
      </c>
      <c r="E4" s="56">
        <v>0.2</v>
      </c>
      <c r="F4" s="54">
        <v>0.8</v>
      </c>
      <c r="G4" s="4">
        <f>$D4*(1-$E4)</f>
        <v>0</v>
      </c>
      <c r="H4" s="4" t="s">
        <v>307</v>
      </c>
      <c r="I4" s="7"/>
      <c r="J4" s="7"/>
      <c r="K4" s="96">
        <f>_xlfn.XLOOKUP($H4,'Background data'!$D$1:$D$124,'Background data'!H$1:H$124)</f>
        <v>0</v>
      </c>
      <c r="L4" s="96">
        <f>_xlfn.XLOOKUP($H4,'Background data'!$D$1:$D$124,'Background data'!J$1:J$124)</f>
        <v>0</v>
      </c>
      <c r="M4" s="37">
        <f t="shared" ref="M4:M15" si="0">$D4*(1-$E4)*(I4-$F4*K4)</f>
        <v>0</v>
      </c>
      <c r="N4" s="37">
        <f t="shared" ref="N4:N15" si="1">$D4*(1-$E4)*(J4-$F4*L4)</f>
        <v>0</v>
      </c>
    </row>
    <row r="5" spans="1:14" outlineLevel="1" x14ac:dyDescent="0.25">
      <c r="A5" s="41" t="s">
        <v>1</v>
      </c>
      <c r="B5" s="40">
        <f>'Cell &amp; CAM'!K67</f>
        <v>2.1387997548312308E-2</v>
      </c>
      <c r="C5" s="39">
        <f t="shared" ref="C5:C13" si="2">B44</f>
        <v>0</v>
      </c>
      <c r="D5" s="40">
        <f t="shared" ref="D5:D12" si="3">B5*C5</f>
        <v>0</v>
      </c>
      <c r="E5" s="56">
        <v>0.2</v>
      </c>
      <c r="F5" s="54">
        <v>1</v>
      </c>
      <c r="G5" s="4">
        <f t="shared" ref="G5:G15" si="4">$D5*(1-$E5)</f>
        <v>0</v>
      </c>
      <c r="H5" s="4" t="s">
        <v>554</v>
      </c>
      <c r="I5" s="7"/>
      <c r="J5" s="7"/>
      <c r="K5" s="96">
        <f>_xlfn.XLOOKUP($H5,'Background data'!$D$1:$D$124,'Background data'!H$1:H$124)</f>
        <v>767</v>
      </c>
      <c r="L5" s="96">
        <f>_xlfn.XLOOKUP($H5,'Background data'!$D$1:$D$124,'Background data'!J$1:J$124)</f>
        <v>767</v>
      </c>
      <c r="M5" s="37">
        <f t="shared" si="0"/>
        <v>0</v>
      </c>
      <c r="N5" s="37">
        <f t="shared" si="1"/>
        <v>0</v>
      </c>
    </row>
    <row r="6" spans="1:14" outlineLevel="1" x14ac:dyDescent="0.25">
      <c r="A6" s="41" t="s">
        <v>2</v>
      </c>
      <c r="B6" s="40">
        <f>'Cell &amp; CAM'!K68</f>
        <v>0.11984523737718673</v>
      </c>
      <c r="C6" s="39">
        <f t="shared" si="2"/>
        <v>0.9</v>
      </c>
      <c r="D6" s="40">
        <f t="shared" si="3"/>
        <v>0.10786071363946806</v>
      </c>
      <c r="E6" s="56">
        <v>0.2</v>
      </c>
      <c r="F6" s="54">
        <v>1</v>
      </c>
      <c r="G6" s="42">
        <f>$D6*(1-$E6)</f>
        <v>8.628857091157445E-2</v>
      </c>
      <c r="H6" s="4" t="s">
        <v>306</v>
      </c>
      <c r="I6" s="7"/>
      <c r="J6" s="7"/>
      <c r="K6" s="96">
        <f>_xlfn.XLOOKUP($H6,'Background data'!$D$1:$D$124,'Background data'!H$1:H$124)</f>
        <v>9325</v>
      </c>
      <c r="L6" s="96">
        <f>_xlfn.XLOOKUP($H6,'Background data'!$D$1:$D$124,'Background data'!J$1:J$124)</f>
        <v>9325</v>
      </c>
      <c r="M6" s="37">
        <f t="shared" si="0"/>
        <v>-804.64092375043174</v>
      </c>
      <c r="N6" s="37">
        <f t="shared" si="1"/>
        <v>-804.64092375043174</v>
      </c>
    </row>
    <row r="7" spans="1:14" outlineLevel="1" x14ac:dyDescent="0.25">
      <c r="A7" s="41" t="s">
        <v>3</v>
      </c>
      <c r="B7" s="40">
        <f>'Cell &amp; CAM'!K69</f>
        <v>0</v>
      </c>
      <c r="C7" s="39">
        <f t="shared" si="2"/>
        <v>0</v>
      </c>
      <c r="D7" s="40">
        <f t="shared" si="3"/>
        <v>0</v>
      </c>
      <c r="E7" s="56">
        <v>0.2</v>
      </c>
      <c r="F7" s="54">
        <v>1</v>
      </c>
      <c r="G7" s="4">
        <f t="shared" si="4"/>
        <v>0</v>
      </c>
      <c r="H7" s="4" t="s">
        <v>352</v>
      </c>
      <c r="I7" s="7"/>
      <c r="J7" s="7"/>
      <c r="K7" s="96">
        <f>_xlfn.XLOOKUP($H7,'Background data'!$D$1:$D$124,'Background data'!H$1:H$124)</f>
        <v>111</v>
      </c>
      <c r="L7" s="96">
        <f>_xlfn.XLOOKUP($H7,'Background data'!$D$1:$D$124,'Background data'!J$1:J$124)</f>
        <v>111</v>
      </c>
      <c r="M7" s="37">
        <f t="shared" si="0"/>
        <v>0</v>
      </c>
      <c r="N7" s="37">
        <f t="shared" si="1"/>
        <v>0</v>
      </c>
    </row>
    <row r="8" spans="1:14" outlineLevel="1" x14ac:dyDescent="0.25">
      <c r="A8" s="41" t="s">
        <v>109</v>
      </c>
      <c r="B8" s="40">
        <f ca="1">'Cell &amp; CAM'!K70</f>
        <v>0.15648622380506955</v>
      </c>
      <c r="C8" s="39">
        <f t="shared" si="2"/>
        <v>0.9</v>
      </c>
      <c r="D8" s="40">
        <f t="shared" ca="1" si="3"/>
        <v>0.14083760142456259</v>
      </c>
      <c r="E8" s="56">
        <v>0.2</v>
      </c>
      <c r="F8" s="54">
        <v>0.8</v>
      </c>
      <c r="G8" s="4">
        <f t="shared" ca="1" si="4"/>
        <v>0.11267008113965007</v>
      </c>
      <c r="H8" s="4" t="s">
        <v>367</v>
      </c>
      <c r="I8" s="7"/>
      <c r="J8" s="7"/>
      <c r="K8" s="96">
        <f>_xlfn.XLOOKUP($H8,'Background data'!$D$1:$D$124,'Background data'!H$1:H$124)</f>
        <v>0</v>
      </c>
      <c r="L8" s="96">
        <f>_xlfn.XLOOKUP($H8,'Background data'!$D$1:$D$124,'Background data'!J$1:J$124)</f>
        <v>0</v>
      </c>
      <c r="M8" s="37">
        <f t="shared" ca="1" si="0"/>
        <v>0</v>
      </c>
      <c r="N8" s="37">
        <f t="shared" ca="1" si="1"/>
        <v>0</v>
      </c>
    </row>
    <row r="9" spans="1:14" outlineLevel="1" x14ac:dyDescent="0.25">
      <c r="A9" s="41" t="s">
        <v>111</v>
      </c>
      <c r="B9" s="40">
        <f ca="1">'Cell &amp; CAM'!K71</f>
        <v>0.38813452451427177</v>
      </c>
      <c r="C9" s="39">
        <f t="shared" si="2"/>
        <v>0.9</v>
      </c>
      <c r="D9" s="40">
        <f t="shared" ca="1" si="3"/>
        <v>0.34932107206284463</v>
      </c>
      <c r="E9" s="56">
        <v>0.2</v>
      </c>
      <c r="F9" s="54">
        <v>0.8</v>
      </c>
      <c r="G9" s="4">
        <f t="shared" ca="1" si="4"/>
        <v>0.27945685765027573</v>
      </c>
      <c r="H9" s="4" t="s">
        <v>366</v>
      </c>
      <c r="I9" s="7"/>
      <c r="J9" s="7"/>
      <c r="K9" s="96">
        <f>_xlfn.XLOOKUP($H9,'Background data'!$D$1:$D$124,'Background data'!H$1:H$124)</f>
        <v>0</v>
      </c>
      <c r="L9" s="96">
        <f>_xlfn.XLOOKUP($H9,'Background data'!$D$1:$D$124,'Background data'!J$1:J$124)</f>
        <v>0</v>
      </c>
      <c r="M9" s="37">
        <f t="shared" ca="1" si="0"/>
        <v>0</v>
      </c>
      <c r="N9" s="37">
        <f t="shared" ca="1" si="1"/>
        <v>0</v>
      </c>
    </row>
    <row r="10" spans="1:14" outlineLevel="1" x14ac:dyDescent="0.25">
      <c r="A10" s="41" t="s">
        <v>112</v>
      </c>
      <c r="B10" s="40">
        <f ca="1">'Cell &amp; CAM'!K72</f>
        <v>0.2209576886583251</v>
      </c>
      <c r="C10" s="39">
        <f t="shared" si="2"/>
        <v>0</v>
      </c>
      <c r="D10" s="40">
        <f t="shared" ca="1" si="3"/>
        <v>0</v>
      </c>
      <c r="E10" s="56">
        <v>0.2</v>
      </c>
      <c r="F10" s="54">
        <v>0.8</v>
      </c>
      <c r="G10" s="4">
        <f t="shared" ca="1" si="4"/>
        <v>0</v>
      </c>
      <c r="H10" s="4" t="s">
        <v>380</v>
      </c>
      <c r="I10" s="7"/>
      <c r="J10" s="7"/>
      <c r="K10" s="96">
        <f>_xlfn.XLOOKUP($H10,'Background data'!$D$1:$D$124,'Background data'!H$1:H$124)</f>
        <v>0</v>
      </c>
      <c r="L10" s="96">
        <f>_xlfn.XLOOKUP($H10,'Background data'!$D$1:$D$124,'Background data'!J$1:J$124)</f>
        <v>0</v>
      </c>
      <c r="M10" s="37">
        <f t="shared" ca="1" si="0"/>
        <v>0</v>
      </c>
      <c r="N10" s="37">
        <f t="shared" ca="1" si="1"/>
        <v>0</v>
      </c>
    </row>
    <row r="11" spans="1:14" outlineLevel="1" x14ac:dyDescent="0.25">
      <c r="A11" s="41" t="s">
        <v>113</v>
      </c>
      <c r="B11" s="40">
        <f ca="1">'Cell &amp; CAM'!K73</f>
        <v>0.17030872298507513</v>
      </c>
      <c r="C11" s="39">
        <f t="shared" si="2"/>
        <v>0.5</v>
      </c>
      <c r="D11" s="40">
        <f t="shared" ca="1" si="3"/>
        <v>8.5154361492537564E-2</v>
      </c>
      <c r="E11" s="56">
        <v>0.2</v>
      </c>
      <c r="F11" s="54">
        <v>0.8</v>
      </c>
      <c r="G11" s="42">
        <f t="shared" ca="1" si="4"/>
        <v>6.8123489194030051E-2</v>
      </c>
      <c r="H11" s="4" t="s">
        <v>381</v>
      </c>
      <c r="I11" s="7"/>
      <c r="J11" s="7"/>
      <c r="K11" s="96">
        <f>_xlfn.XLOOKUP($H11,'Background data'!$D$1:$D$124,'Background data'!H$1:H$124)</f>
        <v>0</v>
      </c>
      <c r="L11" s="96">
        <f>_xlfn.XLOOKUP($H11,'Background data'!$D$1:$D$124,'Background data'!J$1:J$124)</f>
        <v>0</v>
      </c>
      <c r="M11" s="37">
        <f t="shared" ca="1" si="0"/>
        <v>0</v>
      </c>
      <c r="N11" s="37">
        <f t="shared" ca="1" si="1"/>
        <v>0</v>
      </c>
    </row>
    <row r="12" spans="1:14" outlineLevel="1" x14ac:dyDescent="0.25">
      <c r="A12" s="41" t="s">
        <v>4</v>
      </c>
      <c r="B12" s="40">
        <f>'Cell &amp; CAM'!K74</f>
        <v>0</v>
      </c>
      <c r="C12" s="39">
        <f t="shared" si="2"/>
        <v>0</v>
      </c>
      <c r="D12" s="40">
        <f t="shared" si="3"/>
        <v>0</v>
      </c>
      <c r="E12" s="56">
        <v>0.2</v>
      </c>
      <c r="F12" s="54">
        <v>0.8</v>
      </c>
      <c r="G12" s="4">
        <f t="shared" si="4"/>
        <v>0</v>
      </c>
      <c r="H12" s="41" t="s">
        <v>4</v>
      </c>
      <c r="I12" s="7"/>
      <c r="J12" s="7"/>
      <c r="K12" s="4">
        <v>0</v>
      </c>
      <c r="L12" s="4"/>
      <c r="M12" s="37">
        <f t="shared" si="0"/>
        <v>0</v>
      </c>
      <c r="N12" s="37">
        <f t="shared" si="1"/>
        <v>0</v>
      </c>
    </row>
    <row r="13" spans="1:14" outlineLevel="1" x14ac:dyDescent="0.25">
      <c r="A13" s="41" t="s">
        <v>115</v>
      </c>
      <c r="B13" s="40">
        <f ca="1">'Cell &amp; CAM'!K75</f>
        <v>0.59273088424619247</v>
      </c>
      <c r="C13" s="39">
        <f t="shared" si="2"/>
        <v>0</v>
      </c>
      <c r="D13" s="40">
        <f ca="1">D16-SUM(D4:D12)</f>
        <v>0.31682625138058718</v>
      </c>
      <c r="E13" s="56">
        <v>0.2</v>
      </c>
      <c r="F13" s="54">
        <v>0.8</v>
      </c>
      <c r="G13" s="42">
        <f t="shared" ca="1" si="4"/>
        <v>0.25346100110446973</v>
      </c>
      <c r="H13" s="41" t="s">
        <v>115</v>
      </c>
      <c r="I13" s="7"/>
      <c r="J13" s="7"/>
      <c r="K13" s="4">
        <v>0</v>
      </c>
      <c r="L13" s="4"/>
      <c r="M13" s="37">
        <f t="shared" ca="1" si="0"/>
        <v>0</v>
      </c>
      <c r="N13" s="37">
        <f t="shared" ca="1" si="1"/>
        <v>0</v>
      </c>
    </row>
    <row r="14" spans="1:14" outlineLevel="1" x14ac:dyDescent="0.25">
      <c r="A14" s="41" t="s">
        <v>207</v>
      </c>
      <c r="B14" s="7"/>
      <c r="C14" s="39"/>
      <c r="D14" s="40">
        <v>1</v>
      </c>
      <c r="E14" s="56">
        <v>0.2</v>
      </c>
      <c r="F14" s="54"/>
      <c r="G14" s="42">
        <f t="shared" si="4"/>
        <v>0.8</v>
      </c>
      <c r="H14" s="41" t="s">
        <v>207</v>
      </c>
      <c r="I14" s="7"/>
      <c r="J14" s="7" t="e">
        <f>'BOM EOL - DA'!#REF!</f>
        <v>#REF!</v>
      </c>
      <c r="K14" s="4"/>
      <c r="L14" s="4"/>
      <c r="M14" s="37">
        <f t="shared" ref="M14" si="5">$D14*(1-$E14)*(I14-$F14*K14)</f>
        <v>0</v>
      </c>
      <c r="N14" s="37" t="e">
        <f t="shared" ref="N14" si="6">$D14*(1-$E14)*(J14-$F14*L14)</f>
        <v>#REF!</v>
      </c>
    </row>
    <row r="15" spans="1:14" outlineLevel="1" x14ac:dyDescent="0.25">
      <c r="A15" s="41" t="s">
        <v>208</v>
      </c>
      <c r="B15" s="7"/>
      <c r="C15" s="39"/>
      <c r="D15" s="40">
        <v>1</v>
      </c>
      <c r="E15" s="56">
        <v>0.2</v>
      </c>
      <c r="F15" s="54"/>
      <c r="G15" s="42">
        <f t="shared" si="4"/>
        <v>0.8</v>
      </c>
      <c r="H15" s="41" t="s">
        <v>208</v>
      </c>
      <c r="I15" s="7">
        <f>'BOM EOL - DA'!F$23+('BOM EOL - DA'!F$45*$B$41)</f>
        <v>75.093425882352932</v>
      </c>
      <c r="J15" s="7" t="e">
        <f>('BOM EOL - DA'!#REF!)*$B$41</f>
        <v>#REF!</v>
      </c>
      <c r="K15" s="4"/>
      <c r="L15" s="4"/>
      <c r="M15" s="37">
        <f t="shared" si="0"/>
        <v>60.074740705882348</v>
      </c>
      <c r="N15" s="37" t="e">
        <f t="shared" si="1"/>
        <v>#REF!</v>
      </c>
    </row>
    <row r="16" spans="1:14" x14ac:dyDescent="0.25">
      <c r="A16" s="5" t="s">
        <v>5</v>
      </c>
      <c r="B16" s="43">
        <f ca="1">SUM(B4:B13)</f>
        <v>1.9448550556896731</v>
      </c>
      <c r="C16" s="44">
        <f ca="1">SUMPRODUCT(B4:B13,C4:C13)/B16</f>
        <v>0.35127232058799868</v>
      </c>
      <c r="D16" s="45">
        <v>1</v>
      </c>
      <c r="E16" s="45"/>
      <c r="F16" s="45"/>
      <c r="G16" s="45"/>
      <c r="H16" s="45"/>
      <c r="I16" s="45"/>
      <c r="J16" s="45"/>
      <c r="K16" s="45"/>
      <c r="L16" s="45"/>
      <c r="M16" s="19">
        <f ca="1">SUM(M4:M15)</f>
        <v>-744.56618304454935</v>
      </c>
      <c r="N16" s="19" t="e">
        <f ca="1">SUM(N4:N15)</f>
        <v>#REF!</v>
      </c>
    </row>
    <row r="17" spans="1:14" x14ac:dyDescent="0.25">
      <c r="A17" s="41" t="s">
        <v>116</v>
      </c>
      <c r="B17" s="37">
        <v>0.8</v>
      </c>
      <c r="M17" s="19">
        <f ca="1">M16*$B17</f>
        <v>-595.65294643563948</v>
      </c>
      <c r="N17" s="19" t="e">
        <f ca="1">N16*$B17</f>
        <v>#REF!</v>
      </c>
    </row>
    <row r="19" spans="1:14" s="100" customFormat="1" ht="28.55" x14ac:dyDescent="0.25">
      <c r="A19" s="98" t="s">
        <v>117</v>
      </c>
      <c r="B19" s="99" t="s">
        <v>96</v>
      </c>
      <c r="C19" s="99" t="s">
        <v>384</v>
      </c>
      <c r="D19" s="99" t="s">
        <v>385</v>
      </c>
      <c r="E19" s="99" t="s">
        <v>97</v>
      </c>
      <c r="F19" s="99" t="s">
        <v>98</v>
      </c>
      <c r="G19" s="99" t="s">
        <v>383</v>
      </c>
      <c r="H19" s="99" t="s">
        <v>382</v>
      </c>
      <c r="I19" s="99" t="s">
        <v>99</v>
      </c>
      <c r="J19" s="99" t="s">
        <v>100</v>
      </c>
      <c r="K19" s="99" t="s">
        <v>101</v>
      </c>
      <c r="L19" s="99" t="s">
        <v>102</v>
      </c>
      <c r="M19" s="99" t="s">
        <v>103</v>
      </c>
      <c r="N19" s="99" t="s">
        <v>104</v>
      </c>
    </row>
    <row r="20" spans="1:14" outlineLevel="1" x14ac:dyDescent="0.25">
      <c r="A20" s="41" t="s">
        <v>105</v>
      </c>
      <c r="B20" s="40">
        <f>'Cell &amp; CAM'!P66</f>
        <v>0.20166062807227622</v>
      </c>
      <c r="C20" s="39">
        <f>B43</f>
        <v>0</v>
      </c>
      <c r="D20" s="40">
        <f>B20*C20</f>
        <v>0</v>
      </c>
      <c r="E20" s="56">
        <v>0.2</v>
      </c>
      <c r="F20" s="54">
        <v>0.8</v>
      </c>
      <c r="G20" s="4">
        <f>$D20*(1-$E20)</f>
        <v>0</v>
      </c>
      <c r="H20" s="4" t="s">
        <v>307</v>
      </c>
      <c r="I20" s="7"/>
      <c r="J20" s="7"/>
      <c r="K20" s="96">
        <f>_xlfn.XLOOKUP($H20,'Background data'!$D$1:$D$124,'Background data'!H$1:H$124)</f>
        <v>0</v>
      </c>
      <c r="L20" s="96">
        <f>_xlfn.XLOOKUP($H20,'Background data'!$D$1:$D$124,'Background data'!J$1:J$124)</f>
        <v>0</v>
      </c>
      <c r="M20" s="37">
        <f t="shared" ref="M20:M31" si="7">$D20*(1-$E20)*(I20-$F20*K20)</f>
        <v>0</v>
      </c>
      <c r="N20" s="37">
        <f t="shared" ref="N20:N31" si="8">$D20*(1-$E20)*(J20-$F20*L20)</f>
        <v>0</v>
      </c>
    </row>
    <row r="21" spans="1:14" outlineLevel="1" x14ac:dyDescent="0.25">
      <c r="A21" s="41" t="s">
        <v>1</v>
      </c>
      <c r="B21" s="40">
        <f>'Cell &amp; CAM'!P67</f>
        <v>2.0228001813565915E-2</v>
      </c>
      <c r="C21" s="39">
        <f t="shared" ref="C21:C29" si="9">B44</f>
        <v>0</v>
      </c>
      <c r="D21" s="40">
        <f t="shared" ref="D21:D28" si="10">B21*C21</f>
        <v>0</v>
      </c>
      <c r="E21" s="56">
        <v>0.2</v>
      </c>
      <c r="F21" s="54">
        <v>1</v>
      </c>
      <c r="G21" s="4">
        <f t="shared" ref="G21:G31" si="11">$D21*(1-$E21)</f>
        <v>0</v>
      </c>
      <c r="H21" s="4" t="s">
        <v>554</v>
      </c>
      <c r="I21" s="7"/>
      <c r="J21" s="7"/>
      <c r="K21" s="96">
        <f>_xlfn.XLOOKUP($H21,'Background data'!$D$1:$D$124,'Background data'!H$1:H$124)</f>
        <v>767</v>
      </c>
      <c r="L21" s="96">
        <f>_xlfn.XLOOKUP($H21,'Background data'!$D$1:$D$124,'Background data'!J$1:J$124)</f>
        <v>767</v>
      </c>
      <c r="M21" s="37">
        <f t="shared" si="7"/>
        <v>0</v>
      </c>
      <c r="N21" s="37">
        <f t="shared" si="8"/>
        <v>0</v>
      </c>
    </row>
    <row r="22" spans="1:14" outlineLevel="1" x14ac:dyDescent="0.25">
      <c r="A22" s="41" t="s">
        <v>2</v>
      </c>
      <c r="B22" s="40">
        <f>'Cell &amp; CAM'!P68</f>
        <v>0.12960022626503873</v>
      </c>
      <c r="C22" s="39">
        <f t="shared" si="9"/>
        <v>0.9</v>
      </c>
      <c r="D22" s="40">
        <f t="shared" si="10"/>
        <v>0.11664020363853486</v>
      </c>
      <c r="E22" s="56">
        <v>0.2</v>
      </c>
      <c r="F22" s="54">
        <v>1</v>
      </c>
      <c r="G22" s="70">
        <f>$D22*(1-$E22)</f>
        <v>9.3312162910827889E-2</v>
      </c>
      <c r="H22" s="4" t="s">
        <v>306</v>
      </c>
      <c r="I22" s="7"/>
      <c r="J22" s="7"/>
      <c r="K22" s="96">
        <f>_xlfn.XLOOKUP($H22,'Background data'!$D$1:$D$124,'Background data'!H$1:H$124)</f>
        <v>9325</v>
      </c>
      <c r="L22" s="96">
        <f>_xlfn.XLOOKUP($H22,'Background data'!$D$1:$D$124,'Background data'!J$1:J$124)</f>
        <v>9325</v>
      </c>
      <c r="M22" s="37">
        <f t="shared" si="7"/>
        <v>-870.13591914347012</v>
      </c>
      <c r="N22" s="37">
        <f t="shared" si="8"/>
        <v>-870.13591914347012</v>
      </c>
    </row>
    <row r="23" spans="1:14" outlineLevel="1" x14ac:dyDescent="0.25">
      <c r="A23" s="41" t="s">
        <v>3</v>
      </c>
      <c r="B23" s="40">
        <f>'Cell &amp; CAM'!P69</f>
        <v>0</v>
      </c>
      <c r="C23" s="39">
        <f t="shared" si="9"/>
        <v>0</v>
      </c>
      <c r="D23" s="40">
        <f t="shared" si="10"/>
        <v>0</v>
      </c>
      <c r="E23" s="56">
        <v>0.2</v>
      </c>
      <c r="F23" s="54">
        <v>1</v>
      </c>
      <c r="G23" s="4">
        <f t="shared" si="11"/>
        <v>0</v>
      </c>
      <c r="H23" s="4" t="s">
        <v>352</v>
      </c>
      <c r="I23" s="7"/>
      <c r="J23" s="7"/>
      <c r="K23" s="96">
        <f>_xlfn.XLOOKUP($H23,'Background data'!$D$1:$D$124,'Background data'!H$1:H$124)</f>
        <v>111</v>
      </c>
      <c r="L23" s="96">
        <f>_xlfn.XLOOKUP($H23,'Background data'!$D$1:$D$124,'Background data'!J$1:J$124)</f>
        <v>111</v>
      </c>
      <c r="M23" s="37">
        <f t="shared" si="7"/>
        <v>0</v>
      </c>
      <c r="N23" s="37">
        <f t="shared" si="8"/>
        <v>0</v>
      </c>
    </row>
    <row r="24" spans="1:14" outlineLevel="1" x14ac:dyDescent="0.25">
      <c r="A24" s="41" t="s">
        <v>109</v>
      </c>
      <c r="B24" s="40">
        <f ca="1">'Cell &amp; CAM'!P70</f>
        <v>0</v>
      </c>
      <c r="C24" s="39">
        <f t="shared" si="9"/>
        <v>0.9</v>
      </c>
      <c r="D24" s="40">
        <f t="shared" ca="1" si="10"/>
        <v>0</v>
      </c>
      <c r="E24" s="56">
        <v>0.2</v>
      </c>
      <c r="F24" s="54">
        <v>0.8</v>
      </c>
      <c r="G24" s="42">
        <f t="shared" ca="1" si="11"/>
        <v>0</v>
      </c>
      <c r="H24" s="4" t="s">
        <v>367</v>
      </c>
      <c r="I24" s="7"/>
      <c r="J24" s="7"/>
      <c r="K24" s="96">
        <f>_xlfn.XLOOKUP($H24,'Background data'!$D$1:$D$124,'Background data'!H$1:H$124)</f>
        <v>0</v>
      </c>
      <c r="L24" s="96">
        <f>_xlfn.XLOOKUP($H24,'Background data'!$D$1:$D$124,'Background data'!J$1:J$124)</f>
        <v>0</v>
      </c>
      <c r="M24" s="37">
        <f t="shared" ca="1" si="7"/>
        <v>0</v>
      </c>
      <c r="N24" s="37">
        <f t="shared" ca="1" si="8"/>
        <v>0</v>
      </c>
    </row>
    <row r="25" spans="1:14" outlineLevel="1" x14ac:dyDescent="0.25">
      <c r="A25" s="41" t="s">
        <v>111</v>
      </c>
      <c r="B25" s="40">
        <f ca="1">'Cell &amp; CAM'!P71</f>
        <v>0</v>
      </c>
      <c r="C25" s="39">
        <f t="shared" si="9"/>
        <v>0.9</v>
      </c>
      <c r="D25" s="40">
        <f t="shared" ca="1" si="10"/>
        <v>0</v>
      </c>
      <c r="E25" s="56">
        <v>0.2</v>
      </c>
      <c r="F25" s="54">
        <v>0.8</v>
      </c>
      <c r="G25" s="42">
        <f t="shared" ca="1" si="11"/>
        <v>0</v>
      </c>
      <c r="H25" s="4" t="s">
        <v>366</v>
      </c>
      <c r="I25" s="7"/>
      <c r="J25" s="7"/>
      <c r="K25" s="96">
        <f>_xlfn.XLOOKUP($H25,'Background data'!$D$1:$D$124,'Background data'!H$1:H$124)</f>
        <v>0</v>
      </c>
      <c r="L25" s="96">
        <f>_xlfn.XLOOKUP($H25,'Background data'!$D$1:$D$124,'Background data'!J$1:J$124)</f>
        <v>0</v>
      </c>
      <c r="M25" s="37">
        <f t="shared" ca="1" si="7"/>
        <v>0</v>
      </c>
      <c r="N25" s="37">
        <f t="shared" ca="1" si="8"/>
        <v>0</v>
      </c>
    </row>
    <row r="26" spans="1:14" outlineLevel="1" x14ac:dyDescent="0.25">
      <c r="A26" s="41" t="s">
        <v>112</v>
      </c>
      <c r="B26" s="40">
        <f ca="1">'Cell &amp; CAM'!P72</f>
        <v>0</v>
      </c>
      <c r="C26" s="39">
        <f t="shared" si="9"/>
        <v>0</v>
      </c>
      <c r="D26" s="40">
        <f t="shared" ca="1" si="10"/>
        <v>0</v>
      </c>
      <c r="E26" s="56">
        <v>0.2</v>
      </c>
      <c r="F26" s="54">
        <v>0.8</v>
      </c>
      <c r="G26" s="4">
        <f t="shared" ca="1" si="11"/>
        <v>0</v>
      </c>
      <c r="H26" s="4" t="s">
        <v>380</v>
      </c>
      <c r="I26" s="7"/>
      <c r="J26" s="7"/>
      <c r="K26" s="96">
        <f>_xlfn.XLOOKUP($H26,'Background data'!$D$1:$D$124,'Background data'!H$1:H$124)</f>
        <v>0</v>
      </c>
      <c r="L26" s="96">
        <f>_xlfn.XLOOKUP($H26,'Background data'!$D$1:$D$124,'Background data'!J$1:J$124)</f>
        <v>0</v>
      </c>
      <c r="M26" s="37">
        <f t="shared" ca="1" si="7"/>
        <v>0</v>
      </c>
      <c r="N26" s="37">
        <f t="shared" ca="1" si="8"/>
        <v>0</v>
      </c>
    </row>
    <row r="27" spans="1:14" outlineLevel="1" x14ac:dyDescent="0.25">
      <c r="A27" s="41" t="s">
        <v>113</v>
      </c>
      <c r="B27" s="40">
        <f ca="1">'Cell &amp; CAM'!P73</f>
        <v>0.10410329606501416</v>
      </c>
      <c r="C27" s="39">
        <f t="shared" si="9"/>
        <v>0.5</v>
      </c>
      <c r="D27" s="40">
        <f ca="1">B27*C27</f>
        <v>5.2051648032507079E-2</v>
      </c>
      <c r="E27" s="56">
        <v>0.2</v>
      </c>
      <c r="F27" s="54">
        <v>0.8</v>
      </c>
      <c r="G27" s="42">
        <f ca="1">$D27*(1-$E27)</f>
        <v>4.1641318426005665E-2</v>
      </c>
      <c r="H27" s="4" t="s">
        <v>381</v>
      </c>
      <c r="I27" s="7"/>
      <c r="J27" s="7"/>
      <c r="K27" s="96">
        <f>_xlfn.XLOOKUP($H27,'Background data'!$D$1:$D$124,'Background data'!H$1:H$124)</f>
        <v>0</v>
      </c>
      <c r="L27" s="96">
        <f>_xlfn.XLOOKUP($H27,'Background data'!$D$1:$D$124,'Background data'!J$1:J$124)</f>
        <v>0</v>
      </c>
      <c r="M27" s="37">
        <f t="shared" ca="1" si="7"/>
        <v>0</v>
      </c>
      <c r="N27" s="37">
        <f t="shared" ca="1" si="8"/>
        <v>0</v>
      </c>
    </row>
    <row r="28" spans="1:14" outlineLevel="1" x14ac:dyDescent="0.25">
      <c r="A28" s="41" t="s">
        <v>4</v>
      </c>
      <c r="B28" s="40">
        <f>'Cell &amp; CAM'!P74</f>
        <v>0</v>
      </c>
      <c r="C28" s="39">
        <f t="shared" si="9"/>
        <v>0</v>
      </c>
      <c r="D28" s="40">
        <f t="shared" si="10"/>
        <v>0</v>
      </c>
      <c r="E28" s="56">
        <v>0.2</v>
      </c>
      <c r="F28" s="54">
        <v>0.8</v>
      </c>
      <c r="G28" s="4">
        <f t="shared" si="11"/>
        <v>0</v>
      </c>
      <c r="H28" s="41" t="s">
        <v>4</v>
      </c>
      <c r="I28" s="7"/>
      <c r="J28" s="7"/>
      <c r="K28" s="4">
        <v>0</v>
      </c>
      <c r="L28" s="4"/>
      <c r="M28" s="37">
        <f t="shared" si="7"/>
        <v>0</v>
      </c>
      <c r="N28" s="37">
        <f t="shared" si="8"/>
        <v>0</v>
      </c>
    </row>
    <row r="29" spans="1:14" outlineLevel="1" x14ac:dyDescent="0.25">
      <c r="A29" s="41" t="s">
        <v>115</v>
      </c>
      <c r="B29" s="40">
        <f ca="1">'Cell &amp; CAM'!P75</f>
        <v>0.58743994792617216</v>
      </c>
      <c r="C29" s="39">
        <f t="shared" si="9"/>
        <v>0</v>
      </c>
      <c r="D29" s="40">
        <f ca="1">D32-SUM(D20:D28)</f>
        <v>0.83130814832895805</v>
      </c>
      <c r="E29" s="56">
        <v>0.2</v>
      </c>
      <c r="F29" s="54">
        <v>0.8</v>
      </c>
      <c r="G29" s="42">
        <f t="shared" ca="1" si="11"/>
        <v>0.66504651866316644</v>
      </c>
      <c r="H29" s="41" t="s">
        <v>115</v>
      </c>
      <c r="I29" s="7"/>
      <c r="J29" s="7"/>
      <c r="K29" s="4">
        <v>0</v>
      </c>
      <c r="L29" s="4"/>
      <c r="M29" s="37">
        <f t="shared" ca="1" si="7"/>
        <v>0</v>
      </c>
      <c r="N29" s="37">
        <f t="shared" ca="1" si="8"/>
        <v>0</v>
      </c>
    </row>
    <row r="30" spans="1:14" outlineLevel="1" x14ac:dyDescent="0.25">
      <c r="A30" s="41" t="s">
        <v>207</v>
      </c>
      <c r="B30" s="7"/>
      <c r="C30" s="39"/>
      <c r="D30" s="40">
        <v>1</v>
      </c>
      <c r="E30" s="56">
        <v>0.2</v>
      </c>
      <c r="F30" s="54"/>
      <c r="G30" s="42">
        <f t="shared" si="11"/>
        <v>0.8</v>
      </c>
      <c r="H30" s="41" t="s">
        <v>207</v>
      </c>
      <c r="I30" s="7"/>
      <c r="J30" s="7" t="e">
        <f>'BOM EOL - DA'!#REF!</f>
        <v>#REF!</v>
      </c>
      <c r="K30" s="4"/>
      <c r="L30" s="4"/>
      <c r="M30" s="37">
        <f t="shared" ref="M30" si="12">$D30*(1-$E30)*(I30-$F30*K30)</f>
        <v>0</v>
      </c>
      <c r="N30" s="37" t="e">
        <f t="shared" ref="N30" si="13">$D30*(1-$E30)*(J30-$F30*L30)</f>
        <v>#REF!</v>
      </c>
    </row>
    <row r="31" spans="1:14" outlineLevel="1" x14ac:dyDescent="0.25">
      <c r="A31" s="41" t="s">
        <v>208</v>
      </c>
      <c r="B31" s="7"/>
      <c r="C31" s="39"/>
      <c r="D31" s="40">
        <v>1</v>
      </c>
      <c r="E31" s="56">
        <v>0.2</v>
      </c>
      <c r="F31" s="54"/>
      <c r="G31" s="42">
        <f t="shared" si="11"/>
        <v>0.8</v>
      </c>
      <c r="H31" s="41" t="s">
        <v>208</v>
      </c>
      <c r="I31" s="7">
        <f>'BOM EOL - DA'!F$23+('BOM EOL - DA'!F$45*$B$41)</f>
        <v>75.093425882352932</v>
      </c>
      <c r="J31" s="7" t="e">
        <f>('BOM EOL - DA'!#REF!)*$B$41</f>
        <v>#REF!</v>
      </c>
      <c r="K31" s="4"/>
      <c r="L31" s="4"/>
      <c r="M31" s="37">
        <f t="shared" si="7"/>
        <v>60.074740705882348</v>
      </c>
      <c r="N31" s="37" t="e">
        <f t="shared" si="8"/>
        <v>#REF!</v>
      </c>
    </row>
    <row r="32" spans="1:14" x14ac:dyDescent="0.25">
      <c r="A32" s="5" t="s">
        <v>5</v>
      </c>
      <c r="B32" s="43">
        <f ca="1">SUM(B20:B29)</f>
        <v>1.0430321001420673</v>
      </c>
      <c r="C32" s="44">
        <f ca="1">SUMPRODUCT(B20:B29,C20:C29)/B32</f>
        <v>0.16173217645752713</v>
      </c>
      <c r="D32" s="45">
        <v>1</v>
      </c>
      <c r="E32" s="45"/>
      <c r="F32" s="45"/>
      <c r="G32" s="4">
        <f>$D32*(1-$E32)</f>
        <v>1</v>
      </c>
      <c r="H32" s="45"/>
      <c r="I32" s="45"/>
      <c r="J32" s="45"/>
      <c r="K32" s="45"/>
      <c r="L32" s="45"/>
      <c r="M32" s="19">
        <f ca="1">SUM(M20:M31)</f>
        <v>-810.06117843758773</v>
      </c>
      <c r="N32" s="19" t="e">
        <f ca="1">SUM(N20:N31)</f>
        <v>#REF!</v>
      </c>
    </row>
    <row r="33" spans="1:14" x14ac:dyDescent="0.25">
      <c r="A33" s="41" t="s">
        <v>116</v>
      </c>
      <c r="B33" s="37">
        <v>0.8</v>
      </c>
      <c r="M33" s="19">
        <f ca="1">M32*$B33</f>
        <v>-648.04894275007018</v>
      </c>
      <c r="N33" s="19" t="e">
        <f ca="1">N32*$B33</f>
        <v>#REF!</v>
      </c>
    </row>
    <row r="35" spans="1:14" x14ac:dyDescent="0.25">
      <c r="N35" s="66"/>
    </row>
    <row r="38" spans="1:14" x14ac:dyDescent="0.25">
      <c r="B38" s="57" t="s">
        <v>186</v>
      </c>
    </row>
    <row r="39" spans="1:14" x14ac:dyDescent="0.25">
      <c r="B39" s="50" t="str">
        <f>_xlfn.XLOOKUP($B$1,$C$39:$E$39,C39:E39)</f>
        <v>Reglement batterie obj. 2027</v>
      </c>
      <c r="C39" s="50" t="s">
        <v>192</v>
      </c>
      <c r="D39" s="50" t="s">
        <v>187</v>
      </c>
      <c r="E39" s="50" t="s">
        <v>188</v>
      </c>
    </row>
    <row r="40" spans="1:14" ht="28.55" x14ac:dyDescent="0.25">
      <c r="A40" s="4" t="s">
        <v>191</v>
      </c>
      <c r="B40" s="58" t="str">
        <f>_xlfn.XLOOKUP($B$1,$C$39:$E$39,C40:E40)</f>
        <v>Métaux + slag</v>
      </c>
      <c r="C40" s="59" t="s">
        <v>193</v>
      </c>
      <c r="D40" s="60" t="s">
        <v>194</v>
      </c>
      <c r="E40" s="60" t="s">
        <v>194</v>
      </c>
    </row>
    <row r="41" spans="1:14" x14ac:dyDescent="0.25">
      <c r="A41" s="4" t="s">
        <v>191</v>
      </c>
      <c r="B41" s="7">
        <f>_xlfn.XLOOKUP($B$1,$C$39:$E$39,C41:E41)</f>
        <v>2.9411764705882351</v>
      </c>
      <c r="C41" s="54">
        <v>1</v>
      </c>
      <c r="D41" s="55">
        <f>1/0.34</f>
        <v>2.9411764705882351</v>
      </c>
      <c r="E41" s="55">
        <f>1/0.34</f>
        <v>2.9411764705882351</v>
      </c>
    </row>
    <row r="42" spans="1:14" x14ac:dyDescent="0.25">
      <c r="A42" s="4" t="s">
        <v>190</v>
      </c>
      <c r="B42" s="52"/>
      <c r="C42" s="52"/>
      <c r="D42" s="52"/>
      <c r="E42" s="52"/>
    </row>
    <row r="43" spans="1:14" x14ac:dyDescent="0.25">
      <c r="A43" s="97" t="s">
        <v>105</v>
      </c>
      <c r="B43" s="39">
        <f t="shared" ref="B43:B52" si="14">_xlfn.XLOOKUP($B$1,$C$39:$E$39,C43:E43)</f>
        <v>0</v>
      </c>
      <c r="C43" s="53">
        <v>0</v>
      </c>
      <c r="D43" s="53">
        <v>0</v>
      </c>
      <c r="E43" s="53">
        <v>0</v>
      </c>
    </row>
    <row r="44" spans="1:14" x14ac:dyDescent="0.25">
      <c r="A44" s="97" t="s">
        <v>1</v>
      </c>
      <c r="B44" s="39">
        <f t="shared" si="14"/>
        <v>0</v>
      </c>
      <c r="C44" s="53">
        <v>0</v>
      </c>
      <c r="D44" s="53">
        <v>0</v>
      </c>
      <c r="E44" s="53">
        <v>0</v>
      </c>
    </row>
    <row r="45" spans="1:14" x14ac:dyDescent="0.25">
      <c r="A45" s="97" t="s">
        <v>2</v>
      </c>
      <c r="B45" s="39">
        <f t="shared" si="14"/>
        <v>0.9</v>
      </c>
      <c r="C45" s="53">
        <v>0.9</v>
      </c>
      <c r="D45" s="53">
        <v>0.9</v>
      </c>
      <c r="E45" s="53">
        <v>0.95</v>
      </c>
    </row>
    <row r="46" spans="1:14" x14ac:dyDescent="0.25">
      <c r="A46" s="97" t="s">
        <v>3</v>
      </c>
      <c r="B46" s="39">
        <f t="shared" si="14"/>
        <v>0</v>
      </c>
      <c r="C46" s="53">
        <v>0</v>
      </c>
      <c r="D46" s="53">
        <v>0</v>
      </c>
      <c r="E46" s="53">
        <v>0</v>
      </c>
    </row>
    <row r="47" spans="1:14" x14ac:dyDescent="0.25">
      <c r="A47" s="97" t="s">
        <v>109</v>
      </c>
      <c r="B47" s="39">
        <f t="shared" si="14"/>
        <v>0.9</v>
      </c>
      <c r="C47" s="53">
        <v>0.9</v>
      </c>
      <c r="D47" s="53">
        <v>0.9</v>
      </c>
      <c r="E47" s="53">
        <v>0.95</v>
      </c>
    </row>
    <row r="48" spans="1:14" x14ac:dyDescent="0.25">
      <c r="A48" s="97" t="s">
        <v>111</v>
      </c>
      <c r="B48" s="39">
        <f t="shared" si="14"/>
        <v>0.9</v>
      </c>
      <c r="C48" s="53">
        <v>0.9</v>
      </c>
      <c r="D48" s="53">
        <v>0.9</v>
      </c>
      <c r="E48" s="53">
        <v>0.95</v>
      </c>
    </row>
    <row r="49" spans="1:5" x14ac:dyDescent="0.25">
      <c r="A49" s="97" t="s">
        <v>112</v>
      </c>
      <c r="B49" s="39">
        <f t="shared" si="14"/>
        <v>0</v>
      </c>
      <c r="C49" s="53">
        <v>0</v>
      </c>
      <c r="D49" s="53">
        <v>0</v>
      </c>
      <c r="E49" s="53">
        <v>0</v>
      </c>
    </row>
    <row r="50" spans="1:5" x14ac:dyDescent="0.25">
      <c r="A50" s="97" t="s">
        <v>113</v>
      </c>
      <c r="B50" s="39">
        <f t="shared" si="14"/>
        <v>0.5</v>
      </c>
      <c r="C50" s="53">
        <v>0</v>
      </c>
      <c r="D50" s="53">
        <v>0.5</v>
      </c>
      <c r="E50" s="53">
        <v>0.8</v>
      </c>
    </row>
    <row r="51" spans="1:5" x14ac:dyDescent="0.25">
      <c r="A51" s="97" t="s">
        <v>4</v>
      </c>
      <c r="B51" s="39">
        <f t="shared" si="14"/>
        <v>0</v>
      </c>
      <c r="C51" s="53">
        <v>0</v>
      </c>
      <c r="D51" s="53">
        <v>0</v>
      </c>
      <c r="E51" s="53">
        <v>0</v>
      </c>
    </row>
    <row r="52" spans="1:5" x14ac:dyDescent="0.25">
      <c r="A52" s="97" t="s">
        <v>115</v>
      </c>
      <c r="B52" s="39">
        <f t="shared" si="14"/>
        <v>0</v>
      </c>
      <c r="C52" s="53">
        <v>0</v>
      </c>
      <c r="D52" s="53">
        <v>0</v>
      </c>
      <c r="E52" s="53">
        <v>0</v>
      </c>
    </row>
  </sheetData>
  <mergeCells count="1">
    <mergeCell ref="B1:C1"/>
  </mergeCells>
  <dataValidations count="1">
    <dataValidation type="list" allowBlank="1" showInputMessage="1" showErrorMessage="1" sqref="B1" xr:uid="{664CFBEE-4D26-476E-B5C2-0BE6B0B3C820}">
      <formula1>$C$39:$E$39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9902C0-9D60-42BC-A91E-77945B781054}">
          <x14:formula1>
            <xm:f>'Background data'!$D$12:$D$86</xm:f>
          </x14:formula1>
          <xm:sqref>H4:H11 H20:H27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D7D5-9BEF-40DC-807C-CD0D9690BB0D}">
  <sheetPr>
    <tabColor theme="1" tint="0.499984740745262"/>
  </sheetPr>
  <dimension ref="A1:K45"/>
  <sheetViews>
    <sheetView zoomScale="70" zoomScaleNormal="70" workbookViewId="0">
      <selection activeCell="A2" sqref="A2"/>
    </sheetView>
  </sheetViews>
  <sheetFormatPr baseColWidth="10" defaultColWidth="11.375" defaultRowHeight="14.3" x14ac:dyDescent="0.25"/>
  <cols>
    <col min="1" max="1" width="63.375" bestFit="1" customWidth="1"/>
    <col min="2" max="2" width="48" bestFit="1" customWidth="1"/>
    <col min="3" max="3" width="17.875" customWidth="1"/>
    <col min="4" max="4" width="20.75" customWidth="1"/>
    <col min="5" max="5" width="24.5" customWidth="1"/>
    <col min="6" max="6" width="18.25" customWidth="1"/>
  </cols>
  <sheetData>
    <row r="1" spans="1:11" x14ac:dyDescent="0.25">
      <c r="A1" s="172" t="s">
        <v>118</v>
      </c>
      <c r="B1" s="173"/>
      <c r="C1" s="173"/>
      <c r="D1" s="173"/>
      <c r="E1" s="173"/>
      <c r="F1" s="173"/>
      <c r="I1" s="174"/>
      <c r="J1" s="174"/>
      <c r="K1" s="174"/>
    </row>
    <row r="2" spans="1:11" x14ac:dyDescent="0.25">
      <c r="A2" s="46" t="s">
        <v>119</v>
      </c>
      <c r="B2" t="s">
        <v>120</v>
      </c>
      <c r="I2" s="46"/>
    </row>
    <row r="3" spans="1:11" x14ac:dyDescent="0.25">
      <c r="A3" s="46"/>
      <c r="I3" s="46"/>
    </row>
    <row r="4" spans="1:11" x14ac:dyDescent="0.25">
      <c r="A4" s="46" t="s">
        <v>121</v>
      </c>
    </row>
    <row r="5" spans="1:11" x14ac:dyDescent="0.25">
      <c r="A5" s="1" t="s">
        <v>122</v>
      </c>
      <c r="B5" s="1" t="s">
        <v>123</v>
      </c>
      <c r="C5" s="1" t="s">
        <v>124</v>
      </c>
      <c r="D5" s="1" t="s">
        <v>125</v>
      </c>
      <c r="E5" s="1" t="s">
        <v>430</v>
      </c>
      <c r="F5" s="99" t="str">
        <f>'Background data'!$B$1</f>
        <v>ECS EI3.9.1 (Pts)</v>
      </c>
    </row>
    <row r="6" spans="1:11" x14ac:dyDescent="0.25">
      <c r="A6" s="27" t="s">
        <v>126</v>
      </c>
      <c r="B6" s="27" t="s">
        <v>127</v>
      </c>
      <c r="C6" s="27" t="s">
        <v>128</v>
      </c>
      <c r="D6" s="27">
        <v>1</v>
      </c>
    </row>
    <row r="7" spans="1:11" x14ac:dyDescent="0.25">
      <c r="A7" s="27" t="s">
        <v>129</v>
      </c>
      <c r="B7" s="27" t="s">
        <v>270</v>
      </c>
      <c r="C7" s="27" t="s">
        <v>82</v>
      </c>
      <c r="D7" s="27">
        <v>1</v>
      </c>
      <c r="E7" s="3" t="s">
        <v>270</v>
      </c>
      <c r="F7" s="64">
        <f>$D7*_xlfn.XLOOKUP($E7,'Background data'!$D:$D,'Background data'!H:H)</f>
        <v>25.72</v>
      </c>
    </row>
    <row r="8" spans="1:11" x14ac:dyDescent="0.25">
      <c r="A8" s="27" t="s">
        <v>131</v>
      </c>
      <c r="B8" s="27" t="s">
        <v>273</v>
      </c>
      <c r="C8" s="27" t="s">
        <v>206</v>
      </c>
      <c r="D8" s="27">
        <f>2.288</f>
        <v>2.2879999999999998</v>
      </c>
      <c r="E8" s="27" t="s">
        <v>273</v>
      </c>
      <c r="F8" s="64">
        <f>$D8*_xlfn.XLOOKUP($E8,'Background data'!$D:$D,'Background data'!H:H)</f>
        <v>0</v>
      </c>
    </row>
    <row r="9" spans="1:11" x14ac:dyDescent="0.25">
      <c r="A9" s="27" t="s">
        <v>131</v>
      </c>
      <c r="B9" s="27" t="s">
        <v>274</v>
      </c>
      <c r="C9" s="27" t="s">
        <v>206</v>
      </c>
      <c r="D9" s="27">
        <f>0.237</f>
        <v>0.23699999999999999</v>
      </c>
      <c r="E9" s="27" t="s">
        <v>274</v>
      </c>
      <c r="F9" s="64">
        <f>$D9*_xlfn.XLOOKUP($E9,'Background data'!$D:$D,'Background data'!H:H)</f>
        <v>0</v>
      </c>
    </row>
    <row r="10" spans="1:11" x14ac:dyDescent="0.25">
      <c r="A10" s="27" t="s">
        <v>132</v>
      </c>
      <c r="B10" s="27" t="s">
        <v>133</v>
      </c>
      <c r="C10" s="27" t="s">
        <v>128</v>
      </c>
      <c r="D10" s="27">
        <v>0.13600000000000001</v>
      </c>
      <c r="E10" s="27" t="s">
        <v>371</v>
      </c>
      <c r="F10" s="64">
        <f>$D10*_xlfn.XLOOKUP($E10,'Background data'!$D:$D,'Background data'!H:H)</f>
        <v>0</v>
      </c>
    </row>
    <row r="11" spans="1:11" x14ac:dyDescent="0.25">
      <c r="A11" s="27" t="s">
        <v>134</v>
      </c>
      <c r="B11" s="27" t="s">
        <v>135</v>
      </c>
      <c r="C11" s="27" t="s">
        <v>128</v>
      </c>
      <c r="D11" s="27">
        <v>0.11899999999999999</v>
      </c>
      <c r="E11" s="27" t="s">
        <v>134</v>
      </c>
      <c r="F11" s="64">
        <f>$D11*_xlfn.XLOOKUP($E11,'Background data'!$D:$D,'Background data'!H:H)</f>
        <v>0</v>
      </c>
    </row>
    <row r="12" spans="1:11" x14ac:dyDescent="0.25">
      <c r="A12" s="27" t="s">
        <v>136</v>
      </c>
      <c r="B12" s="27" t="s">
        <v>137</v>
      </c>
      <c r="C12" s="27" t="s">
        <v>128</v>
      </c>
      <c r="D12" s="27">
        <v>8.5000000000000006E-2</v>
      </c>
      <c r="E12" s="27" t="s">
        <v>372</v>
      </c>
      <c r="F12" s="64">
        <f>$D12*_xlfn.XLOOKUP($E12,'Background data'!$D:$D,'Background data'!H:H)</f>
        <v>0</v>
      </c>
    </row>
    <row r="13" spans="1:11" x14ac:dyDescent="0.25">
      <c r="A13" s="27" t="s">
        <v>138</v>
      </c>
      <c r="B13" s="27" t="s">
        <v>139</v>
      </c>
      <c r="C13" s="27" t="s">
        <v>128</v>
      </c>
      <c r="D13" s="27">
        <v>1E-3</v>
      </c>
      <c r="E13" s="27" t="s">
        <v>138</v>
      </c>
      <c r="F13" s="64">
        <f>$D13*_xlfn.XLOOKUP($E13,'Background data'!$D:$D,'Background data'!H:H)</f>
        <v>0</v>
      </c>
    </row>
    <row r="14" spans="1:11" x14ac:dyDescent="0.25">
      <c r="A14" s="27" t="s">
        <v>140</v>
      </c>
      <c r="B14" s="27" t="s">
        <v>141</v>
      </c>
      <c r="C14" s="27" t="s">
        <v>197</v>
      </c>
      <c r="D14" s="27">
        <v>0.13</v>
      </c>
      <c r="E14" s="27" t="s">
        <v>375</v>
      </c>
      <c r="F14" s="64">
        <f>$D14*_xlfn.XLOOKUP($E14,'Background data'!$D:$D,'Background data'!H:H)</f>
        <v>1.1934</v>
      </c>
    </row>
    <row r="15" spans="1:11" x14ac:dyDescent="0.25">
      <c r="A15" s="27" t="s">
        <v>140</v>
      </c>
      <c r="B15" s="27" t="s">
        <v>142</v>
      </c>
      <c r="C15" s="27" t="s">
        <v>197</v>
      </c>
      <c r="D15" s="27">
        <v>0.24</v>
      </c>
      <c r="E15" s="27" t="s">
        <v>376</v>
      </c>
      <c r="F15" s="64">
        <f>$D15*_xlfn.XLOOKUP($E15,'Background data'!$D:$D,'Background data'!H:H)</f>
        <v>1.0439999999999998</v>
      </c>
    </row>
    <row r="16" spans="1:11" x14ac:dyDescent="0.25">
      <c r="A16" s="27" t="s">
        <v>143</v>
      </c>
      <c r="B16" s="27" t="s">
        <v>144</v>
      </c>
      <c r="C16" s="27" t="s">
        <v>197</v>
      </c>
      <c r="D16" s="27">
        <v>0.27</v>
      </c>
      <c r="E16" s="27" t="s">
        <v>377</v>
      </c>
      <c r="F16" s="64">
        <f>$D16*_xlfn.XLOOKUP($E16,'Background data'!$D:$D,'Background data'!H:H)</f>
        <v>1.1988000000000001</v>
      </c>
    </row>
    <row r="18" spans="1:11" x14ac:dyDescent="0.25">
      <c r="A18" s="46" t="s">
        <v>145</v>
      </c>
    </row>
    <row r="19" spans="1:11" x14ac:dyDescent="0.25">
      <c r="A19" s="27" t="s">
        <v>146</v>
      </c>
      <c r="B19" s="27" t="s">
        <v>147</v>
      </c>
      <c r="C19" s="27" t="s">
        <v>128</v>
      </c>
      <c r="D19" s="27">
        <v>0.20899999999999999</v>
      </c>
      <c r="E19" s="27"/>
      <c r="F19" s="47"/>
    </row>
    <row r="20" spans="1:11" x14ac:dyDescent="0.25">
      <c r="A20" s="27" t="s">
        <v>148</v>
      </c>
      <c r="B20" s="27" t="s">
        <v>149</v>
      </c>
      <c r="C20" s="27" t="s">
        <v>128</v>
      </c>
      <c r="D20" s="27">
        <v>0.71199999999999997</v>
      </c>
      <c r="E20" s="27" t="s">
        <v>149</v>
      </c>
      <c r="F20" s="64">
        <v>0</v>
      </c>
    </row>
    <row r="21" spans="1:11" x14ac:dyDescent="0.25">
      <c r="A21" s="27" t="s">
        <v>150</v>
      </c>
      <c r="B21" s="27" t="s">
        <v>151</v>
      </c>
      <c r="C21" s="27" t="s">
        <v>152</v>
      </c>
      <c r="D21" s="27">
        <v>1.194</v>
      </c>
      <c r="E21" s="27" t="s">
        <v>360</v>
      </c>
      <c r="F21" s="64">
        <f>$D21*_xlfn.XLOOKUP($E21,'Background data'!$D:$D,'Background data'!H:H)</f>
        <v>33.312599999999996</v>
      </c>
    </row>
    <row r="23" spans="1:11" x14ac:dyDescent="0.25">
      <c r="A23" s="48" t="s">
        <v>153</v>
      </c>
      <c r="B23" s="48"/>
      <c r="C23" s="48"/>
      <c r="D23" s="48"/>
      <c r="E23" s="48"/>
      <c r="F23" s="68">
        <f>SUM(F7:F21)</f>
        <v>62.468799999999995</v>
      </c>
    </row>
    <row r="25" spans="1:11" x14ac:dyDescent="0.25">
      <c r="A25" s="172" t="s">
        <v>154</v>
      </c>
      <c r="B25" s="173"/>
      <c r="C25" s="173"/>
      <c r="D25" s="173"/>
      <c r="E25" s="173"/>
      <c r="F25" s="173"/>
      <c r="I25" s="174"/>
      <c r="J25" s="174"/>
      <c r="K25" s="174"/>
    </row>
    <row r="26" spans="1:11" x14ac:dyDescent="0.25">
      <c r="A26" s="46" t="s">
        <v>119</v>
      </c>
      <c r="B26" t="s">
        <v>155</v>
      </c>
      <c r="I26" s="46"/>
    </row>
    <row r="28" spans="1:11" x14ac:dyDescent="0.25">
      <c r="A28" s="46" t="s">
        <v>121</v>
      </c>
    </row>
    <row r="29" spans="1:11" x14ac:dyDescent="0.25">
      <c r="A29" s="63" t="s">
        <v>122</v>
      </c>
      <c r="B29" s="63" t="s">
        <v>123</v>
      </c>
      <c r="C29" s="63" t="s">
        <v>124</v>
      </c>
      <c r="D29" s="63" t="s">
        <v>125</v>
      </c>
      <c r="E29" s="63" t="s">
        <v>430</v>
      </c>
      <c r="F29" s="99" t="str">
        <f>'Background data'!$B$1</f>
        <v>ECS EI3.9.1 (Pts)</v>
      </c>
    </row>
    <row r="30" spans="1:11" x14ac:dyDescent="0.25">
      <c r="A30" s="27" t="s">
        <v>146</v>
      </c>
      <c r="B30" s="27" t="s">
        <v>156</v>
      </c>
      <c r="C30" s="27" t="s">
        <v>128</v>
      </c>
      <c r="D30" s="27">
        <v>0.34</v>
      </c>
      <c r="E30" s="27"/>
      <c r="F30" s="47"/>
    </row>
    <row r="31" spans="1:11" x14ac:dyDescent="0.25">
      <c r="A31" s="27" t="s">
        <v>129</v>
      </c>
      <c r="B31" s="27" t="s">
        <v>270</v>
      </c>
      <c r="C31" s="27" t="s">
        <v>82</v>
      </c>
      <c r="D31" s="27">
        <v>8.5000000000000006E-2</v>
      </c>
      <c r="E31" s="3" t="s">
        <v>270</v>
      </c>
      <c r="F31" s="64">
        <f>$D31*_xlfn.XLOOKUP($E31,'Background data'!$D:$D,'Background data'!H:H)</f>
        <v>2.1861999999999999</v>
      </c>
    </row>
    <row r="32" spans="1:11" x14ac:dyDescent="0.25">
      <c r="A32" s="27" t="s">
        <v>157</v>
      </c>
      <c r="B32" s="27" t="s">
        <v>273</v>
      </c>
      <c r="C32" s="27" t="s">
        <v>82</v>
      </c>
      <c r="D32" s="27">
        <f>1.847</f>
        <v>1.847</v>
      </c>
      <c r="E32" s="27" t="s">
        <v>273</v>
      </c>
      <c r="F32" s="64">
        <f>$D32*_xlfn.XLOOKUP($E32,'Background data'!$D:$D,'Background data'!H:H)</f>
        <v>0</v>
      </c>
    </row>
    <row r="33" spans="1:6" x14ac:dyDescent="0.25">
      <c r="A33" s="27" t="s">
        <v>158</v>
      </c>
      <c r="B33" s="27" t="s">
        <v>159</v>
      </c>
      <c r="C33" s="27" t="s">
        <v>128</v>
      </c>
      <c r="D33" s="27">
        <v>1.7000000000000001E-2</v>
      </c>
      <c r="E33" s="27" t="s">
        <v>35</v>
      </c>
      <c r="F33" s="64">
        <f>$D33*_xlfn.XLOOKUP($E33,'Background data'!$D:$D,'Background data'!H:H)</f>
        <v>0</v>
      </c>
    </row>
    <row r="34" spans="1:6" x14ac:dyDescent="0.25">
      <c r="A34" s="27" t="s">
        <v>160</v>
      </c>
      <c r="B34" s="27" t="s">
        <v>161</v>
      </c>
      <c r="C34" s="27" t="s">
        <v>128</v>
      </c>
      <c r="D34" s="27">
        <v>0.30499999999999999</v>
      </c>
      <c r="E34" s="27" t="s">
        <v>373</v>
      </c>
      <c r="F34" s="64">
        <f>$D34*_xlfn.XLOOKUP($E34,'Background data'!$D:$D,'Background data'!H:H)</f>
        <v>0</v>
      </c>
    </row>
    <row r="35" spans="1:6" x14ac:dyDescent="0.25">
      <c r="A35" s="27" t="s">
        <v>162</v>
      </c>
      <c r="B35" s="27" t="s">
        <v>163</v>
      </c>
      <c r="C35" s="27" t="s">
        <v>128</v>
      </c>
      <c r="D35" s="27">
        <v>1.7000000000000001E-2</v>
      </c>
      <c r="E35" s="27" t="s">
        <v>374</v>
      </c>
      <c r="F35" s="64">
        <f>$D35*_xlfn.XLOOKUP($E35,'Background data'!$D:$D,'Background data'!H:H)</f>
        <v>0</v>
      </c>
    </row>
    <row r="36" spans="1:6" x14ac:dyDescent="0.25">
      <c r="A36" s="27" t="s">
        <v>164</v>
      </c>
      <c r="B36" s="27" t="s">
        <v>165</v>
      </c>
      <c r="C36" s="27" t="s">
        <v>128</v>
      </c>
      <c r="D36" s="27">
        <v>0.45800000000000002</v>
      </c>
      <c r="E36" s="27" t="s">
        <v>387</v>
      </c>
      <c r="F36" s="64">
        <f>$D36*_xlfn.XLOOKUP($E36,'Background data'!$D:$D,'Background data'!H:H)</f>
        <v>0</v>
      </c>
    </row>
    <row r="37" spans="1:6" x14ac:dyDescent="0.25">
      <c r="A37" s="27" t="s">
        <v>166</v>
      </c>
      <c r="B37" s="27" t="s">
        <v>167</v>
      </c>
      <c r="C37" s="27" t="s">
        <v>128</v>
      </c>
      <c r="D37" s="27">
        <v>0.88100000000000001</v>
      </c>
      <c r="E37" s="27" t="s">
        <v>92</v>
      </c>
      <c r="F37" s="64">
        <f>$D37*_xlfn.XLOOKUP($E37,'Background data'!$D:$D,'Background data'!H:H)</f>
        <v>0</v>
      </c>
    </row>
    <row r="38" spans="1:6" x14ac:dyDescent="0.25">
      <c r="A38" s="27" t="s">
        <v>168</v>
      </c>
      <c r="B38" s="27" t="s">
        <v>168</v>
      </c>
      <c r="C38" s="27" t="s">
        <v>128</v>
      </c>
      <c r="D38" s="27">
        <v>3</v>
      </c>
      <c r="E38" s="27" t="s">
        <v>168</v>
      </c>
      <c r="F38" s="64">
        <f>$D38*_xlfn.XLOOKUP($E38,'Background data'!$D:$D,'Background data'!H:H)</f>
        <v>0.81</v>
      </c>
    </row>
    <row r="40" spans="1:6" x14ac:dyDescent="0.25">
      <c r="A40" s="46" t="s">
        <v>145</v>
      </c>
    </row>
    <row r="41" spans="1:6" x14ac:dyDescent="0.25">
      <c r="A41" s="27" t="s">
        <v>170</v>
      </c>
      <c r="B41" s="27" t="s">
        <v>171</v>
      </c>
      <c r="C41" s="27" t="s">
        <v>128</v>
      </c>
      <c r="D41" s="27"/>
      <c r="E41" s="27"/>
      <c r="F41" s="47"/>
    </row>
    <row r="42" spans="1:6" x14ac:dyDescent="0.25">
      <c r="A42" s="27" t="s">
        <v>172</v>
      </c>
      <c r="B42" s="27" t="s">
        <v>173</v>
      </c>
      <c r="C42" s="27" t="s">
        <v>128</v>
      </c>
      <c r="D42" s="27"/>
      <c r="E42" s="27"/>
      <c r="F42" s="47"/>
    </row>
    <row r="43" spans="1:6" x14ac:dyDescent="0.25">
      <c r="A43" s="27" t="s">
        <v>174</v>
      </c>
      <c r="B43" s="27" t="s">
        <v>175</v>
      </c>
      <c r="C43" s="27" t="s">
        <v>169</v>
      </c>
      <c r="D43" s="27">
        <v>8.6400000000000001E-3</v>
      </c>
      <c r="E43" s="27" t="s">
        <v>175</v>
      </c>
      <c r="F43" s="64">
        <f>$D43*_xlfn.XLOOKUP($E43,'Background data'!$D:$D,'Background data'!H:H)</f>
        <v>1.2961728000000001</v>
      </c>
    </row>
    <row r="45" spans="1:6" x14ac:dyDescent="0.25">
      <c r="A45" s="48" t="s">
        <v>153</v>
      </c>
      <c r="B45" s="48"/>
      <c r="C45" s="48"/>
      <c r="D45" s="48"/>
      <c r="E45" s="48"/>
      <c r="F45" s="68">
        <f>SUM(F30:F43)</f>
        <v>4.2923727999999999</v>
      </c>
    </row>
  </sheetData>
  <mergeCells count="4">
    <mergeCell ref="A1:F1"/>
    <mergeCell ref="I1:K1"/>
    <mergeCell ref="A25:F25"/>
    <mergeCell ref="I25:K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5681-A71D-441E-B4DA-556C82D04965}">
  <sheetPr>
    <tabColor theme="0"/>
  </sheetPr>
  <dimension ref="A1:L124"/>
  <sheetViews>
    <sheetView showGridLines="0" zoomScale="85" zoomScaleNormal="85" workbookViewId="0">
      <pane xSplit="2" ySplit="3" topLeftCell="D4" activePane="bottomRight" state="frozen"/>
      <selection pane="topRight" activeCell="D1" sqref="D1"/>
      <selection pane="bottomLeft" activeCell="A4" sqref="A4"/>
      <selection pane="bottomRight" activeCell="B14" sqref="B14"/>
    </sheetView>
  </sheetViews>
  <sheetFormatPr baseColWidth="10" defaultRowHeight="14.3" x14ac:dyDescent="0.25"/>
  <cols>
    <col min="1" max="2" width="30.25" customWidth="1"/>
    <col min="3" max="3" width="17.25" customWidth="1"/>
    <col min="4" max="4" width="40.75" bestFit="1" customWidth="1"/>
    <col min="5" max="5" width="4.375" bestFit="1" customWidth="1"/>
    <col min="6" max="7" width="51.875" bestFit="1" customWidth="1"/>
    <col min="8" max="9" width="11.125" bestFit="1" customWidth="1"/>
    <col min="10" max="10" width="11.375" bestFit="1" customWidth="1"/>
    <col min="11" max="11" width="11.125" bestFit="1" customWidth="1"/>
    <col min="12" max="12" width="11.375" bestFit="1" customWidth="1"/>
  </cols>
  <sheetData>
    <row r="1" spans="1:12" x14ac:dyDescent="0.25">
      <c r="A1" s="48" t="s">
        <v>516</v>
      </c>
      <c r="B1" s="132" t="s">
        <v>518</v>
      </c>
      <c r="F1" s="163" t="s">
        <v>588</v>
      </c>
      <c r="G1" s="125" t="s">
        <v>589</v>
      </c>
    </row>
    <row r="2" spans="1:12" x14ac:dyDescent="0.25">
      <c r="A2" s="62"/>
      <c r="B2" s="62"/>
      <c r="C2" s="62"/>
      <c r="D2" s="62"/>
      <c r="H2" s="130" t="s">
        <v>186</v>
      </c>
      <c r="I2" s="129"/>
      <c r="J2" s="129"/>
      <c r="K2" s="129"/>
      <c r="L2" s="129"/>
    </row>
    <row r="3" spans="1:12" ht="28.55" x14ac:dyDescent="0.25">
      <c r="A3" s="1" t="s">
        <v>345</v>
      </c>
      <c r="B3" s="1" t="s">
        <v>346</v>
      </c>
      <c r="C3" s="1" t="s">
        <v>478</v>
      </c>
      <c r="D3" s="1" t="s">
        <v>455</v>
      </c>
      <c r="E3" s="1" t="s">
        <v>195</v>
      </c>
      <c r="F3" s="1" t="s">
        <v>476</v>
      </c>
      <c r="G3" s="1" t="s">
        <v>477</v>
      </c>
      <c r="H3" s="91" t="str">
        <f>$B$1</f>
        <v>ECS EI3.9.1 (Pts)</v>
      </c>
      <c r="I3" s="91" t="s">
        <v>517</v>
      </c>
      <c r="J3" s="91" t="s">
        <v>518</v>
      </c>
      <c r="K3" s="91" t="s">
        <v>519</v>
      </c>
      <c r="L3" s="91" t="s">
        <v>520</v>
      </c>
    </row>
    <row r="4" spans="1:12" x14ac:dyDescent="0.25">
      <c r="A4" s="144" t="s">
        <v>74</v>
      </c>
    </row>
    <row r="5" spans="1:12" x14ac:dyDescent="0.25">
      <c r="A5" s="3" t="s">
        <v>460</v>
      </c>
      <c r="B5" s="3"/>
      <c r="C5" s="3" t="s">
        <v>347</v>
      </c>
      <c r="D5" s="3" t="str">
        <f t="shared" ref="D5:D9" si="0">IF(ISBLANK(C5),A5,A5&amp;", "&amp;C5)</f>
        <v>Cells, LFP Hydro, CN, Ecobalyse</v>
      </c>
      <c r="E5" s="27" t="s">
        <v>128</v>
      </c>
      <c r="F5" s="4" t="s">
        <v>456</v>
      </c>
      <c r="G5" s="12"/>
      <c r="H5" s="147">
        <f t="shared" ref="H5:H9" si="1">_xlfn.XLOOKUP($B$1,$I$3:$L$3,$I5:$L5,,0)</f>
        <v>4478</v>
      </c>
      <c r="I5" s="28"/>
      <c r="J5" s="85">
        <v>4478</v>
      </c>
      <c r="K5" s="28"/>
      <c r="L5" s="124"/>
    </row>
    <row r="6" spans="1:12" x14ac:dyDescent="0.25">
      <c r="A6" s="3" t="s">
        <v>461</v>
      </c>
      <c r="B6" s="3"/>
      <c r="C6" s="3" t="s">
        <v>347</v>
      </c>
      <c r="D6" s="3" t="str">
        <f t="shared" si="0"/>
        <v>Cells, LFP Solid, CN, Ecobalyse</v>
      </c>
      <c r="E6" s="27" t="s">
        <v>128</v>
      </c>
      <c r="F6" s="4" t="s">
        <v>457</v>
      </c>
      <c r="G6" s="12"/>
      <c r="H6" s="147">
        <f t="shared" si="1"/>
        <v>4189</v>
      </c>
      <c r="I6" s="28"/>
      <c r="J6" s="85">
        <v>4189</v>
      </c>
      <c r="K6" s="28"/>
      <c r="L6" s="124"/>
    </row>
    <row r="7" spans="1:12" x14ac:dyDescent="0.25">
      <c r="A7" s="3" t="s">
        <v>462</v>
      </c>
      <c r="B7" s="3"/>
      <c r="C7" s="3" t="s">
        <v>347</v>
      </c>
      <c r="D7" s="3" t="str">
        <f t="shared" si="0"/>
        <v>Cells, NMC811, CN, Ecobalyse</v>
      </c>
      <c r="E7" s="27" t="s">
        <v>128</v>
      </c>
      <c r="F7" s="4" t="s">
        <v>458</v>
      </c>
      <c r="G7" s="12"/>
      <c r="H7" s="147">
        <f t="shared" si="1"/>
        <v>6661</v>
      </c>
      <c r="I7" s="28"/>
      <c r="J7" s="85">
        <v>6661</v>
      </c>
      <c r="K7" s="28"/>
      <c r="L7" s="124"/>
    </row>
    <row r="8" spans="1:12" x14ac:dyDescent="0.25">
      <c r="A8" s="3" t="s">
        <v>462</v>
      </c>
      <c r="B8" s="3"/>
      <c r="C8" s="3" t="s">
        <v>464</v>
      </c>
      <c r="D8" s="3" t="str">
        <f t="shared" si="0"/>
        <v>Cells, NMC811, FR, Ecobalyse</v>
      </c>
      <c r="E8" s="27" t="s">
        <v>128</v>
      </c>
      <c r="F8" s="4" t="s">
        <v>459</v>
      </c>
      <c r="G8" s="12"/>
      <c r="H8" s="147">
        <f t="shared" si="1"/>
        <v>5446</v>
      </c>
      <c r="I8" s="28"/>
      <c r="J8" s="85">
        <v>5446</v>
      </c>
      <c r="K8" s="28"/>
      <c r="L8" s="124"/>
    </row>
    <row r="9" spans="1:12" x14ac:dyDescent="0.25">
      <c r="A9" s="3" t="s">
        <v>463</v>
      </c>
      <c r="B9" s="3"/>
      <c r="C9" s="3" t="s">
        <v>347</v>
      </c>
      <c r="D9" s="3" t="str">
        <f t="shared" si="0"/>
        <v>Cells, NMC622, CN, Ecobalyse</v>
      </c>
      <c r="E9" s="27" t="s">
        <v>128</v>
      </c>
      <c r="F9" s="4" t="s">
        <v>456</v>
      </c>
      <c r="G9" s="12"/>
      <c r="H9" s="147">
        <f t="shared" si="1"/>
        <v>5446</v>
      </c>
      <c r="I9" s="28"/>
      <c r="J9" s="27">
        <v>5446</v>
      </c>
      <c r="K9" s="28"/>
      <c r="L9" s="28"/>
    </row>
    <row r="10" spans="1:12" ht="4.95" customHeight="1" x14ac:dyDescent="0.25">
      <c r="A10" s="145"/>
      <c r="B10" s="133"/>
      <c r="C10" s="133"/>
      <c r="D10" s="133"/>
      <c r="F10" s="2"/>
      <c r="G10" s="2"/>
      <c r="H10" s="2"/>
      <c r="I10" s="2"/>
      <c r="J10" s="2"/>
      <c r="K10" s="2"/>
      <c r="L10" s="2"/>
    </row>
    <row r="11" spans="1:12" x14ac:dyDescent="0.25">
      <c r="A11" s="146" t="s">
        <v>542</v>
      </c>
    </row>
    <row r="12" spans="1:12" x14ac:dyDescent="0.25">
      <c r="A12" s="3" t="s">
        <v>352</v>
      </c>
      <c r="B12" s="3" t="s">
        <v>353</v>
      </c>
      <c r="C12" s="3"/>
      <c r="D12" s="3" t="str">
        <f t="shared" ref="D12:D36" si="2">IF(ISBLANK(C12),A12,A12&amp;", "&amp;C12)</f>
        <v>Steel, virgin</v>
      </c>
      <c r="E12" s="27" t="s">
        <v>128</v>
      </c>
      <c r="F12" s="27" t="s">
        <v>108</v>
      </c>
      <c r="G12" s="4" t="s">
        <v>533</v>
      </c>
      <c r="H12" s="147">
        <f t="shared" ref="H12:H17" si="3">_xlfn.XLOOKUP($B$1,$I$3:$L$3,$I12:$L12,,0)</f>
        <v>111</v>
      </c>
      <c r="I12" s="163"/>
      <c r="J12" s="88">
        <v>111</v>
      </c>
      <c r="K12" s="135">
        <v>2.40998697540673</v>
      </c>
      <c r="L12" s="28"/>
    </row>
    <row r="13" spans="1:12" x14ac:dyDescent="0.25">
      <c r="A13" s="3" t="s">
        <v>350</v>
      </c>
      <c r="B13" s="3" t="s">
        <v>309</v>
      </c>
      <c r="C13" s="3"/>
      <c r="D13" s="3" t="str">
        <f t="shared" si="2"/>
        <v>Steel, market mix</v>
      </c>
      <c r="E13" s="27" t="s">
        <v>128</v>
      </c>
      <c r="F13" s="4" t="s">
        <v>310</v>
      </c>
      <c r="G13" s="12"/>
      <c r="H13" s="147">
        <f t="shared" si="3"/>
        <v>90.297395561307312</v>
      </c>
      <c r="I13" s="163"/>
      <c r="J13" s="88">
        <v>90.297395561307312</v>
      </c>
      <c r="K13" s="138"/>
      <c r="L13" s="28"/>
    </row>
    <row r="14" spans="1:12" x14ac:dyDescent="0.25">
      <c r="A14" s="3" t="s">
        <v>350</v>
      </c>
      <c r="B14" s="3" t="s">
        <v>311</v>
      </c>
      <c r="C14" s="3"/>
      <c r="D14" s="3" t="str">
        <f t="shared" si="2"/>
        <v>Steel, market mix</v>
      </c>
      <c r="E14" s="27" t="s">
        <v>128</v>
      </c>
      <c r="F14" s="4" t="s">
        <v>312</v>
      </c>
      <c r="G14" s="12"/>
      <c r="H14" s="147">
        <f t="shared" si="3"/>
        <v>116.10143247153266</v>
      </c>
      <c r="I14" s="163"/>
      <c r="J14" s="88">
        <v>116.10143247153266</v>
      </c>
      <c r="K14" s="138"/>
      <c r="L14" s="28"/>
    </row>
    <row r="15" spans="1:12" x14ac:dyDescent="0.25">
      <c r="A15" s="3" t="s">
        <v>351</v>
      </c>
      <c r="B15" s="3" t="s">
        <v>313</v>
      </c>
      <c r="C15" s="3"/>
      <c r="D15" s="3" t="str">
        <f t="shared" si="2"/>
        <v>Chromium steel</v>
      </c>
      <c r="E15" s="27" t="s">
        <v>128</v>
      </c>
      <c r="F15" s="4" t="s">
        <v>314</v>
      </c>
      <c r="G15" s="15"/>
      <c r="H15" s="147">
        <f t="shared" si="3"/>
        <v>470.32638752733698</v>
      </c>
      <c r="I15" s="163"/>
      <c r="J15" s="88">
        <v>470.32638752733698</v>
      </c>
      <c r="K15" s="138"/>
      <c r="L15" s="28"/>
    </row>
    <row r="16" spans="1:12" x14ac:dyDescent="0.25">
      <c r="A16" s="3" t="s">
        <v>325</v>
      </c>
      <c r="B16" s="3" t="s">
        <v>325</v>
      </c>
      <c r="C16" s="3"/>
      <c r="D16" s="3" t="str">
        <f>IF(ISBLANK(C16),A16,A16&amp;", "&amp;C16)</f>
        <v>Lamination (acier)</v>
      </c>
      <c r="E16" s="27" t="s">
        <v>128</v>
      </c>
      <c r="F16" s="4" t="s">
        <v>326</v>
      </c>
      <c r="G16" s="12"/>
      <c r="H16" s="147">
        <f t="shared" si="3"/>
        <v>13.316606302202086</v>
      </c>
      <c r="I16" s="163"/>
      <c r="J16" s="88">
        <v>13.316606302202086</v>
      </c>
      <c r="K16" s="138"/>
      <c r="L16" s="28"/>
    </row>
    <row r="17" spans="1:12" x14ac:dyDescent="0.25">
      <c r="A17" s="3" t="s">
        <v>329</v>
      </c>
      <c r="B17" s="3" t="s">
        <v>329</v>
      </c>
      <c r="C17" s="3"/>
      <c r="D17" s="3" t="str">
        <f>IF(ISBLANK(C17),A17,A17&amp;", "&amp;C17)</f>
        <v>Lamination (inox)</v>
      </c>
      <c r="E17" s="27" t="s">
        <v>128</v>
      </c>
      <c r="F17" s="4" t="s">
        <v>330</v>
      </c>
      <c r="G17" s="12"/>
      <c r="H17" s="147">
        <f t="shared" si="3"/>
        <v>33.166921237843319</v>
      </c>
      <c r="I17" s="163"/>
      <c r="J17" s="88">
        <v>33.166921237843319</v>
      </c>
      <c r="K17" s="138"/>
      <c r="L17" s="28"/>
    </row>
    <row r="18" spans="1:12" ht="4.95" customHeight="1" x14ac:dyDescent="0.25">
      <c r="A18" s="145"/>
      <c r="B18" s="133"/>
      <c r="C18" s="133"/>
      <c r="D18" s="133"/>
      <c r="F18" s="2"/>
      <c r="G18" s="2"/>
      <c r="H18" s="2"/>
      <c r="I18" s="2"/>
      <c r="J18" s="2"/>
      <c r="K18" s="2"/>
      <c r="L18" s="2"/>
    </row>
    <row r="19" spans="1:12" x14ac:dyDescent="0.25">
      <c r="A19" s="146" t="s">
        <v>543</v>
      </c>
    </row>
    <row r="20" spans="1:12" x14ac:dyDescent="0.25">
      <c r="A20" s="3" t="s">
        <v>552</v>
      </c>
      <c r="B20" s="3" t="s">
        <v>304</v>
      </c>
      <c r="C20" s="3" t="s">
        <v>305</v>
      </c>
      <c r="D20" s="3" t="str">
        <f t="shared" si="2"/>
        <v>Aluminium, virgin, RER, Ecobalyse</v>
      </c>
      <c r="E20" s="27" t="s">
        <v>128</v>
      </c>
      <c r="F20" s="4" t="s">
        <v>106</v>
      </c>
      <c r="G20" s="4" t="s">
        <v>587</v>
      </c>
      <c r="H20" s="147">
        <f t="shared" ref="H20:H25" si="4">_xlfn.XLOOKUP($B$1,$I$3:$L$3,$I20:$L20,,0)</f>
        <v>767</v>
      </c>
      <c r="I20" s="163"/>
      <c r="J20" s="88">
        <v>767</v>
      </c>
      <c r="K20" s="138">
        <v>8.9122263065690905</v>
      </c>
      <c r="L20" s="28"/>
    </row>
    <row r="21" spans="1:12" x14ac:dyDescent="0.25">
      <c r="A21" s="3" t="s">
        <v>550</v>
      </c>
      <c r="B21" s="3" t="s">
        <v>349</v>
      </c>
      <c r="C21" s="3" t="s">
        <v>347</v>
      </c>
      <c r="D21" s="3" t="str">
        <f t="shared" si="2"/>
        <v>Aluminium, market mix, CN, Ecobalyse</v>
      </c>
      <c r="E21" s="27" t="s">
        <v>128</v>
      </c>
      <c r="F21" s="4" t="s">
        <v>315</v>
      </c>
      <c r="G21" s="12"/>
      <c r="H21" s="147">
        <f t="shared" si="4"/>
        <v>1503.0262869196392</v>
      </c>
      <c r="I21" s="163"/>
      <c r="J21" s="88">
        <v>1503.0262869196392</v>
      </c>
      <c r="K21" s="138"/>
      <c r="L21" s="28"/>
    </row>
    <row r="22" spans="1:12" x14ac:dyDescent="0.25">
      <c r="A22" s="3" t="s">
        <v>550</v>
      </c>
      <c r="B22" s="3" t="s">
        <v>349</v>
      </c>
      <c r="C22" s="3" t="s">
        <v>305</v>
      </c>
      <c r="D22" s="3" t="str">
        <f t="shared" si="2"/>
        <v>Aluminium, market mix, RER, Ecobalyse</v>
      </c>
      <c r="E22" s="27" t="s">
        <v>128</v>
      </c>
      <c r="F22" s="4" t="s">
        <v>316</v>
      </c>
      <c r="G22" s="12"/>
      <c r="H22" s="147">
        <f t="shared" si="4"/>
        <v>539.64117718158445</v>
      </c>
      <c r="I22" s="163"/>
      <c r="J22" s="88">
        <v>539.64117718158445</v>
      </c>
      <c r="K22" s="138"/>
      <c r="L22" s="28"/>
    </row>
    <row r="23" spans="1:12" x14ac:dyDescent="0.25">
      <c r="A23" s="3" t="s">
        <v>550</v>
      </c>
      <c r="B23" s="3" t="s">
        <v>349</v>
      </c>
      <c r="C23" s="3" t="s">
        <v>348</v>
      </c>
      <c r="D23" s="3" t="str">
        <f t="shared" si="2"/>
        <v>Aluminium, market mix, RoW, Ecobalyse</v>
      </c>
      <c r="E23" s="27" t="s">
        <v>128</v>
      </c>
      <c r="F23" s="4" t="s">
        <v>317</v>
      </c>
      <c r="G23" s="12"/>
      <c r="H23" s="147">
        <f t="shared" si="4"/>
        <v>893.806536593244</v>
      </c>
      <c r="I23" s="163"/>
      <c r="J23" s="88">
        <v>893.806536593244</v>
      </c>
      <c r="K23" s="138"/>
      <c r="L23" s="28"/>
    </row>
    <row r="24" spans="1:12" x14ac:dyDescent="0.25">
      <c r="A24" s="3" t="s">
        <v>327</v>
      </c>
      <c r="B24" s="3" t="s">
        <v>327</v>
      </c>
      <c r="C24" s="3"/>
      <c r="D24" s="3" t="str">
        <f t="shared" si="2"/>
        <v>Lamination (aluminium)</v>
      </c>
      <c r="E24" s="27" t="s">
        <v>128</v>
      </c>
      <c r="F24" s="4" t="s">
        <v>328</v>
      </c>
      <c r="G24" s="12"/>
      <c r="H24" s="147">
        <f t="shared" si="4"/>
        <v>21.538887990329805</v>
      </c>
      <c r="I24" s="163"/>
      <c r="J24" s="88">
        <v>21.538887990329805</v>
      </c>
      <c r="K24" s="138"/>
      <c r="L24" s="28"/>
    </row>
    <row r="25" spans="1:12" x14ac:dyDescent="0.25">
      <c r="A25" s="3" t="s">
        <v>320</v>
      </c>
      <c r="B25" s="3" t="s">
        <v>320</v>
      </c>
      <c r="C25" s="3"/>
      <c r="D25" s="3" t="str">
        <f>IF(ISBLANK(C25),A25,A25&amp;", "&amp;C25)</f>
        <v>Extrusion (aluminium)</v>
      </c>
      <c r="E25" s="27" t="s">
        <v>128</v>
      </c>
      <c r="F25" s="4" t="s">
        <v>321</v>
      </c>
      <c r="G25" s="12"/>
      <c r="H25" s="147">
        <f t="shared" si="4"/>
        <v>44.464253641156489</v>
      </c>
      <c r="I25" s="163"/>
      <c r="J25" s="88">
        <v>44.464253641156489</v>
      </c>
      <c r="K25" s="138"/>
      <c r="L25" s="28"/>
    </row>
    <row r="26" spans="1:12" ht="4.95" customHeight="1" x14ac:dyDescent="0.25">
      <c r="A26" s="145"/>
      <c r="B26" s="133"/>
      <c r="C26" s="133"/>
      <c r="D26" s="133"/>
      <c r="F26" s="2"/>
      <c r="G26" s="2"/>
      <c r="H26" s="2"/>
      <c r="I26" s="2"/>
      <c r="J26" s="2"/>
      <c r="K26" s="2"/>
      <c r="L26" s="2"/>
    </row>
    <row r="27" spans="1:12" x14ac:dyDescent="0.25">
      <c r="A27" s="146" t="s">
        <v>544</v>
      </c>
    </row>
    <row r="28" spans="1:12" x14ac:dyDescent="0.25">
      <c r="A28" s="3" t="s">
        <v>335</v>
      </c>
      <c r="B28" s="3" t="s">
        <v>335</v>
      </c>
      <c r="C28" s="3"/>
      <c r="D28" s="3" t="str">
        <f t="shared" si="2"/>
        <v>Plastique granulé (PET)</v>
      </c>
      <c r="E28" s="27" t="s">
        <v>128</v>
      </c>
      <c r="F28" s="4" t="s">
        <v>336</v>
      </c>
      <c r="G28" s="27" t="s">
        <v>501</v>
      </c>
      <c r="H28" s="147">
        <f t="shared" ref="H28:H37" si="5">_xlfn.XLOOKUP($B$1,$I$3:$L$3,$I28:$L28,,0)</f>
        <v>281.47193213457069</v>
      </c>
      <c r="I28" s="163"/>
      <c r="J28" s="88">
        <v>281.47193213457069</v>
      </c>
      <c r="K28" s="135">
        <v>2.8007527134447598</v>
      </c>
      <c r="L28" s="28"/>
    </row>
    <row r="29" spans="1:12" x14ac:dyDescent="0.25">
      <c r="A29" s="3" t="s">
        <v>337</v>
      </c>
      <c r="B29" s="3" t="s">
        <v>337</v>
      </c>
      <c r="C29" s="3"/>
      <c r="D29" s="3" t="str">
        <f t="shared" si="2"/>
        <v>Plastique granulé (PVC)</v>
      </c>
      <c r="E29" s="27" t="s">
        <v>128</v>
      </c>
      <c r="F29" s="4" t="s">
        <v>338</v>
      </c>
      <c r="G29" s="4"/>
      <c r="H29" s="147">
        <f t="shared" si="5"/>
        <v>207.64370235717621</v>
      </c>
      <c r="I29" s="163"/>
      <c r="J29" s="88">
        <v>207.64370235717621</v>
      </c>
      <c r="K29" s="135">
        <v>0</v>
      </c>
      <c r="L29" s="28"/>
    </row>
    <row r="30" spans="1:12" x14ac:dyDescent="0.25">
      <c r="A30" s="3" t="s">
        <v>339</v>
      </c>
      <c r="B30" s="3" t="s">
        <v>339</v>
      </c>
      <c r="C30" s="3"/>
      <c r="D30" s="3" t="str">
        <f t="shared" si="2"/>
        <v>Plastique granulé (divers)</v>
      </c>
      <c r="E30" s="27" t="s">
        <v>128</v>
      </c>
      <c r="F30" s="4" t="s">
        <v>340</v>
      </c>
      <c r="G30" s="27" t="s">
        <v>500</v>
      </c>
      <c r="H30" s="147">
        <f t="shared" si="5"/>
        <v>196.58178452505248</v>
      </c>
      <c r="I30" s="163"/>
      <c r="J30" s="88">
        <v>196.58178452505248</v>
      </c>
      <c r="K30" s="135">
        <v>2.1040782359540602</v>
      </c>
      <c r="L30" s="28"/>
    </row>
    <row r="31" spans="1:12" x14ac:dyDescent="0.25">
      <c r="A31" s="3" t="s">
        <v>341</v>
      </c>
      <c r="B31" s="3" t="s">
        <v>341</v>
      </c>
      <c r="C31" s="3"/>
      <c r="D31" s="3" t="str">
        <f t="shared" si="2"/>
        <v>Plastique rigide (ABS)</v>
      </c>
      <c r="E31" s="27" t="s">
        <v>128</v>
      </c>
      <c r="F31" s="4" t="s">
        <v>342</v>
      </c>
      <c r="G31" s="27"/>
      <c r="H31" s="147">
        <f t="shared" si="5"/>
        <v>330.83526536807921</v>
      </c>
      <c r="I31" s="163"/>
      <c r="J31" s="88">
        <v>330.83526536807921</v>
      </c>
      <c r="K31" s="135">
        <v>0</v>
      </c>
      <c r="L31" s="28"/>
    </row>
    <row r="32" spans="1:12" x14ac:dyDescent="0.25">
      <c r="A32" s="3" t="s">
        <v>343</v>
      </c>
      <c r="B32" s="3" t="s">
        <v>343</v>
      </c>
      <c r="C32" s="3"/>
      <c r="D32" s="3" t="str">
        <f t="shared" si="2"/>
        <v>Plastique rigide (PC)</v>
      </c>
      <c r="E32" s="27" t="s">
        <v>128</v>
      </c>
      <c r="F32" s="4" t="s">
        <v>344</v>
      </c>
      <c r="G32" s="125"/>
      <c r="H32" s="147">
        <f t="shared" si="5"/>
        <v>1267.6737701748907</v>
      </c>
      <c r="I32" s="163"/>
      <c r="J32" s="88">
        <v>1267.6737701748907</v>
      </c>
      <c r="K32" s="138"/>
      <c r="L32" s="28"/>
    </row>
    <row r="33" spans="1:12" x14ac:dyDescent="0.25">
      <c r="A33" s="3" t="s">
        <v>333</v>
      </c>
      <c r="B33" s="3" t="s">
        <v>333</v>
      </c>
      <c r="C33" s="3"/>
      <c r="D33" s="3" t="str">
        <f t="shared" si="2"/>
        <v>Mousse rigide (PUR)</v>
      </c>
      <c r="E33" s="27" t="s">
        <v>128</v>
      </c>
      <c r="F33" s="4" t="s">
        <v>334</v>
      </c>
      <c r="G33" s="15"/>
      <c r="H33" s="147">
        <f t="shared" si="5"/>
        <v>1302.6421218304824</v>
      </c>
      <c r="I33" s="163"/>
      <c r="J33" s="88">
        <v>1302.6421218304824</v>
      </c>
      <c r="K33" s="138"/>
      <c r="L33" s="28"/>
    </row>
    <row r="34" spans="1:12" x14ac:dyDescent="0.25">
      <c r="A34" s="3" t="s">
        <v>318</v>
      </c>
      <c r="B34" s="3" t="s">
        <v>318</v>
      </c>
      <c r="C34" s="3"/>
      <c r="D34" s="3" t="str">
        <f t="shared" si="2"/>
        <v>Composé organique</v>
      </c>
      <c r="E34" s="27" t="s">
        <v>128</v>
      </c>
      <c r="F34" s="4" t="s">
        <v>319</v>
      </c>
      <c r="G34" s="15"/>
      <c r="H34" s="147">
        <f t="shared" si="5"/>
        <v>179.89212695698396</v>
      </c>
      <c r="I34" s="163"/>
      <c r="J34" s="88">
        <v>179.89212695698396</v>
      </c>
      <c r="K34" s="138"/>
      <c r="L34" s="28"/>
    </row>
    <row r="35" spans="1:12" ht="28.55" x14ac:dyDescent="0.25">
      <c r="A35" s="3" t="s">
        <v>358</v>
      </c>
      <c r="B35" s="3" t="s">
        <v>322</v>
      </c>
      <c r="C35" s="3"/>
      <c r="D35" s="3" t="str">
        <f t="shared" si="2"/>
        <v>Extrusion + thermoforming (plastics)</v>
      </c>
      <c r="E35" s="27" t="s">
        <v>128</v>
      </c>
      <c r="F35" s="4" t="s">
        <v>323</v>
      </c>
      <c r="G35" s="15"/>
      <c r="H35" s="147">
        <f t="shared" si="5"/>
        <v>70.006392473830857</v>
      </c>
      <c r="I35" s="163"/>
      <c r="J35" s="88">
        <v>70.006392473830857</v>
      </c>
      <c r="K35" s="138"/>
      <c r="L35" s="28"/>
    </row>
    <row r="36" spans="1:12" x14ac:dyDescent="0.25">
      <c r="A36" s="3" t="s">
        <v>357</v>
      </c>
      <c r="B36" s="3" t="s">
        <v>331</v>
      </c>
      <c r="C36" s="3"/>
      <c r="D36" s="3" t="str">
        <f t="shared" si="2"/>
        <v>Injection moulding</v>
      </c>
      <c r="E36" s="27" t="s">
        <v>128</v>
      </c>
      <c r="F36" s="4" t="s">
        <v>332</v>
      </c>
      <c r="G36" s="15"/>
      <c r="H36" s="147">
        <f t="shared" si="5"/>
        <v>67.738868132831641</v>
      </c>
      <c r="I36" s="163"/>
      <c r="J36" s="88">
        <v>67.738868132831641</v>
      </c>
      <c r="K36" s="138"/>
      <c r="L36" s="28"/>
    </row>
    <row r="37" spans="1:12" x14ac:dyDescent="0.25">
      <c r="A37" s="3" t="s">
        <v>473</v>
      </c>
      <c r="B37" s="3" t="s">
        <v>473</v>
      </c>
      <c r="C37" s="3"/>
      <c r="D37" s="3"/>
      <c r="E37" s="27" t="s">
        <v>128</v>
      </c>
      <c r="F37" s="4" t="s">
        <v>472</v>
      </c>
      <c r="G37" s="15"/>
      <c r="H37" s="147">
        <f t="shared" si="5"/>
        <v>558</v>
      </c>
      <c r="I37" s="163"/>
      <c r="J37" s="88">
        <v>558</v>
      </c>
      <c r="K37" s="138"/>
      <c r="L37" s="28"/>
    </row>
    <row r="38" spans="1:12" ht="4.95" customHeight="1" x14ac:dyDescent="0.25">
      <c r="A38" s="145"/>
      <c r="B38" s="133"/>
      <c r="C38" s="133"/>
      <c r="D38" s="133"/>
      <c r="F38" s="2"/>
      <c r="G38" s="2"/>
      <c r="H38" s="2"/>
      <c r="I38" s="2"/>
      <c r="J38" s="2"/>
      <c r="K38" s="2"/>
      <c r="L38" s="2"/>
    </row>
    <row r="39" spans="1:12" x14ac:dyDescent="0.25">
      <c r="A39" s="146" t="s">
        <v>545</v>
      </c>
    </row>
    <row r="40" spans="1:12" x14ac:dyDescent="0.25">
      <c r="A40" s="3" t="s">
        <v>306</v>
      </c>
      <c r="B40" s="3" t="s">
        <v>324</v>
      </c>
      <c r="C40" s="3"/>
      <c r="D40" s="3" t="str">
        <f>IF(ISBLANK(C40),A40,A40&amp;", "&amp;C40)</f>
        <v>Copper</v>
      </c>
      <c r="E40" s="27" t="s">
        <v>128</v>
      </c>
      <c r="F40" s="52" t="s">
        <v>107</v>
      </c>
      <c r="G40" s="15"/>
      <c r="H40" s="147">
        <f>_xlfn.XLOOKUP($B$1,$I$3:$L$3,$I40:$L40,,0)</f>
        <v>9325</v>
      </c>
      <c r="I40" s="163"/>
      <c r="J40" s="92">
        <v>9325</v>
      </c>
      <c r="K40" s="138"/>
      <c r="L40" s="28"/>
    </row>
    <row r="41" spans="1:12" x14ac:dyDescent="0.25">
      <c r="A41" s="3" t="s">
        <v>407</v>
      </c>
      <c r="B41" s="3" t="s">
        <v>479</v>
      </c>
      <c r="C41" s="3"/>
      <c r="D41" s="3" t="str">
        <f t="shared" ref="D41" si="6">IF(ISBLANK(C41),A41,A41&amp;", "&amp;C41)</f>
        <v>Copper foil</v>
      </c>
      <c r="E41" s="27" t="s">
        <v>128</v>
      </c>
      <c r="F41" s="52" t="s">
        <v>408</v>
      </c>
      <c r="G41" s="4" t="s">
        <v>497</v>
      </c>
      <c r="H41" s="147">
        <f>_xlfn.XLOOKUP($B$1,$I$3:$L$3,$I41:$L41,,0)</f>
        <v>9816.58</v>
      </c>
      <c r="I41" s="163"/>
      <c r="J41" s="92">
        <v>9816.58</v>
      </c>
      <c r="K41" s="138">
        <v>4.4768975347499804</v>
      </c>
      <c r="L41" s="28"/>
    </row>
    <row r="42" spans="1:12" x14ac:dyDescent="0.25">
      <c r="A42" s="27" t="s">
        <v>428</v>
      </c>
      <c r="B42" s="27"/>
      <c r="C42" s="27"/>
      <c r="D42" s="3" t="str">
        <f t="shared" ref="D42" si="7">IF(ISBLANK(C42),A42,A42&amp;", "&amp;C42)</f>
        <v>Electronics</v>
      </c>
      <c r="E42" s="27" t="s">
        <v>128</v>
      </c>
      <c r="F42" s="27" t="s">
        <v>429</v>
      </c>
      <c r="G42" s="27" t="s">
        <v>536</v>
      </c>
      <c r="H42" s="147">
        <f>_xlfn.XLOOKUP($B$1,$I$3:$L$3,$I42:$L42,,0)</f>
        <v>14543.74</v>
      </c>
      <c r="I42" s="163"/>
      <c r="J42" s="65">
        <v>14543.74</v>
      </c>
      <c r="K42" s="135">
        <v>31.8</v>
      </c>
      <c r="L42" s="28"/>
    </row>
    <row r="43" spans="1:12" x14ac:dyDescent="0.25">
      <c r="A43" s="27" t="s">
        <v>540</v>
      </c>
      <c r="B43" s="27"/>
      <c r="C43" s="27"/>
      <c r="D43" s="3" t="str">
        <f t="shared" ref="D43" si="8">IF(ISBLANK(C43),A43,A43&amp;", "&amp;C43)</f>
        <v>Glycol (Coolant)</v>
      </c>
      <c r="E43" s="27" t="s">
        <v>128</v>
      </c>
      <c r="F43" s="27" t="s">
        <v>583</v>
      </c>
      <c r="G43" s="27" t="s">
        <v>502</v>
      </c>
      <c r="H43" s="147">
        <f>_xlfn.XLOOKUP($B$1,$I$3:$L$3,$I43:$L43,,0)</f>
        <v>1049.96</v>
      </c>
      <c r="I43" s="163"/>
      <c r="J43" s="125">
        <v>1049.96</v>
      </c>
      <c r="K43" s="135">
        <v>2.94627735292468</v>
      </c>
      <c r="L43" s="28"/>
    </row>
    <row r="45" spans="1:12" x14ac:dyDescent="0.25">
      <c r="A45" s="149" t="s">
        <v>308</v>
      </c>
    </row>
    <row r="46" spans="1:12" ht="28.55" x14ac:dyDescent="0.25">
      <c r="A46" s="1" t="s">
        <v>345</v>
      </c>
      <c r="B46" s="1" t="s">
        <v>346</v>
      </c>
      <c r="C46" s="1" t="s">
        <v>478</v>
      </c>
      <c r="D46" s="1" t="s">
        <v>455</v>
      </c>
      <c r="E46" s="1" t="s">
        <v>195</v>
      </c>
      <c r="F46" s="1" t="s">
        <v>476</v>
      </c>
      <c r="G46" s="1" t="s">
        <v>477</v>
      </c>
      <c r="H46" s="91" t="str">
        <f>$B$1</f>
        <v>ECS EI3.9.1 (Pts)</v>
      </c>
      <c r="I46" s="91"/>
      <c r="J46" s="91" t="s">
        <v>518</v>
      </c>
      <c r="K46" s="91" t="s">
        <v>519</v>
      </c>
      <c r="L46" s="91" t="s">
        <v>520</v>
      </c>
    </row>
    <row r="47" spans="1:12" x14ac:dyDescent="0.25">
      <c r="A47" s="27" t="s">
        <v>28</v>
      </c>
      <c r="B47" s="27"/>
      <c r="C47" s="27" t="s">
        <v>264</v>
      </c>
      <c r="D47" s="3" t="str">
        <f t="shared" ref="D47:D88" si="9">IF(ISBLANK(C47),A47,A47&amp;", "&amp;C47)</f>
        <v>Acid tannic./ citric, CN</v>
      </c>
      <c r="E47" s="27" t="s">
        <v>128</v>
      </c>
      <c r="F47" s="27" t="s">
        <v>361</v>
      </c>
      <c r="G47" s="134" t="s">
        <v>481</v>
      </c>
      <c r="H47" s="147">
        <f t="shared" ref="H47:H88" si="10">_xlfn.XLOOKUP($B$1,$I$3:$L$3,$I47:$L47,,0)</f>
        <v>0</v>
      </c>
      <c r="I47" s="163"/>
      <c r="J47" s="163"/>
      <c r="K47" s="135">
        <v>0.153087873527953</v>
      </c>
      <c r="L47" s="125"/>
    </row>
    <row r="48" spans="1:12" x14ac:dyDescent="0.25">
      <c r="A48" s="27" t="s">
        <v>36</v>
      </c>
      <c r="B48" s="27"/>
      <c r="C48" s="27"/>
      <c r="D48" s="3" t="str">
        <f t="shared" si="9"/>
        <v>Aluminum sulfate (Al2(SO4)3)</v>
      </c>
      <c r="E48" s="27" t="s">
        <v>128</v>
      </c>
      <c r="F48" s="27" t="s">
        <v>378</v>
      </c>
      <c r="G48" s="4" t="s">
        <v>487</v>
      </c>
      <c r="H48" s="147">
        <f t="shared" si="10"/>
        <v>0</v>
      </c>
      <c r="I48" s="163"/>
      <c r="J48" s="163"/>
      <c r="K48" s="135">
        <v>0.37080601749722097</v>
      </c>
      <c r="L48" s="125"/>
    </row>
    <row r="49" spans="1:12" x14ac:dyDescent="0.25">
      <c r="A49" s="27" t="s">
        <v>29</v>
      </c>
      <c r="B49" s="27"/>
      <c r="C49" s="27" t="s">
        <v>264</v>
      </c>
      <c r="D49" s="3" t="str">
        <f t="shared" si="9"/>
        <v>Ammonia (NH3), CN</v>
      </c>
      <c r="E49" s="27" t="s">
        <v>128</v>
      </c>
      <c r="F49" s="27" t="s">
        <v>388</v>
      </c>
      <c r="G49" s="4" t="s">
        <v>483</v>
      </c>
      <c r="H49" s="147">
        <f t="shared" si="10"/>
        <v>0</v>
      </c>
      <c r="I49" s="163"/>
      <c r="J49" s="163"/>
      <c r="K49" s="135">
        <v>2.2617908007833001</v>
      </c>
      <c r="L49" s="125"/>
    </row>
    <row r="50" spans="1:12" x14ac:dyDescent="0.25">
      <c r="A50" s="27" t="s">
        <v>34</v>
      </c>
      <c r="B50" s="27"/>
      <c r="C50" s="27" t="s">
        <v>264</v>
      </c>
      <c r="D50" s="95" t="str">
        <f t="shared" si="9"/>
        <v>Ammonium Hydroxide (NH4OH), CN</v>
      </c>
      <c r="E50" s="27" t="s">
        <v>128</v>
      </c>
      <c r="F50" s="27" t="s">
        <v>362</v>
      </c>
      <c r="G50" s="4" t="s">
        <v>483</v>
      </c>
      <c r="H50" s="147">
        <f t="shared" si="10"/>
        <v>0</v>
      </c>
      <c r="I50" s="163"/>
      <c r="J50" s="163"/>
      <c r="K50" s="135">
        <v>2.2617908007833001</v>
      </c>
      <c r="L50" s="125"/>
    </row>
    <row r="51" spans="1:12" x14ac:dyDescent="0.25">
      <c r="A51" s="3" t="s">
        <v>302</v>
      </c>
      <c r="B51" s="3" t="s">
        <v>470</v>
      </c>
      <c r="C51" s="3"/>
      <c r="D51" s="3" t="str">
        <f t="shared" si="9"/>
        <v>Brass</v>
      </c>
      <c r="E51" s="27" t="s">
        <v>128</v>
      </c>
      <c r="F51" s="27" t="s">
        <v>471</v>
      </c>
      <c r="G51" s="15"/>
      <c r="H51" s="147">
        <f t="shared" si="10"/>
        <v>0</v>
      </c>
      <c r="I51" s="163"/>
      <c r="J51" s="163"/>
      <c r="K51" s="138"/>
      <c r="L51" s="125"/>
    </row>
    <row r="52" spans="1:12" x14ac:dyDescent="0.25">
      <c r="A52" s="27" t="s">
        <v>138</v>
      </c>
      <c r="B52" s="27"/>
      <c r="C52" s="27"/>
      <c r="D52" s="3" t="str">
        <f t="shared" si="9"/>
        <v>Carbon black</v>
      </c>
      <c r="E52" s="27" t="s">
        <v>128</v>
      </c>
      <c r="F52" s="27" t="s">
        <v>179</v>
      </c>
      <c r="G52" s="4" t="s">
        <v>528</v>
      </c>
      <c r="H52" s="147">
        <f t="shared" si="10"/>
        <v>0</v>
      </c>
      <c r="I52" s="163"/>
      <c r="J52" s="163"/>
      <c r="K52" s="135">
        <v>3.3170103516749898</v>
      </c>
      <c r="L52" s="125"/>
    </row>
    <row r="53" spans="1:12" x14ac:dyDescent="0.25">
      <c r="A53" s="27" t="s">
        <v>44</v>
      </c>
      <c r="B53" s="27"/>
      <c r="C53" s="27"/>
      <c r="D53" s="3" t="str">
        <f t="shared" si="9"/>
        <v>Cobalt Oxide (Co3O4)</v>
      </c>
      <c r="E53" s="27" t="s">
        <v>128</v>
      </c>
      <c r="F53" s="167" t="s">
        <v>532</v>
      </c>
      <c r="G53" s="136" t="s">
        <v>531</v>
      </c>
      <c r="H53" s="147">
        <f t="shared" si="10"/>
        <v>0</v>
      </c>
      <c r="I53" s="163"/>
      <c r="J53" s="163"/>
      <c r="K53" s="135">
        <v>6.92</v>
      </c>
      <c r="L53" s="125"/>
    </row>
    <row r="54" spans="1:12" x14ac:dyDescent="0.25">
      <c r="A54" s="27" t="s">
        <v>31</v>
      </c>
      <c r="B54" s="27"/>
      <c r="C54" s="27" t="s">
        <v>264</v>
      </c>
      <c r="D54" s="3" t="str">
        <f t="shared" si="9"/>
        <v>Cobalt Sulfate (CoSO4), CN</v>
      </c>
      <c r="E54" s="27" t="s">
        <v>128</v>
      </c>
      <c r="F54" s="27" t="s">
        <v>110</v>
      </c>
      <c r="G54" s="4" t="s">
        <v>484</v>
      </c>
      <c r="H54" s="147">
        <f t="shared" si="10"/>
        <v>0</v>
      </c>
      <c r="I54" s="163"/>
      <c r="J54" s="163"/>
      <c r="K54" s="135">
        <v>2.18739419917349</v>
      </c>
      <c r="L54" s="125"/>
    </row>
    <row r="55" spans="1:12" x14ac:dyDescent="0.25">
      <c r="A55" s="27" t="s">
        <v>47</v>
      </c>
      <c r="B55" s="27"/>
      <c r="C55" s="27"/>
      <c r="D55" s="3" t="str">
        <f t="shared" si="9"/>
        <v>Diammonium Phosphate</v>
      </c>
      <c r="E55" s="27" t="s">
        <v>128</v>
      </c>
      <c r="F55" s="27" t="s">
        <v>392</v>
      </c>
      <c r="G55" s="4" t="s">
        <v>493</v>
      </c>
      <c r="H55" s="147">
        <f t="shared" si="10"/>
        <v>0</v>
      </c>
      <c r="I55" s="163"/>
      <c r="J55" s="163"/>
      <c r="K55" s="135">
        <v>2.9446952973455498</v>
      </c>
      <c r="L55" s="125"/>
    </row>
    <row r="56" spans="1:12" x14ac:dyDescent="0.25">
      <c r="A56" s="4" t="s">
        <v>411</v>
      </c>
      <c r="B56" s="3"/>
      <c r="C56" s="3"/>
      <c r="D56" s="3" t="str">
        <f t="shared" si="9"/>
        <v>Dimethyl Carbonate</v>
      </c>
      <c r="E56" s="27" t="s">
        <v>128</v>
      </c>
      <c r="F56" s="4" t="s">
        <v>413</v>
      </c>
      <c r="G56" s="136" t="s">
        <v>499</v>
      </c>
      <c r="H56" s="147">
        <f t="shared" si="10"/>
        <v>0</v>
      </c>
      <c r="I56" s="163"/>
      <c r="J56" s="163"/>
      <c r="K56" s="135">
        <v>1.49513173095475</v>
      </c>
      <c r="L56" s="137"/>
    </row>
    <row r="57" spans="1:12" x14ac:dyDescent="0.25">
      <c r="A57" s="4" t="s">
        <v>410</v>
      </c>
      <c r="B57" s="3"/>
      <c r="C57" s="3"/>
      <c r="D57" s="3" t="str">
        <f t="shared" si="9"/>
        <v>Ethylene Carbonate</v>
      </c>
      <c r="E57" s="27" t="s">
        <v>128</v>
      </c>
      <c r="F57" s="4" t="s">
        <v>412</v>
      </c>
      <c r="G57" s="27" t="s">
        <v>499</v>
      </c>
      <c r="H57" s="147">
        <f t="shared" si="10"/>
        <v>0</v>
      </c>
      <c r="I57" s="163"/>
      <c r="J57" s="163"/>
      <c r="K57" s="135">
        <v>1.49513173095475</v>
      </c>
      <c r="L57" s="160"/>
    </row>
    <row r="58" spans="1:12" x14ac:dyDescent="0.25">
      <c r="A58" s="27" t="s">
        <v>540</v>
      </c>
      <c r="B58" s="27"/>
      <c r="C58" s="27"/>
      <c r="D58" s="3" t="str">
        <f t="shared" si="9"/>
        <v>Glycol (Coolant)</v>
      </c>
      <c r="E58" s="27" t="s">
        <v>128</v>
      </c>
      <c r="F58" s="27" t="s">
        <v>541</v>
      </c>
      <c r="G58" s="27" t="s">
        <v>502</v>
      </c>
      <c r="H58" s="147">
        <f t="shared" si="10"/>
        <v>0</v>
      </c>
      <c r="I58" s="163"/>
      <c r="J58" s="163"/>
      <c r="K58" s="135">
        <v>2.94627735292468</v>
      </c>
      <c r="L58" s="125"/>
    </row>
    <row r="59" spans="1:12" x14ac:dyDescent="0.25">
      <c r="A59" s="3" t="s">
        <v>232</v>
      </c>
      <c r="B59" s="3"/>
      <c r="C59" s="3" t="s">
        <v>266</v>
      </c>
      <c r="D59" s="3" t="str">
        <f t="shared" si="9"/>
        <v>Graphite, Acheson, EI</v>
      </c>
      <c r="E59" s="27" t="s">
        <v>128</v>
      </c>
      <c r="F59" s="4" t="s">
        <v>514</v>
      </c>
      <c r="G59" s="136" t="s">
        <v>496</v>
      </c>
      <c r="H59" s="147">
        <f t="shared" si="10"/>
        <v>0</v>
      </c>
      <c r="I59" s="163"/>
      <c r="J59" s="163"/>
      <c r="K59" s="135">
        <v>1.8525092986024101</v>
      </c>
      <c r="L59" s="161"/>
    </row>
    <row r="60" spans="1:12" x14ac:dyDescent="0.25">
      <c r="A60" s="3" t="s">
        <v>232</v>
      </c>
      <c r="B60" s="3"/>
      <c r="C60" s="3" t="s">
        <v>534</v>
      </c>
      <c r="D60" s="3" t="str">
        <f t="shared" si="9"/>
        <v>Graphite, Calculation, Tokaï</v>
      </c>
      <c r="E60" s="27" t="s">
        <v>128</v>
      </c>
      <c r="F60" s="4" t="s">
        <v>535</v>
      </c>
      <c r="G60" s="3" t="s">
        <v>535</v>
      </c>
      <c r="H60" s="147">
        <f t="shared" si="10"/>
        <v>0</v>
      </c>
      <c r="I60" s="163"/>
      <c r="J60" s="163"/>
      <c r="K60" s="138"/>
      <c r="L60" s="137"/>
    </row>
    <row r="61" spans="1:12" x14ac:dyDescent="0.25">
      <c r="A61" s="3" t="s">
        <v>232</v>
      </c>
      <c r="B61" s="3"/>
      <c r="C61" s="3" t="s">
        <v>264</v>
      </c>
      <c r="D61" s="3" t="str">
        <f t="shared" si="9"/>
        <v>Graphite, CN</v>
      </c>
      <c r="E61" s="27" t="s">
        <v>128</v>
      </c>
      <c r="F61" s="4" t="s">
        <v>262</v>
      </c>
      <c r="G61" s="4" t="s">
        <v>496</v>
      </c>
      <c r="H61" s="147">
        <f t="shared" si="10"/>
        <v>0</v>
      </c>
      <c r="I61" s="163"/>
      <c r="J61" s="163"/>
      <c r="K61" s="135">
        <v>1.8525092986024101</v>
      </c>
      <c r="L61" s="137"/>
    </row>
    <row r="62" spans="1:12" x14ac:dyDescent="0.25">
      <c r="A62" s="3" t="s">
        <v>232</v>
      </c>
      <c r="B62" s="3"/>
      <c r="C62" s="3" t="s">
        <v>265</v>
      </c>
      <c r="D62" s="3" t="str">
        <f t="shared" si="9"/>
        <v>Graphite, RoW</v>
      </c>
      <c r="E62" s="27" t="s">
        <v>128</v>
      </c>
      <c r="F62" s="4" t="s">
        <v>263</v>
      </c>
      <c r="G62" s="4" t="s">
        <v>496</v>
      </c>
      <c r="H62" s="147">
        <f t="shared" si="10"/>
        <v>0</v>
      </c>
      <c r="I62" s="163"/>
      <c r="J62" s="163"/>
      <c r="K62" s="135">
        <v>1.8525092986024101</v>
      </c>
      <c r="L62" s="161"/>
    </row>
    <row r="63" spans="1:12" x14ac:dyDescent="0.25">
      <c r="A63" s="27" t="s">
        <v>35</v>
      </c>
      <c r="B63" s="27"/>
      <c r="C63" s="27"/>
      <c r="D63" s="3" t="str">
        <f t="shared" si="9"/>
        <v>Hydrochloric Acid (HCl)</v>
      </c>
      <c r="E63" s="27" t="s">
        <v>128</v>
      </c>
      <c r="F63" s="27" t="s">
        <v>180</v>
      </c>
      <c r="G63" s="27" t="s">
        <v>486</v>
      </c>
      <c r="H63" s="147">
        <f t="shared" si="10"/>
        <v>0</v>
      </c>
      <c r="I63" s="163"/>
      <c r="J63" s="163"/>
      <c r="K63" s="135">
        <v>6.3252001756979301E-2</v>
      </c>
      <c r="L63" s="125"/>
    </row>
    <row r="64" spans="1:12" x14ac:dyDescent="0.25">
      <c r="A64" s="27" t="s">
        <v>373</v>
      </c>
      <c r="B64" s="27"/>
      <c r="C64" s="27"/>
      <c r="D64" s="3" t="str">
        <f t="shared" si="9"/>
        <v>Hydrogen peroxide</v>
      </c>
      <c r="E64" s="27" t="s">
        <v>128</v>
      </c>
      <c r="F64" s="27" t="s">
        <v>181</v>
      </c>
      <c r="G64" s="141" t="s">
        <v>488</v>
      </c>
      <c r="H64" s="147">
        <f t="shared" si="10"/>
        <v>0</v>
      </c>
      <c r="I64" s="163"/>
      <c r="J64" s="163"/>
      <c r="K64" s="135">
        <v>1.01650766453629</v>
      </c>
      <c r="L64" s="125"/>
    </row>
    <row r="65" spans="1:12" x14ac:dyDescent="0.25">
      <c r="A65" s="27" t="s">
        <v>46</v>
      </c>
      <c r="B65" s="27"/>
      <c r="C65" s="27"/>
      <c r="D65" s="3" t="str">
        <f t="shared" si="9"/>
        <v>Iron Oxide (Fe3O4)</v>
      </c>
      <c r="E65" s="27" t="s">
        <v>128</v>
      </c>
      <c r="F65" s="27" t="s">
        <v>391</v>
      </c>
      <c r="G65" s="139"/>
      <c r="H65" s="147">
        <f t="shared" si="10"/>
        <v>0</v>
      </c>
      <c r="I65" s="163"/>
      <c r="J65" s="163"/>
      <c r="K65" s="138"/>
      <c r="L65" s="125"/>
    </row>
    <row r="66" spans="1:12" x14ac:dyDescent="0.25">
      <c r="A66" s="27" t="s">
        <v>43</v>
      </c>
      <c r="B66" s="27"/>
      <c r="C66" s="27"/>
      <c r="D66" s="3" t="str">
        <f t="shared" si="9"/>
        <v>Iron Sulfate (FeSO4)</v>
      </c>
      <c r="E66" s="27" t="s">
        <v>128</v>
      </c>
      <c r="F66" s="27" t="s">
        <v>395</v>
      </c>
      <c r="G66" s="4" t="s">
        <v>492</v>
      </c>
      <c r="H66" s="147">
        <f t="shared" si="10"/>
        <v>0</v>
      </c>
      <c r="I66" s="163"/>
      <c r="J66" s="163"/>
      <c r="K66" s="135">
        <v>9.9471791137724003E-2</v>
      </c>
      <c r="L66" s="125"/>
    </row>
    <row r="67" spans="1:12" x14ac:dyDescent="0.25">
      <c r="A67" s="27" t="s">
        <v>371</v>
      </c>
      <c r="B67" s="27"/>
      <c r="C67" s="27"/>
      <c r="D67" s="3" t="str">
        <f t="shared" si="9"/>
        <v>Limestone</v>
      </c>
      <c r="E67" s="27" t="s">
        <v>128</v>
      </c>
      <c r="F67" s="27" t="s">
        <v>176</v>
      </c>
      <c r="G67" s="4" t="s">
        <v>525</v>
      </c>
      <c r="H67" s="147">
        <f t="shared" si="10"/>
        <v>0</v>
      </c>
      <c r="I67" s="163"/>
      <c r="J67" s="163"/>
      <c r="K67" s="135">
        <v>2.3529206365562102E-3</v>
      </c>
      <c r="L67" s="125"/>
    </row>
    <row r="68" spans="1:12" x14ac:dyDescent="0.25">
      <c r="A68" s="3" t="s">
        <v>45</v>
      </c>
      <c r="B68" s="3"/>
      <c r="C68" s="3" t="s">
        <v>364</v>
      </c>
      <c r="D68" s="3" t="str">
        <f t="shared" si="9"/>
        <v>Lithium Carbonate (Li2CO3), GLO</v>
      </c>
      <c r="E68" s="27" t="s">
        <v>128</v>
      </c>
      <c r="F68" s="4" t="s">
        <v>114</v>
      </c>
      <c r="G68" s="134" t="s">
        <v>490</v>
      </c>
      <c r="H68" s="147">
        <f t="shared" si="10"/>
        <v>0</v>
      </c>
      <c r="I68" s="163"/>
      <c r="J68" s="163"/>
      <c r="K68" s="135">
        <v>2.4522339639550501</v>
      </c>
      <c r="L68" s="137"/>
    </row>
    <row r="69" spans="1:12" x14ac:dyDescent="0.25">
      <c r="A69" s="4" t="s">
        <v>546</v>
      </c>
      <c r="B69" s="3"/>
      <c r="C69" s="3"/>
      <c r="D69" s="3" t="str">
        <f t="shared" si="9"/>
        <v>Lithium Hexafluorophosphate (LiPF6)</v>
      </c>
      <c r="E69" s="27" t="s">
        <v>128</v>
      </c>
      <c r="F69" s="4" t="s">
        <v>409</v>
      </c>
      <c r="G69" s="27" t="s">
        <v>498</v>
      </c>
      <c r="H69" s="147">
        <f t="shared" si="10"/>
        <v>0</v>
      </c>
      <c r="I69" s="163"/>
      <c r="J69" s="163"/>
      <c r="K69" s="135">
        <v>20.8514384761746</v>
      </c>
      <c r="L69" s="137"/>
    </row>
    <row r="70" spans="1:12" x14ac:dyDescent="0.25">
      <c r="A70" s="27" t="s">
        <v>40</v>
      </c>
      <c r="B70" s="27"/>
      <c r="C70" s="27" t="s">
        <v>364</v>
      </c>
      <c r="D70" s="3" t="str">
        <f t="shared" si="9"/>
        <v>Lithium Hydoxide (LiOH), GLO</v>
      </c>
      <c r="E70" s="27" t="s">
        <v>128</v>
      </c>
      <c r="F70" s="27" t="s">
        <v>389</v>
      </c>
      <c r="G70" s="4" t="s">
        <v>490</v>
      </c>
      <c r="H70" s="147">
        <f t="shared" si="10"/>
        <v>0</v>
      </c>
      <c r="I70" s="163"/>
      <c r="J70" s="163"/>
      <c r="K70" s="135">
        <v>2.4522339639550501</v>
      </c>
      <c r="L70" s="125"/>
    </row>
    <row r="71" spans="1:12" x14ac:dyDescent="0.25">
      <c r="A71" s="27" t="s">
        <v>380</v>
      </c>
      <c r="B71" s="27"/>
      <c r="C71" s="27"/>
      <c r="D71" s="3" t="str">
        <f t="shared" si="9"/>
        <v>Manganese Dioxide (MnO2)</v>
      </c>
      <c r="E71" s="27" t="s">
        <v>128</v>
      </c>
      <c r="F71" s="27" t="s">
        <v>379</v>
      </c>
      <c r="G71" s="27" t="s">
        <v>495</v>
      </c>
      <c r="H71" s="147">
        <f t="shared" si="10"/>
        <v>0</v>
      </c>
      <c r="I71" s="163"/>
      <c r="J71" s="163"/>
      <c r="K71" s="135">
        <v>1.77086762980372</v>
      </c>
      <c r="L71" s="125"/>
    </row>
    <row r="72" spans="1:12" x14ac:dyDescent="0.25">
      <c r="A72" s="27" t="s">
        <v>522</v>
      </c>
      <c r="B72" s="27"/>
      <c r="C72" s="27"/>
      <c r="D72" s="3" t="str">
        <f t="shared" si="9"/>
        <v>Manganese Oxide (MnO2)</v>
      </c>
      <c r="E72" s="27" t="s">
        <v>128</v>
      </c>
      <c r="F72" s="27" t="s">
        <v>379</v>
      </c>
      <c r="G72" s="27" t="s">
        <v>495</v>
      </c>
      <c r="H72" s="147">
        <f t="shared" si="10"/>
        <v>0</v>
      </c>
      <c r="I72" s="163"/>
      <c r="J72" s="163"/>
      <c r="K72" s="135">
        <v>1.77086762980372</v>
      </c>
      <c r="L72" s="125"/>
    </row>
    <row r="73" spans="1:12" x14ac:dyDescent="0.25">
      <c r="A73" s="27" t="s">
        <v>32</v>
      </c>
      <c r="B73" s="27"/>
      <c r="C73" s="27" t="s">
        <v>364</v>
      </c>
      <c r="D73" s="3" t="str">
        <f t="shared" si="9"/>
        <v>Manganese Sulfate (MnSO4), GLO</v>
      </c>
      <c r="E73" s="27" t="s">
        <v>128</v>
      </c>
      <c r="F73" s="27" t="s">
        <v>365</v>
      </c>
      <c r="G73" s="4" t="s">
        <v>524</v>
      </c>
      <c r="H73" s="147">
        <f t="shared" si="10"/>
        <v>0</v>
      </c>
      <c r="I73" s="163"/>
      <c r="J73" s="163"/>
      <c r="K73" s="135">
        <v>1.55778170667773</v>
      </c>
      <c r="L73" s="125"/>
    </row>
    <row r="74" spans="1:12" x14ac:dyDescent="0.25">
      <c r="A74" s="27" t="s">
        <v>30</v>
      </c>
      <c r="B74" s="27"/>
      <c r="C74" s="27" t="s">
        <v>364</v>
      </c>
      <c r="D74" s="3" t="str">
        <f t="shared" si="9"/>
        <v>Nickel Sulfate (NiSO4), GLO</v>
      </c>
      <c r="E74" s="27" t="s">
        <v>128</v>
      </c>
      <c r="F74" s="27" t="s">
        <v>363</v>
      </c>
      <c r="G74" s="134" t="s">
        <v>523</v>
      </c>
      <c r="H74" s="147">
        <f t="shared" si="10"/>
        <v>0</v>
      </c>
      <c r="I74" s="163"/>
      <c r="J74" s="163"/>
      <c r="K74" s="64">
        <v>9.8241626081045208</v>
      </c>
      <c r="L74" s="125"/>
    </row>
    <row r="75" spans="1:12" x14ac:dyDescent="0.25">
      <c r="A75" s="27" t="s">
        <v>48</v>
      </c>
      <c r="B75" s="27"/>
      <c r="C75" s="27"/>
      <c r="D75" s="3" t="str">
        <f t="shared" si="9"/>
        <v>NMP</v>
      </c>
      <c r="E75" s="27" t="s">
        <v>128</v>
      </c>
      <c r="F75" s="27" t="s">
        <v>393</v>
      </c>
      <c r="G75" s="4" t="s">
        <v>494</v>
      </c>
      <c r="H75" s="147">
        <f t="shared" si="10"/>
        <v>0</v>
      </c>
      <c r="I75" s="163"/>
      <c r="J75" s="163"/>
      <c r="K75" s="135">
        <v>3.8082324780918002</v>
      </c>
      <c r="L75" s="125"/>
    </row>
    <row r="76" spans="1:12" x14ac:dyDescent="0.25">
      <c r="A76" s="27" t="s">
        <v>41</v>
      </c>
      <c r="B76" s="27"/>
      <c r="C76" s="27"/>
      <c r="D76" s="3" t="str">
        <f t="shared" si="9"/>
        <v>Oxygen (O2)</v>
      </c>
      <c r="E76" s="27" t="s">
        <v>128</v>
      </c>
      <c r="F76" s="27"/>
      <c r="G76" s="4"/>
      <c r="H76" s="147">
        <f t="shared" si="10"/>
        <v>0</v>
      </c>
      <c r="I76" s="163"/>
      <c r="J76" s="163"/>
      <c r="K76" s="135"/>
      <c r="L76" s="125"/>
    </row>
    <row r="77" spans="1:12" x14ac:dyDescent="0.25">
      <c r="A77" s="27" t="s">
        <v>42</v>
      </c>
      <c r="B77" s="27"/>
      <c r="C77" s="27"/>
      <c r="D77" s="3" t="str">
        <f t="shared" si="9"/>
        <v>Phosphoric Acid (H3PO4)</v>
      </c>
      <c r="E77" s="27" t="s">
        <v>128</v>
      </c>
      <c r="F77" s="27" t="s">
        <v>394</v>
      </c>
      <c r="G77" s="4" t="s">
        <v>491</v>
      </c>
      <c r="H77" s="147">
        <f t="shared" si="10"/>
        <v>0</v>
      </c>
      <c r="I77" s="163"/>
      <c r="J77" s="163"/>
      <c r="K77" s="135">
        <v>1.43961066084291</v>
      </c>
      <c r="L77" s="125"/>
    </row>
    <row r="78" spans="1:12" x14ac:dyDescent="0.25">
      <c r="A78" s="3" t="s">
        <v>547</v>
      </c>
      <c r="B78" s="3"/>
      <c r="C78" s="3"/>
      <c r="D78" s="3" t="str">
        <f t="shared" si="9"/>
        <v>Polyvinylfluoride (PVF)</v>
      </c>
      <c r="E78" s="27" t="s">
        <v>128</v>
      </c>
      <c r="F78" s="4" t="s">
        <v>406</v>
      </c>
      <c r="G78" s="139" t="s">
        <v>480</v>
      </c>
      <c r="H78" s="147">
        <f t="shared" si="10"/>
        <v>0</v>
      </c>
      <c r="I78" s="163"/>
      <c r="J78" s="163"/>
      <c r="K78" s="138">
        <v>0</v>
      </c>
      <c r="L78" s="137"/>
    </row>
    <row r="79" spans="1:12" x14ac:dyDescent="0.25">
      <c r="A79" s="27" t="s">
        <v>475</v>
      </c>
      <c r="B79" s="27"/>
      <c r="C79" s="27"/>
      <c r="D79" s="3" t="str">
        <f t="shared" si="9"/>
        <v>Potassium hydroxide (KOH)</v>
      </c>
      <c r="E79" s="27" t="s">
        <v>128</v>
      </c>
      <c r="F79" s="27" t="s">
        <v>474</v>
      </c>
      <c r="G79" s="15"/>
      <c r="H79" s="147">
        <f t="shared" si="10"/>
        <v>0</v>
      </c>
      <c r="I79" s="163"/>
      <c r="J79" s="163"/>
      <c r="K79" s="138">
        <v>0</v>
      </c>
      <c r="L79" s="125"/>
    </row>
    <row r="80" spans="1:12" x14ac:dyDescent="0.25">
      <c r="A80" s="27" t="s">
        <v>372</v>
      </c>
      <c r="B80" s="27"/>
      <c r="C80" s="27"/>
      <c r="D80" s="3" t="str">
        <f t="shared" si="9"/>
        <v>Quicklime</v>
      </c>
      <c r="E80" s="27" t="s">
        <v>128</v>
      </c>
      <c r="F80" s="49" t="s">
        <v>178</v>
      </c>
      <c r="G80" s="4" t="s">
        <v>527</v>
      </c>
      <c r="H80" s="147">
        <f t="shared" si="10"/>
        <v>0</v>
      </c>
      <c r="I80" s="163"/>
      <c r="J80" s="163"/>
      <c r="K80" s="135">
        <v>1.1713788049391201</v>
      </c>
      <c r="L80" s="125"/>
    </row>
    <row r="81" spans="1:12" x14ac:dyDescent="0.25">
      <c r="A81" s="27" t="s">
        <v>134</v>
      </c>
      <c r="B81" s="27"/>
      <c r="C81" s="27"/>
      <c r="D81" s="3" t="str">
        <f t="shared" si="9"/>
        <v>Silica sand</v>
      </c>
      <c r="E81" s="27" t="s">
        <v>128</v>
      </c>
      <c r="F81" s="49" t="s">
        <v>177</v>
      </c>
      <c r="G81" s="4" t="s">
        <v>526</v>
      </c>
      <c r="H81" s="147">
        <f t="shared" si="10"/>
        <v>0</v>
      </c>
      <c r="I81" s="163"/>
      <c r="J81" s="163"/>
      <c r="K81" s="135">
        <v>2.2592245704359599E-2</v>
      </c>
      <c r="L81" s="125"/>
    </row>
    <row r="82" spans="1:12" ht="14.3" customHeight="1" x14ac:dyDescent="0.25">
      <c r="A82" s="27" t="s">
        <v>374</v>
      </c>
      <c r="B82" s="27"/>
      <c r="C82" s="27"/>
      <c r="D82" s="3" t="str">
        <f t="shared" si="9"/>
        <v>Soda</v>
      </c>
      <c r="E82" s="27" t="s">
        <v>128</v>
      </c>
      <c r="F82" s="49" t="s">
        <v>182</v>
      </c>
      <c r="G82" s="140" t="s">
        <v>489</v>
      </c>
      <c r="H82" s="147">
        <f t="shared" si="10"/>
        <v>0</v>
      </c>
      <c r="I82" s="163"/>
      <c r="J82" s="163"/>
      <c r="K82" s="135">
        <v>0.95629717265737901</v>
      </c>
      <c r="L82" s="125"/>
    </row>
    <row r="83" spans="1:12" x14ac:dyDescent="0.25">
      <c r="A83" s="27" t="s">
        <v>38</v>
      </c>
      <c r="B83" s="27"/>
      <c r="C83" s="27"/>
      <c r="D83" s="3" t="str">
        <f t="shared" si="9"/>
        <v>Soda ash (Na2CO3)</v>
      </c>
      <c r="E83" s="27" t="s">
        <v>128</v>
      </c>
      <c r="F83" s="142"/>
      <c r="G83" s="27" t="s">
        <v>489</v>
      </c>
      <c r="H83" s="147">
        <f t="shared" si="10"/>
        <v>0</v>
      </c>
      <c r="I83" s="163"/>
      <c r="J83" s="163"/>
      <c r="K83" s="135">
        <v>0.95629717265737901</v>
      </c>
      <c r="L83" s="125"/>
    </row>
    <row r="84" spans="1:12" x14ac:dyDescent="0.25">
      <c r="A84" s="27" t="s">
        <v>529</v>
      </c>
      <c r="B84" s="27"/>
      <c r="C84" s="27"/>
      <c r="D84" s="3" t="str">
        <f t="shared" si="9"/>
        <v>Sodium fluoride (NaF)</v>
      </c>
      <c r="E84" s="27" t="s">
        <v>128</v>
      </c>
      <c r="F84" s="125" t="s">
        <v>530</v>
      </c>
      <c r="G84" s="134" t="s">
        <v>485</v>
      </c>
      <c r="H84" s="147">
        <f t="shared" si="10"/>
        <v>0</v>
      </c>
      <c r="I84" s="163"/>
      <c r="J84" s="163"/>
      <c r="K84" s="135">
        <v>0.61969547369409606</v>
      </c>
      <c r="L84" s="125"/>
    </row>
    <row r="85" spans="1:12" ht="15.65" customHeight="1" x14ac:dyDescent="0.25">
      <c r="A85" s="27" t="s">
        <v>33</v>
      </c>
      <c r="B85" s="27"/>
      <c r="C85" s="27" t="s">
        <v>364</v>
      </c>
      <c r="D85" s="3" t="str">
        <f t="shared" si="9"/>
        <v>Sodium Hydroxide (NaOH), GLO</v>
      </c>
      <c r="E85" s="27" t="s">
        <v>128</v>
      </c>
      <c r="F85" s="27" t="s">
        <v>183</v>
      </c>
      <c r="G85" s="4" t="s">
        <v>485</v>
      </c>
      <c r="H85" s="147">
        <f t="shared" si="10"/>
        <v>0</v>
      </c>
      <c r="I85" s="163"/>
      <c r="J85" s="163"/>
      <c r="K85" s="135">
        <v>0.61969547369409606</v>
      </c>
      <c r="L85" s="125"/>
    </row>
    <row r="86" spans="1:12" x14ac:dyDescent="0.25">
      <c r="A86" s="27" t="s">
        <v>92</v>
      </c>
      <c r="B86" s="27"/>
      <c r="C86" s="27"/>
      <c r="D86" s="3" t="str">
        <f t="shared" si="9"/>
        <v>Sulfuric acid (H2SO4)</v>
      </c>
      <c r="E86" s="27" t="s">
        <v>128</v>
      </c>
      <c r="F86" s="27" t="s">
        <v>92</v>
      </c>
      <c r="G86" s="4" t="s">
        <v>481</v>
      </c>
      <c r="H86" s="147">
        <f t="shared" si="10"/>
        <v>0</v>
      </c>
      <c r="I86" s="163"/>
      <c r="J86" s="163"/>
      <c r="K86" s="135">
        <v>0.153087873527953</v>
      </c>
      <c r="L86" s="125"/>
    </row>
    <row r="87" spans="1:12" x14ac:dyDescent="0.25">
      <c r="A87" s="27" t="s">
        <v>92</v>
      </c>
      <c r="B87" s="27"/>
      <c r="C87" s="27" t="s">
        <v>521</v>
      </c>
      <c r="D87" s="3" t="str">
        <f t="shared" si="9"/>
        <v>Sulfuric acid (H2SO4), from viscose production</v>
      </c>
      <c r="E87" s="27" t="s">
        <v>128</v>
      </c>
      <c r="F87" s="27" t="s">
        <v>92</v>
      </c>
      <c r="G87" s="4" t="s">
        <v>482</v>
      </c>
      <c r="H87" s="147">
        <f t="shared" si="10"/>
        <v>0</v>
      </c>
      <c r="I87" s="163"/>
      <c r="J87" s="163"/>
      <c r="K87" s="135">
        <v>0.16733709483341799</v>
      </c>
      <c r="L87" s="125"/>
    </row>
    <row r="88" spans="1:12" x14ac:dyDescent="0.25">
      <c r="A88" s="3" t="s">
        <v>301</v>
      </c>
      <c r="B88" s="3" t="s">
        <v>301</v>
      </c>
      <c r="C88" s="3"/>
      <c r="D88" s="3" t="str">
        <f t="shared" si="9"/>
        <v>Zinc</v>
      </c>
      <c r="E88" s="27" t="s">
        <v>128</v>
      </c>
      <c r="F88" s="27" t="s">
        <v>469</v>
      </c>
      <c r="G88" s="15"/>
      <c r="H88" s="147">
        <f t="shared" si="10"/>
        <v>0</v>
      </c>
      <c r="I88" s="163"/>
      <c r="J88" s="163"/>
      <c r="K88" s="138"/>
      <c r="L88" s="162"/>
    </row>
    <row r="90" spans="1:12" x14ac:dyDescent="0.25">
      <c r="A90" s="148" t="s">
        <v>548</v>
      </c>
    </row>
    <row r="91" spans="1:12" ht="28.55" x14ac:dyDescent="0.25">
      <c r="A91" s="1" t="s">
        <v>345</v>
      </c>
      <c r="B91" s="1" t="s">
        <v>346</v>
      </c>
      <c r="C91" s="1" t="s">
        <v>478</v>
      </c>
      <c r="D91" s="1" t="s">
        <v>455</v>
      </c>
      <c r="E91" s="1" t="s">
        <v>195</v>
      </c>
      <c r="F91" s="1" t="s">
        <v>476</v>
      </c>
      <c r="G91" s="1" t="s">
        <v>477</v>
      </c>
      <c r="H91" s="91" t="str">
        <f>$B$1</f>
        <v>ECS EI3.9.1 (Pts)</v>
      </c>
      <c r="I91" s="91"/>
      <c r="J91" s="91" t="s">
        <v>518</v>
      </c>
      <c r="K91" s="91" t="s">
        <v>519</v>
      </c>
      <c r="L91" s="91" t="s">
        <v>520</v>
      </c>
    </row>
    <row r="92" spans="1:12" x14ac:dyDescent="0.25">
      <c r="A92" s="49" t="s">
        <v>221</v>
      </c>
      <c r="B92" s="27"/>
      <c r="C92" s="27" t="s">
        <v>268</v>
      </c>
      <c r="D92" s="3" t="str">
        <f t="shared" ref="D92:D112" si="11">IF(ISBLANK(C92),A92,A92&amp;", "&amp;C92)</f>
        <v>Heat, Europe</v>
      </c>
      <c r="E92" s="27" t="s">
        <v>206</v>
      </c>
      <c r="F92" s="27"/>
      <c r="G92" s="12"/>
      <c r="H92" s="147">
        <f t="shared" ref="H92:H112" si="12">_xlfn.XLOOKUP($B$1,$I$3:$L$3,$I92:$L92,,0)</f>
        <v>3.92</v>
      </c>
      <c r="I92" s="163"/>
      <c r="J92" s="64">
        <v>3.92</v>
      </c>
      <c r="K92" s="138">
        <v>0</v>
      </c>
      <c r="L92" s="103"/>
    </row>
    <row r="93" spans="1:12" x14ac:dyDescent="0.25">
      <c r="A93" s="49" t="s">
        <v>221</v>
      </c>
      <c r="B93" s="27"/>
      <c r="C93" s="27" t="s">
        <v>265</v>
      </c>
      <c r="D93" s="3" t="str">
        <f t="shared" si="11"/>
        <v>Heat, RoW</v>
      </c>
      <c r="E93" s="27" t="s">
        <v>206</v>
      </c>
      <c r="F93" s="27"/>
      <c r="G93" s="12"/>
      <c r="H93" s="147">
        <f t="shared" si="12"/>
        <v>6.79</v>
      </c>
      <c r="I93" s="163"/>
      <c r="J93" s="27">
        <v>6.79</v>
      </c>
      <c r="K93" s="138">
        <v>0</v>
      </c>
      <c r="L93" s="125"/>
    </row>
    <row r="94" spans="1:12" x14ac:dyDescent="0.25">
      <c r="A94" s="49" t="s">
        <v>271</v>
      </c>
      <c r="B94" s="27"/>
      <c r="C94" s="27" t="s">
        <v>268</v>
      </c>
      <c r="D94" s="3" t="str">
        <f t="shared" si="11"/>
        <v>Heat, from natural gas, Europe</v>
      </c>
      <c r="E94" s="27" t="s">
        <v>206</v>
      </c>
      <c r="F94" s="49" t="s">
        <v>201</v>
      </c>
      <c r="G94" s="49" t="s">
        <v>511</v>
      </c>
      <c r="H94" s="147">
        <f t="shared" si="12"/>
        <v>0</v>
      </c>
      <c r="I94" s="163"/>
      <c r="J94" s="163"/>
      <c r="K94" s="27">
        <v>5.5524476198110198E-2</v>
      </c>
      <c r="L94" s="125"/>
    </row>
    <row r="95" spans="1:12" x14ac:dyDescent="0.25">
      <c r="A95" s="49" t="s">
        <v>271</v>
      </c>
      <c r="B95" s="27"/>
      <c r="C95" s="27" t="s">
        <v>265</v>
      </c>
      <c r="D95" s="3" t="str">
        <f t="shared" si="11"/>
        <v>Heat, from natural gas, RoW</v>
      </c>
      <c r="E95" s="27" t="s">
        <v>206</v>
      </c>
      <c r="F95" s="49" t="s">
        <v>512</v>
      </c>
      <c r="G95" s="142"/>
      <c r="H95" s="147">
        <f t="shared" si="12"/>
        <v>0</v>
      </c>
      <c r="I95" s="163"/>
      <c r="J95" s="163"/>
      <c r="K95" s="138">
        <v>0</v>
      </c>
      <c r="L95" s="125"/>
    </row>
    <row r="96" spans="1:12" x14ac:dyDescent="0.25">
      <c r="A96" s="49" t="s">
        <v>272</v>
      </c>
      <c r="B96" s="27"/>
      <c r="C96" s="27" t="s">
        <v>268</v>
      </c>
      <c r="D96" s="3" t="str">
        <f t="shared" si="11"/>
        <v>Heat from diesel fuel, Europe</v>
      </c>
      <c r="E96" s="27" t="s">
        <v>206</v>
      </c>
      <c r="F96" s="49" t="s">
        <v>202</v>
      </c>
      <c r="G96" s="142"/>
      <c r="H96" s="147">
        <f t="shared" si="12"/>
        <v>0</v>
      </c>
      <c r="I96" s="163"/>
      <c r="J96" s="163"/>
      <c r="K96" s="138">
        <v>0</v>
      </c>
      <c r="L96" s="125"/>
    </row>
    <row r="97" spans="1:12" x14ac:dyDescent="0.25">
      <c r="A97" s="49" t="s">
        <v>272</v>
      </c>
      <c r="B97" s="27"/>
      <c r="C97" s="27" t="s">
        <v>265</v>
      </c>
      <c r="D97" s="3" t="str">
        <f t="shared" si="11"/>
        <v>Heat from diesel fuel, RoW</v>
      </c>
      <c r="E97" s="27" t="s">
        <v>206</v>
      </c>
      <c r="F97" s="49" t="s">
        <v>513</v>
      </c>
      <c r="G97" s="142"/>
      <c r="H97" s="147">
        <f t="shared" si="12"/>
        <v>0</v>
      </c>
      <c r="I97" s="163"/>
      <c r="J97" s="163"/>
      <c r="K97" s="138">
        <v>0</v>
      </c>
      <c r="L97" s="125"/>
    </row>
    <row r="98" spans="1:12" x14ac:dyDescent="0.25">
      <c r="A98" s="27" t="s">
        <v>130</v>
      </c>
      <c r="B98" s="27"/>
      <c r="C98" s="27" t="s">
        <v>269</v>
      </c>
      <c r="D98" s="3" t="str">
        <f t="shared" si="11"/>
        <v>Electricity mix, RER</v>
      </c>
      <c r="E98" s="27" t="s">
        <v>196</v>
      </c>
      <c r="F98" s="49" t="s">
        <v>200</v>
      </c>
      <c r="G98" s="4"/>
      <c r="H98" s="147">
        <f t="shared" si="12"/>
        <v>25.72</v>
      </c>
      <c r="I98" s="163"/>
      <c r="J98" s="27">
        <v>25.72</v>
      </c>
      <c r="K98" s="138">
        <v>0</v>
      </c>
      <c r="L98" s="125"/>
    </row>
    <row r="99" spans="1:12" x14ac:dyDescent="0.25">
      <c r="A99" s="27" t="s">
        <v>130</v>
      </c>
      <c r="B99" s="27"/>
      <c r="C99" s="27" t="s">
        <v>299</v>
      </c>
      <c r="D99" s="3" t="str">
        <f t="shared" si="11"/>
        <v>Electricity mix, FR</v>
      </c>
      <c r="E99" s="27" t="s">
        <v>196</v>
      </c>
      <c r="F99" s="27" t="s">
        <v>287</v>
      </c>
      <c r="G99" s="4" t="s">
        <v>505</v>
      </c>
      <c r="H99" s="147">
        <f t="shared" si="12"/>
        <v>14.060180111796129</v>
      </c>
      <c r="I99" s="163"/>
      <c r="J99" s="64">
        <v>14.060180111796129</v>
      </c>
      <c r="K99" s="135">
        <v>6.444516120716845E-2</v>
      </c>
      <c r="L99" s="103"/>
    </row>
    <row r="100" spans="1:12" x14ac:dyDescent="0.25">
      <c r="A100" s="27" t="s">
        <v>130</v>
      </c>
      <c r="B100" s="27"/>
      <c r="C100" s="27" t="s">
        <v>264</v>
      </c>
      <c r="D100" s="3" t="str">
        <f t="shared" si="11"/>
        <v>Electricity mix, CN</v>
      </c>
      <c r="E100" s="27" t="s">
        <v>196</v>
      </c>
      <c r="F100" s="27" t="s">
        <v>280</v>
      </c>
      <c r="G100" s="4" t="s">
        <v>503</v>
      </c>
      <c r="H100" s="147">
        <f t="shared" si="12"/>
        <v>61.802362806199227</v>
      </c>
      <c r="I100" s="164"/>
      <c r="J100" s="64">
        <v>61.802362806199227</v>
      </c>
      <c r="K100" s="135">
        <v>0.69787359502223034</v>
      </c>
      <c r="L100" s="103"/>
    </row>
    <row r="101" spans="1:12" x14ac:dyDescent="0.25">
      <c r="A101" s="27" t="s">
        <v>130</v>
      </c>
      <c r="B101" s="27"/>
      <c r="C101" s="27" t="s">
        <v>289</v>
      </c>
      <c r="D101" s="3" t="str">
        <f t="shared" si="11"/>
        <v>Electricity mix, RAF</v>
      </c>
      <c r="E101" s="27" t="s">
        <v>196</v>
      </c>
      <c r="F101" s="27" t="s">
        <v>276</v>
      </c>
      <c r="G101" s="15"/>
      <c r="H101" s="147">
        <f t="shared" si="12"/>
        <v>47.556034193210792</v>
      </c>
      <c r="I101" s="163"/>
      <c r="J101" s="64">
        <v>47.556034193210792</v>
      </c>
      <c r="K101" s="138"/>
      <c r="L101" s="103"/>
    </row>
    <row r="102" spans="1:12" x14ac:dyDescent="0.25">
      <c r="A102" s="27" t="s">
        <v>130</v>
      </c>
      <c r="B102" s="27"/>
      <c r="C102" s="27" t="s">
        <v>290</v>
      </c>
      <c r="D102" s="3" t="str">
        <f t="shared" si="11"/>
        <v>Electricity mix, RNA</v>
      </c>
      <c r="E102" s="27" t="s">
        <v>196</v>
      </c>
      <c r="F102" s="27" t="s">
        <v>277</v>
      </c>
      <c r="G102" s="15"/>
      <c r="H102" s="147">
        <f t="shared" si="12"/>
        <v>27.719243359866617</v>
      </c>
      <c r="I102" s="163"/>
      <c r="J102" s="64">
        <v>27.719243359866617</v>
      </c>
      <c r="K102" s="138"/>
      <c r="L102" s="103"/>
    </row>
    <row r="103" spans="1:12" ht="14.3" customHeight="1" x14ac:dyDescent="0.25">
      <c r="A103" s="27" t="s">
        <v>130</v>
      </c>
      <c r="B103" s="27"/>
      <c r="C103" s="27" t="s">
        <v>291</v>
      </c>
      <c r="D103" s="3" t="str">
        <f t="shared" si="11"/>
        <v>Electricity mix, RLA</v>
      </c>
      <c r="E103" s="27" t="s">
        <v>196</v>
      </c>
      <c r="F103" s="27" t="s">
        <v>278</v>
      </c>
      <c r="G103" s="15"/>
      <c r="H103" s="147">
        <f t="shared" si="12"/>
        <v>26.780145428508828</v>
      </c>
      <c r="I103" s="163"/>
      <c r="J103" s="64">
        <v>26.780145428508828</v>
      </c>
      <c r="K103" s="138"/>
      <c r="L103" s="103"/>
    </row>
    <row r="104" spans="1:12" x14ac:dyDescent="0.25">
      <c r="A104" s="27" t="s">
        <v>130</v>
      </c>
      <c r="B104" s="27"/>
      <c r="C104" s="27" t="s">
        <v>292</v>
      </c>
      <c r="D104" s="3" t="str">
        <f t="shared" si="11"/>
        <v>Electricity mix, RAS</v>
      </c>
      <c r="E104" s="27" t="s">
        <v>196</v>
      </c>
      <c r="F104" s="27" t="s">
        <v>279</v>
      </c>
      <c r="G104" s="15"/>
      <c r="H104" s="147">
        <f t="shared" si="12"/>
        <v>58.220356223204497</v>
      </c>
      <c r="I104" s="163"/>
      <c r="J104" s="64">
        <v>58.220356223204497</v>
      </c>
      <c r="K104" s="138"/>
      <c r="L104" s="103"/>
    </row>
    <row r="105" spans="1:12" x14ac:dyDescent="0.25">
      <c r="A105" s="27" t="s">
        <v>130</v>
      </c>
      <c r="B105" s="27"/>
      <c r="C105" s="27" t="s">
        <v>293</v>
      </c>
      <c r="D105" s="3" t="str">
        <f t="shared" si="11"/>
        <v>Electricity mix, IN</v>
      </c>
      <c r="E105" s="27" t="s">
        <v>196</v>
      </c>
      <c r="F105" s="27" t="s">
        <v>281</v>
      </c>
      <c r="G105" s="4" t="s">
        <v>507</v>
      </c>
      <c r="H105" s="147">
        <f t="shared" si="12"/>
        <v>78.243294892703048</v>
      </c>
      <c r="I105" s="163"/>
      <c r="J105" s="64">
        <v>78.243294892703048</v>
      </c>
      <c r="K105" s="135">
        <v>0.91113627116416318</v>
      </c>
      <c r="L105" s="103"/>
    </row>
    <row r="106" spans="1:12" x14ac:dyDescent="0.25">
      <c r="A106" s="27" t="s">
        <v>130</v>
      </c>
      <c r="B106" s="27"/>
      <c r="C106" s="27" t="s">
        <v>294</v>
      </c>
      <c r="D106" s="3" t="str">
        <f t="shared" si="11"/>
        <v>Electricity mix, MA</v>
      </c>
      <c r="E106" s="27" t="s">
        <v>196</v>
      </c>
      <c r="F106" s="27" t="s">
        <v>282</v>
      </c>
      <c r="G106" s="15"/>
      <c r="H106" s="147">
        <f t="shared" si="12"/>
        <v>57.611567582434049</v>
      </c>
      <c r="I106" s="163"/>
      <c r="J106" s="64">
        <v>57.611567582434049</v>
      </c>
      <c r="K106" s="138"/>
      <c r="L106" s="103"/>
    </row>
    <row r="107" spans="1:12" x14ac:dyDescent="0.25">
      <c r="A107" s="27" t="s">
        <v>130</v>
      </c>
      <c r="B107" s="27"/>
      <c r="C107" s="27" t="s">
        <v>295</v>
      </c>
      <c r="D107" s="3" t="str">
        <f t="shared" si="11"/>
        <v>Electricity mix, CZ</v>
      </c>
      <c r="E107" s="27" t="s">
        <v>196</v>
      </c>
      <c r="F107" s="27" t="s">
        <v>283</v>
      </c>
      <c r="G107" s="4" t="s">
        <v>504</v>
      </c>
      <c r="H107" s="147">
        <f t="shared" si="12"/>
        <v>42.168856119216152</v>
      </c>
      <c r="I107" s="163"/>
      <c r="J107" s="64">
        <v>42.168856119216152</v>
      </c>
      <c r="K107" s="135">
        <v>0.47872354337369277</v>
      </c>
      <c r="L107" s="103"/>
    </row>
    <row r="108" spans="1:12" x14ac:dyDescent="0.25">
      <c r="A108" s="27" t="s">
        <v>130</v>
      </c>
      <c r="B108" s="27"/>
      <c r="C108" s="27" t="s">
        <v>296</v>
      </c>
      <c r="D108" s="3" t="str">
        <f t="shared" si="11"/>
        <v>Electricity mix, TR</v>
      </c>
      <c r="E108" s="27" t="s">
        <v>196</v>
      </c>
      <c r="F108" s="27" t="s">
        <v>284</v>
      </c>
      <c r="G108" s="4" t="s">
        <v>509</v>
      </c>
      <c r="H108" s="147">
        <f t="shared" si="12"/>
        <v>38.469276774423726</v>
      </c>
      <c r="I108" s="163"/>
      <c r="J108" s="64">
        <v>38.469276774423726</v>
      </c>
      <c r="K108" s="135">
        <v>0.51761885787282957</v>
      </c>
      <c r="L108" s="103"/>
    </row>
    <row r="109" spans="1:12" x14ac:dyDescent="0.25">
      <c r="A109" s="27" t="s">
        <v>130</v>
      </c>
      <c r="B109" s="27"/>
      <c r="C109" s="27" t="s">
        <v>297</v>
      </c>
      <c r="D109" s="3" t="str">
        <f t="shared" si="11"/>
        <v>Electricity mix, VN</v>
      </c>
      <c r="E109" s="27" t="s">
        <v>196</v>
      </c>
      <c r="F109" s="27" t="s">
        <v>285</v>
      </c>
      <c r="G109" s="4" t="s">
        <v>510</v>
      </c>
      <c r="H109" s="147">
        <f t="shared" si="12"/>
        <v>41.669698737758864</v>
      </c>
      <c r="I109" s="163"/>
      <c r="J109" s="64">
        <v>41.669698737758864</v>
      </c>
      <c r="K109" s="135">
        <v>0.51404809628138037</v>
      </c>
      <c r="L109" s="103"/>
    </row>
    <row r="110" spans="1:12" x14ac:dyDescent="0.25">
      <c r="A110" s="27" t="s">
        <v>130</v>
      </c>
      <c r="B110" s="27"/>
      <c r="C110" s="27" t="s">
        <v>298</v>
      </c>
      <c r="D110" s="3" t="str">
        <f t="shared" si="11"/>
        <v>Electricity mix, DE</v>
      </c>
      <c r="E110" s="27" t="s">
        <v>196</v>
      </c>
      <c r="F110" s="27" t="s">
        <v>286</v>
      </c>
      <c r="G110" s="4" t="s">
        <v>506</v>
      </c>
      <c r="H110" s="147">
        <f t="shared" si="12"/>
        <v>28.17523988697144</v>
      </c>
      <c r="I110" s="163"/>
      <c r="J110" s="64">
        <v>28.17523988697144</v>
      </c>
      <c r="K110" s="135">
        <v>0.41313065313411362</v>
      </c>
      <c r="L110" s="103"/>
    </row>
    <row r="111" spans="1:12" x14ac:dyDescent="0.25">
      <c r="A111" s="27" t="s">
        <v>130</v>
      </c>
      <c r="B111" s="27"/>
      <c r="C111" s="27" t="s">
        <v>300</v>
      </c>
      <c r="D111" s="3" t="str">
        <f t="shared" si="11"/>
        <v>Electricity mix, PL</v>
      </c>
      <c r="E111" s="27" t="s">
        <v>196</v>
      </c>
      <c r="F111" s="27" t="s">
        <v>288</v>
      </c>
      <c r="G111" s="4" t="s">
        <v>508</v>
      </c>
      <c r="H111" s="147">
        <f t="shared" si="12"/>
        <v>64.962932972644893</v>
      </c>
      <c r="I111" s="163"/>
      <c r="J111" s="64">
        <v>64.962932972644893</v>
      </c>
      <c r="K111" s="135">
        <v>0.70144960148997126</v>
      </c>
      <c r="L111" s="103"/>
    </row>
    <row r="112" spans="1:12" x14ac:dyDescent="0.25">
      <c r="A112" s="27" t="s">
        <v>360</v>
      </c>
      <c r="B112" s="27"/>
      <c r="C112" s="27"/>
      <c r="D112" s="3" t="str">
        <f t="shared" si="11"/>
        <v>Direct process GHG emissions</v>
      </c>
      <c r="E112" s="65" t="s">
        <v>128</v>
      </c>
      <c r="F112" s="27"/>
      <c r="G112" s="27"/>
      <c r="H112" s="147">
        <f t="shared" si="12"/>
        <v>27.9</v>
      </c>
      <c r="I112" s="163"/>
      <c r="J112" s="27">
        <v>27.9</v>
      </c>
      <c r="K112" s="27">
        <v>1</v>
      </c>
      <c r="L112" s="27">
        <v>27.9</v>
      </c>
    </row>
    <row r="113" spans="1:12" ht="4.95" customHeight="1" x14ac:dyDescent="0.25">
      <c r="A113" s="27"/>
      <c r="B113" s="27"/>
      <c r="C113" s="27"/>
      <c r="D113" s="3"/>
      <c r="E113" s="27"/>
      <c r="F113" s="49"/>
      <c r="G113" s="67"/>
      <c r="H113" s="67"/>
      <c r="I113" s="67"/>
      <c r="J113" s="67"/>
      <c r="K113" s="67"/>
      <c r="L113" s="67"/>
    </row>
    <row r="114" spans="1:12" x14ac:dyDescent="0.25">
      <c r="A114" s="27" t="s">
        <v>375</v>
      </c>
      <c r="B114" s="27"/>
      <c r="C114" s="27"/>
      <c r="D114" s="3" t="str">
        <f t="shared" ref="D114:D116" si="13">IF(ISBLANK(C114),A114,A114&amp;", "&amp;C114)</f>
        <v>Transport, truck (&gt;32 t, EURO 4);</v>
      </c>
      <c r="E114" s="27" t="s">
        <v>197</v>
      </c>
      <c r="F114" s="49" t="s">
        <v>203</v>
      </c>
      <c r="G114" s="4" t="s">
        <v>537</v>
      </c>
      <c r="H114" s="147">
        <f>_xlfn.XLOOKUP($B$1,$I$3:$L$3,$I114:$L114,,0)</f>
        <v>9.18</v>
      </c>
      <c r="I114" s="163"/>
      <c r="J114" s="27">
        <v>9.18</v>
      </c>
      <c r="K114" s="135">
        <v>0.150960788582093</v>
      </c>
      <c r="L114" s="125"/>
    </row>
    <row r="115" spans="1:12" x14ac:dyDescent="0.25">
      <c r="A115" s="27" t="s">
        <v>376</v>
      </c>
      <c r="B115" s="27"/>
      <c r="C115" s="27"/>
      <c r="D115" s="3" t="str">
        <f t="shared" si="13"/>
        <v>Transport, train</v>
      </c>
      <c r="E115" s="27" t="s">
        <v>197</v>
      </c>
      <c r="F115" s="49" t="s">
        <v>204</v>
      </c>
      <c r="G115" s="4" t="s">
        <v>538</v>
      </c>
      <c r="H115" s="147">
        <f>_xlfn.XLOOKUP($B$1,$I$3:$L$3,$I115:$L115,,0)</f>
        <v>4.3499999999999996</v>
      </c>
      <c r="I115" s="163"/>
      <c r="J115" s="27">
        <v>4.3499999999999996</v>
      </c>
      <c r="K115" s="135">
        <v>1.67256915358798E-2</v>
      </c>
      <c r="L115" s="125"/>
    </row>
    <row r="116" spans="1:12" x14ac:dyDescent="0.25">
      <c r="A116" s="27" t="s">
        <v>377</v>
      </c>
      <c r="B116" s="27"/>
      <c r="C116" s="27"/>
      <c r="D116" s="3" t="str">
        <f t="shared" si="13"/>
        <v>Transport, ship (barge).</v>
      </c>
      <c r="E116" s="27" t="s">
        <v>197</v>
      </c>
      <c r="F116" s="49" t="s">
        <v>205</v>
      </c>
      <c r="G116" s="4" t="s">
        <v>539</v>
      </c>
      <c r="H116" s="147">
        <f>_xlfn.XLOOKUP($B$1,$I$3:$L$3,$I116:$L116,,0)</f>
        <v>4.4400000000000004</v>
      </c>
      <c r="I116" s="163"/>
      <c r="J116" s="27">
        <v>4.4400000000000004</v>
      </c>
      <c r="K116" s="135">
        <v>3.6888630668212199E-2</v>
      </c>
      <c r="L116" s="125"/>
    </row>
    <row r="117" spans="1:12" ht="4.95" customHeight="1" x14ac:dyDescent="0.25"/>
    <row r="118" spans="1:12" x14ac:dyDescent="0.25">
      <c r="A118" s="27" t="s">
        <v>168</v>
      </c>
      <c r="B118" s="27"/>
      <c r="C118" s="27"/>
      <c r="D118" s="3" t="str">
        <f>IF(ISBLANK(C118),A118,A118&amp;", "&amp;C118)</f>
        <v>Water (tap water)</v>
      </c>
      <c r="E118" s="27" t="s">
        <v>128</v>
      </c>
      <c r="F118" s="49" t="s">
        <v>184</v>
      </c>
      <c r="G118" s="4"/>
      <c r="H118" s="147">
        <f>_xlfn.XLOOKUP($B$1,$I$3:$L$3,$I118:$L118,,0)</f>
        <v>0.27</v>
      </c>
      <c r="I118" s="163"/>
      <c r="J118" s="27">
        <v>0.27</v>
      </c>
      <c r="K118" s="135">
        <v>0</v>
      </c>
      <c r="L118" s="125"/>
    </row>
    <row r="119" spans="1:12" x14ac:dyDescent="0.25">
      <c r="A119" s="27" t="s">
        <v>175</v>
      </c>
      <c r="B119" s="27"/>
      <c r="C119" s="27"/>
      <c r="D119" s="3" t="str">
        <f>IF(ISBLANK(C119),A119,A119&amp;", "&amp;C119)</f>
        <v>Wastewater treatment, average</v>
      </c>
      <c r="E119" s="27" t="s">
        <v>169</v>
      </c>
      <c r="F119" s="49" t="s">
        <v>185</v>
      </c>
      <c r="G119" s="4"/>
      <c r="H119" s="147">
        <f>_xlfn.XLOOKUP($B$1,$I$3:$L$3,$I119:$L119,,0)</f>
        <v>150.02000000000001</v>
      </c>
      <c r="I119" s="163"/>
      <c r="J119" s="27">
        <v>150.02000000000001</v>
      </c>
      <c r="K119" s="135">
        <v>0</v>
      </c>
      <c r="L119" s="125"/>
    </row>
    <row r="120" spans="1:12" x14ac:dyDescent="0.25">
      <c r="A120" s="62"/>
      <c r="B120" s="62"/>
      <c r="C120" s="62"/>
      <c r="D120" s="62"/>
    </row>
    <row r="121" spans="1:12" x14ac:dyDescent="0.25">
      <c r="A121" s="148" t="s">
        <v>549</v>
      </c>
    </row>
    <row r="122" spans="1:12" ht="28.55" x14ac:dyDescent="0.25">
      <c r="A122" s="1" t="s">
        <v>345</v>
      </c>
      <c r="B122" s="1" t="s">
        <v>346</v>
      </c>
      <c r="C122" s="1" t="s">
        <v>478</v>
      </c>
      <c r="D122" s="1" t="s">
        <v>455</v>
      </c>
      <c r="E122" s="1" t="s">
        <v>195</v>
      </c>
      <c r="F122" s="1" t="s">
        <v>476</v>
      </c>
      <c r="G122" s="1" t="s">
        <v>477</v>
      </c>
      <c r="H122" s="91" t="str">
        <f>$B$1</f>
        <v>ECS EI3.9.1 (Pts)</v>
      </c>
      <c r="I122" s="91"/>
      <c r="J122" s="91" t="s">
        <v>518</v>
      </c>
      <c r="K122" s="91" t="s">
        <v>519</v>
      </c>
      <c r="L122" s="91" t="s">
        <v>520</v>
      </c>
    </row>
    <row r="123" spans="1:12" ht="28.55" x14ac:dyDescent="0.25">
      <c r="A123" s="3" t="s">
        <v>198</v>
      </c>
      <c r="B123" s="3"/>
      <c r="C123" s="3"/>
      <c r="D123" s="3"/>
      <c r="E123" s="27" t="s">
        <v>128</v>
      </c>
      <c r="F123" s="4"/>
      <c r="G123" s="4"/>
      <c r="H123" s="131">
        <f>_xlfn.XLOOKUP($B$1,$I$3:$L$3,$I123:$L123,,0)</f>
        <v>0</v>
      </c>
      <c r="I123" s="165"/>
      <c r="J123" s="165"/>
      <c r="K123" s="28"/>
      <c r="L123" s="28"/>
    </row>
    <row r="124" spans="1:12" ht="28.55" x14ac:dyDescent="0.25">
      <c r="A124" s="3" t="s">
        <v>199</v>
      </c>
      <c r="B124" s="3"/>
      <c r="C124" s="3"/>
      <c r="D124" s="3"/>
      <c r="E124" s="27" t="s">
        <v>128</v>
      </c>
      <c r="F124" s="4"/>
      <c r="G124" s="4"/>
      <c r="H124" s="131">
        <f>_xlfn.XLOOKUP($B$1,$I$3:$L$3,$I124:$L124,,0)</f>
        <v>0</v>
      </c>
      <c r="I124" s="166"/>
      <c r="J124" s="166"/>
      <c r="K124" s="103"/>
      <c r="L124" s="103"/>
    </row>
  </sheetData>
  <autoFilter ref="A46:L87" xr:uid="{69885681-A71D-441E-B4DA-556C82D04965}">
    <sortState xmlns:xlrd2="http://schemas.microsoft.com/office/spreadsheetml/2017/richdata2" ref="A47:L87">
      <sortCondition ref="A46:A87"/>
    </sortState>
  </autoFilter>
  <phoneticPr fontId="14" type="noConversion"/>
  <dataValidations count="1">
    <dataValidation type="list" allowBlank="1" showInputMessage="1" showErrorMessage="1" sqref="B1" xr:uid="{28408044-A184-4466-B26F-F4FC68672DA7}">
      <formula1>$I$3:$L$3</formula1>
    </dataValidation>
  </dataValidations>
  <pageMargins left="0.7" right="0.7" top="0.75" bottom="0.75" header="0.3" footer="0.3"/>
  <pageSetup paperSize="9" orientation="portrait" horizontalDpi="4294967292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92CD-F7B2-41B3-A4BB-94B771611FFA}">
  <sheetPr>
    <tabColor theme="7" tint="0.79998168889431442"/>
    <outlinePr summaryBelow="0"/>
  </sheetPr>
  <dimension ref="B1:U159"/>
  <sheetViews>
    <sheetView showGridLines="0" topLeftCell="A15" zoomScale="145" zoomScaleNormal="145" workbookViewId="0">
      <selection activeCell="E29" sqref="E29"/>
    </sheetView>
  </sheetViews>
  <sheetFormatPr baseColWidth="10" defaultRowHeight="14.3" outlineLevelRow="1" x14ac:dyDescent="0.25"/>
  <cols>
    <col min="1" max="1" width="3.875" bestFit="1" customWidth="1"/>
    <col min="2" max="2" width="32" bestFit="1" customWidth="1"/>
    <col min="3" max="3" width="13.125" customWidth="1"/>
    <col min="4" max="4" width="1.625" customWidth="1"/>
    <col min="8" max="8" width="1.625" customWidth="1"/>
  </cols>
  <sheetData>
    <row r="1" spans="2:21" s="2" customFormat="1" x14ac:dyDescent="0.25">
      <c r="B1" s="9" t="s">
        <v>65</v>
      </c>
      <c r="D1"/>
    </row>
    <row r="2" spans="2:21" s="2" customFormat="1" x14ac:dyDescent="0.25">
      <c r="B2" s="1" t="s">
        <v>88</v>
      </c>
      <c r="C2" s="23" t="s">
        <v>89</v>
      </c>
      <c r="D2"/>
      <c r="E2" s="23" t="s">
        <v>74</v>
      </c>
      <c r="F2" s="23" t="s">
        <v>75</v>
      </c>
      <c r="G2" s="23" t="s">
        <v>76</v>
      </c>
      <c r="H2"/>
      <c r="I2" s="1" t="s">
        <v>81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77</v>
      </c>
      <c r="P2" s="1" t="s">
        <v>6</v>
      </c>
      <c r="Q2" s="1" t="s">
        <v>7</v>
      </c>
      <c r="R2" s="1" t="s">
        <v>9</v>
      </c>
      <c r="S2" s="38" t="s">
        <v>15</v>
      </c>
      <c r="T2" s="38" t="s">
        <v>16</v>
      </c>
      <c r="U2" s="38" t="s">
        <v>17</v>
      </c>
    </row>
    <row r="3" spans="2:21" s="2" customFormat="1" outlineLevel="1" x14ac:dyDescent="0.25">
      <c r="B3" s="4" t="s">
        <v>18</v>
      </c>
      <c r="C3" s="25">
        <f ca="1">_xlfn.XLOOKUP('EV Battery'!$C$6,$I$2:$U$2,I3:U3)*'EV Battery'!$C$5</f>
        <v>62.840178129638801</v>
      </c>
      <c r="D3"/>
      <c r="E3" s="8">
        <v>1</v>
      </c>
      <c r="F3" s="8"/>
      <c r="G3" s="8">
        <f t="shared" ref="G3:G22" si="0">1-E3-F3</f>
        <v>0</v>
      </c>
      <c r="H3"/>
      <c r="I3" s="6">
        <f ca="1">OFFSET('GREET input data'!$C18,_xlfn.XLOOKUP('EV Battery'!$C$7,'GREET input data'!$B$3:$B$9,'GREET input data'!$D$3:$D$9),I$29-1)</f>
        <v>0.25900000000000001</v>
      </c>
      <c r="J3" s="6">
        <f ca="1">OFFSET('GREET input data'!$C18,_xlfn.XLOOKUP('EV Battery'!$C$7,'GREET input data'!$B$3:$B$9,'GREET input data'!$D$3:$D$9),J$29-1)</f>
        <v>0.25700000000000001</v>
      </c>
      <c r="K3" s="6">
        <f ca="1">OFFSET('GREET input data'!$C18,_xlfn.XLOOKUP('EV Battery'!$C$7,'GREET input data'!$B$3:$B$9,'GREET input data'!$D$3:$D$9),K$29-1)</f>
        <v>0.24629999999999999</v>
      </c>
      <c r="L3" s="6">
        <f ca="1">OFFSET('GREET input data'!$C18,_xlfn.XLOOKUP('EV Battery'!$C$7,'GREET input data'!$B$3:$B$9,'GREET input data'!$D$3:$D$9),L$29-1)</f>
        <v>0.24329999999999999</v>
      </c>
      <c r="M3" s="6">
        <f ca="1">OFFSET('GREET input data'!$C18,_xlfn.XLOOKUP('EV Battery'!$C$7,'GREET input data'!$B$3:$B$9,'GREET input data'!$D$3:$D$9),M$29-1)</f>
        <v>0.2286</v>
      </c>
      <c r="N3" s="6">
        <f ca="1">OFFSET('GREET input data'!$C18,_xlfn.XLOOKUP('EV Battery'!$C$7,'GREET input data'!$B$3:$B$9,'GREET input data'!$D$3:$D$9),N$29-1)</f>
        <v>0.21879999999999999</v>
      </c>
      <c r="O3" s="6">
        <f ca="1">OFFSET('GREET input data'!$C18,_xlfn.XLOOKUP('EV Battery'!$C$7,'GREET input data'!$B$3:$B$9,'GREET input data'!$D$3:$D$9),O$29-1)</f>
        <v>0.23669999999999999</v>
      </c>
      <c r="P3" s="6">
        <f ca="1">OFFSET('GREET input data'!$C18,_xlfn.XLOOKUP('EV Battery'!$C$7,'GREET input data'!$B$3:$B$9,'GREET input data'!$D$3:$D$9),P$29-1)</f>
        <v>0.2944</v>
      </c>
      <c r="Q3" s="6">
        <f ca="1">OFFSET('GREET input data'!$C18,_xlfn.XLOOKUP('EV Battery'!$C$7,'GREET input data'!$B$3:$B$9,'GREET input data'!$D$3:$D$9),Q$29-1)</f>
        <v>0.25900000000000001</v>
      </c>
      <c r="R3" s="6">
        <f ca="1">OFFSET('GREET input data'!$C18,_xlfn.XLOOKUP('EV Battery'!$C$7,'GREET input data'!$B$3:$B$9,'GREET input data'!$D$3:$D$9),R$29-1)</f>
        <v>0.25900000000000001</v>
      </c>
      <c r="S3" s="8">
        <v>0.28111898152480974</v>
      </c>
      <c r="T3" s="8">
        <v>0.33258745297226983</v>
      </c>
      <c r="U3" s="8">
        <v>0.36380514104372325</v>
      </c>
    </row>
    <row r="4" spans="2:21" s="2" customFormat="1" outlineLevel="1" x14ac:dyDescent="0.25">
      <c r="B4" s="4" t="s">
        <v>19</v>
      </c>
      <c r="C4" s="25">
        <f ca="1">_xlfn.XLOOKUP('EV Battery'!$C$6,$I$2:$U$2,I4:U4)*'EV Battery'!$C$5</f>
        <v>44.01011600417835</v>
      </c>
      <c r="D4"/>
      <c r="E4" s="8">
        <v>1</v>
      </c>
      <c r="F4" s="8"/>
      <c r="G4" s="8">
        <f t="shared" si="0"/>
        <v>0</v>
      </c>
      <c r="H4"/>
      <c r="I4" s="6">
        <f ca="1">OFFSET('GREET input data'!$C19,_xlfn.XLOOKUP('EV Battery'!$C$7,'GREET input data'!$B$3:$B$9,'GREET input data'!$D$3:$D$9),I$29-1)</f>
        <v>0.13349999999999998</v>
      </c>
      <c r="J4" s="6">
        <f ca="1">OFFSET('GREET input data'!$C19,_xlfn.XLOOKUP('EV Battery'!$C$7,'GREET input data'!$B$3:$B$9,'GREET input data'!$D$3:$D$9),J$29-1)</f>
        <v>0.1452</v>
      </c>
      <c r="K4" s="6">
        <f ca="1">OFFSET('GREET input data'!$C19,_xlfn.XLOOKUP('EV Battery'!$C$7,'GREET input data'!$B$3:$B$9,'GREET input data'!$D$3:$D$9),K$29-1)</f>
        <v>0.15159999999999998</v>
      </c>
      <c r="L4" s="6">
        <f ca="1">OFFSET('GREET input data'!$C19,_xlfn.XLOOKUP('EV Battery'!$C$7,'GREET input data'!$B$3:$B$9,'GREET input data'!$D$3:$D$9),L$29-1)</f>
        <v>0.1527</v>
      </c>
      <c r="M4" s="6">
        <f ca="1">OFFSET('GREET input data'!$C19,_xlfn.XLOOKUP('EV Battery'!$C$7,'GREET input data'!$B$3:$B$9,'GREET input data'!$D$3:$D$9),M$29-1)</f>
        <v>0.16009999999999999</v>
      </c>
      <c r="N4" s="6">
        <f ca="1">OFFSET('GREET input data'!$C19,_xlfn.XLOOKUP('EV Battery'!$C$7,'GREET input data'!$B$3:$B$9,'GREET input data'!$D$3:$D$9),N$29-1)</f>
        <v>0.16489999999999999</v>
      </c>
      <c r="O4" s="6">
        <f ca="1">OFFSET('GREET input data'!$C19,_xlfn.XLOOKUP('EV Battery'!$C$7,'GREET input data'!$B$3:$B$9,'GREET input data'!$D$3:$D$9),O$29-1)</f>
        <v>0.15709999999999999</v>
      </c>
      <c r="P4" s="6">
        <f ca="1">OFFSET('GREET input data'!$C19,_xlfn.XLOOKUP('EV Battery'!$C$7,'GREET input data'!$B$3:$B$9,'GREET input data'!$D$3:$D$9),P$29-1)</f>
        <v>0.11650000000000001</v>
      </c>
      <c r="Q4" s="6">
        <f ca="1">OFFSET('GREET input data'!$C19,_xlfn.XLOOKUP('EV Battery'!$C$7,'GREET input data'!$B$3:$B$9,'GREET input data'!$D$3:$D$9),Q$29-1)</f>
        <v>0.13349999999999998</v>
      </c>
      <c r="R4" s="6">
        <f ca="1">OFFSET('GREET input data'!$C19,_xlfn.XLOOKUP('EV Battery'!$C$7,'GREET input data'!$B$3:$B$9,'GREET input data'!$D$3:$D$9),R$29-1)</f>
        <v>0.13349999999999998</v>
      </c>
      <c r="S4" s="8">
        <v>0.11338465588167326</v>
      </c>
      <c r="T4" s="8">
        <v>1.3348279443475356E-2</v>
      </c>
      <c r="U4" s="8">
        <v>1.9311251660788006E-2</v>
      </c>
    </row>
    <row r="5" spans="2:21" s="2" customFormat="1" outlineLevel="1" x14ac:dyDescent="0.25">
      <c r="B5" s="4" t="s">
        <v>20</v>
      </c>
      <c r="C5" s="25">
        <f ca="1">_xlfn.XLOOKUP('EV Battery'!$C$6,$I$2:$U$2,I5:U5)*'EV Battery'!$C$5</f>
        <v>0</v>
      </c>
      <c r="D5"/>
      <c r="E5" s="8">
        <v>1</v>
      </c>
      <c r="F5" s="8"/>
      <c r="G5" s="8">
        <f t="shared" si="0"/>
        <v>0</v>
      </c>
      <c r="H5"/>
      <c r="I5" s="6">
        <f ca="1">OFFSET('GREET input data'!$C20,_xlfn.XLOOKUP('EV Battery'!$C$7,'GREET input data'!$B$3:$B$9,'GREET input data'!$D$3:$D$9),I$29-1)</f>
        <v>0</v>
      </c>
      <c r="J5" s="6">
        <f ca="1">OFFSET('GREET input data'!$C20,_xlfn.XLOOKUP('EV Battery'!$C$7,'GREET input data'!$B$3:$B$9,'GREET input data'!$D$3:$D$9),J$29-1)</f>
        <v>0</v>
      </c>
      <c r="K5" s="6">
        <f ca="1">OFFSET('GREET input data'!$C20,_xlfn.XLOOKUP('EV Battery'!$C$7,'GREET input data'!$B$3:$B$9,'GREET input data'!$D$3:$D$9),K$29-1)</f>
        <v>0</v>
      </c>
      <c r="L5" s="6">
        <f ca="1">OFFSET('GREET input data'!$C20,_xlfn.XLOOKUP('EV Battery'!$C$7,'GREET input data'!$B$3:$B$9,'GREET input data'!$D$3:$D$9),L$29-1)</f>
        <v>0</v>
      </c>
      <c r="M5" s="6">
        <f ca="1">OFFSET('GREET input data'!$C20,_xlfn.XLOOKUP('EV Battery'!$C$7,'GREET input data'!$B$3:$B$9,'GREET input data'!$D$3:$D$9),M$29-1)</f>
        <v>0</v>
      </c>
      <c r="N5" s="6">
        <f ca="1">OFFSET('GREET input data'!$C20,_xlfn.XLOOKUP('EV Battery'!$C$7,'GREET input data'!$B$3:$B$9,'GREET input data'!$D$3:$D$9),N$29-1)</f>
        <v>0</v>
      </c>
      <c r="O5" s="6">
        <f ca="1">OFFSET('GREET input data'!$C20,_xlfn.XLOOKUP('EV Battery'!$C$7,'GREET input data'!$B$3:$B$9,'GREET input data'!$D$3:$D$9),O$29-1)</f>
        <v>0</v>
      </c>
      <c r="P5" s="6">
        <f ca="1">OFFSET('GREET input data'!$C20,_xlfn.XLOOKUP('EV Battery'!$C$7,'GREET input data'!$B$3:$B$9,'GREET input data'!$D$3:$D$9),P$29-1)</f>
        <v>0</v>
      </c>
      <c r="Q5" s="6">
        <f ca="1">OFFSET('GREET input data'!$C20,_xlfn.XLOOKUP('EV Battery'!$C$7,'GREET input data'!$B$3:$B$9,'GREET input data'!$D$3:$D$9),Q$29-1)</f>
        <v>0</v>
      </c>
      <c r="R5" s="6">
        <f ca="1">OFFSET('GREET input data'!$C20,_xlfn.XLOOKUP('EV Battery'!$C$7,'GREET input data'!$B$3:$B$9,'GREET input data'!$D$3:$D$9),R$29-1)</f>
        <v>0</v>
      </c>
      <c r="S5" s="8">
        <v>0</v>
      </c>
      <c r="T5" s="8">
        <v>0</v>
      </c>
      <c r="U5" s="8">
        <v>0</v>
      </c>
    </row>
    <row r="6" spans="2:21" s="2" customFormat="1" outlineLevel="1" x14ac:dyDescent="0.25">
      <c r="B6" s="4" t="s">
        <v>21</v>
      </c>
      <c r="C6" s="25">
        <f ca="1">_xlfn.XLOOKUP('EV Battery'!$C$6,$I$2:$U$2,I6:U6)*'EV Battery'!$C$5</f>
        <v>2.1991313431194679</v>
      </c>
      <c r="D6"/>
      <c r="E6" s="8">
        <v>1</v>
      </c>
      <c r="F6" s="8"/>
      <c r="G6" s="8">
        <f t="shared" si="0"/>
        <v>0</v>
      </c>
      <c r="H6"/>
      <c r="I6" s="6">
        <f ca="1">OFFSET('GREET input data'!$C21,_xlfn.XLOOKUP('EV Battery'!$C$7,'GREET input data'!$B$3:$B$9,'GREET input data'!$D$3:$D$9),I$29-1)</f>
        <v>8.0999999999999996E-3</v>
      </c>
      <c r="J6" s="6">
        <f ca="1">OFFSET('GREET input data'!$C21,_xlfn.XLOOKUP('EV Battery'!$C$7,'GREET input data'!$B$3:$B$9,'GREET input data'!$D$3:$D$9),J$29-1)</f>
        <v>8.3000000000000001E-3</v>
      </c>
      <c r="K6" s="6">
        <f ca="1">OFFSET('GREET input data'!$C21,_xlfn.XLOOKUP('EV Battery'!$C$7,'GREET input data'!$B$3:$B$9,'GREET input data'!$D$3:$D$9),K$29-1)</f>
        <v>8.199999999999999E-3</v>
      </c>
      <c r="L6" s="6">
        <f ca="1">OFFSET('GREET input data'!$C21,_xlfn.XLOOKUP('EV Battery'!$C$7,'GREET input data'!$B$3:$B$9,'GREET input data'!$D$3:$D$9),L$29-1)</f>
        <v>8.0999999999999996E-3</v>
      </c>
      <c r="M6" s="6">
        <f ca="1">OFFSET('GREET input data'!$C21,_xlfn.XLOOKUP('EV Battery'!$C$7,'GREET input data'!$B$3:$B$9,'GREET input data'!$D$3:$D$9),M$29-1)</f>
        <v>8.0000000000000002E-3</v>
      </c>
      <c r="N6" s="6">
        <f ca="1">OFFSET('GREET input data'!$C21,_xlfn.XLOOKUP('EV Battery'!$C$7,'GREET input data'!$B$3:$B$9,'GREET input data'!$D$3:$D$9),N$29-1)</f>
        <v>7.899999999999999E-3</v>
      </c>
      <c r="O6" s="6">
        <f ca="1">OFFSET('GREET input data'!$C21,_xlfn.XLOOKUP('EV Battery'!$C$7,'GREET input data'!$B$3:$B$9,'GREET input data'!$D$3:$D$9),O$29-1)</f>
        <v>8.0999999999999996E-3</v>
      </c>
      <c r="P6" s="6">
        <f ca="1">OFFSET('GREET input data'!$C21,_xlfn.XLOOKUP('EV Battery'!$C$7,'GREET input data'!$B$3:$B$9,'GREET input data'!$D$3:$D$9),P$29-1)</f>
        <v>8.3999999999999995E-3</v>
      </c>
      <c r="Q6" s="6">
        <f ca="1">OFFSET('GREET input data'!$C21,_xlfn.XLOOKUP('EV Battery'!$C$7,'GREET input data'!$B$3:$B$9,'GREET input data'!$D$3:$D$9),Q$29-1)</f>
        <v>8.0999999999999996E-3</v>
      </c>
      <c r="R6" s="6">
        <f ca="1">OFFSET('GREET input data'!$C21,_xlfn.XLOOKUP('EV Battery'!$C$7,'GREET input data'!$B$3:$B$9,'GREET input data'!$D$3:$D$9),R$29-1)</f>
        <v>8.0999999999999996E-3</v>
      </c>
      <c r="S6" s="8">
        <v>8.7102142268246207E-3</v>
      </c>
      <c r="T6" s="8">
        <v>5.0784168367132544E-2</v>
      </c>
      <c r="U6" s="8">
        <v>5.5776744429780728E-2</v>
      </c>
    </row>
    <row r="7" spans="2:21" s="2" customFormat="1" outlineLevel="1" x14ac:dyDescent="0.25">
      <c r="B7" s="4" t="s">
        <v>23</v>
      </c>
      <c r="C7" s="25">
        <f ca="1">_xlfn.XLOOKUP('EV Battery'!$C$6,$I$2:$U$2,I7:U7)*'EV Battery'!$C$5</f>
        <v>21.139150035735884</v>
      </c>
      <c r="D7"/>
      <c r="E7" s="8">
        <v>0.83748535847028338</v>
      </c>
      <c r="F7" s="8">
        <v>2.9409825924254489E-2</v>
      </c>
      <c r="G7" s="8">
        <f t="shared" si="0"/>
        <v>0.13310481560546214</v>
      </c>
      <c r="H7"/>
      <c r="I7" s="6">
        <f ca="1">OFFSET('GREET input data'!$C22,_xlfn.XLOOKUP('EV Battery'!$C$7,'GREET input data'!$B$3:$B$9,'GREET input data'!$D$3:$D$9),I$29-1)</f>
        <v>9.4200000000000006E-2</v>
      </c>
      <c r="J7" s="6">
        <f ca="1">OFFSET('GREET input data'!$C22,_xlfn.XLOOKUP('EV Battery'!$C$7,'GREET input data'!$B$3:$B$9,'GREET input data'!$D$3:$D$9),J$29-1)</f>
        <v>7.9100000000000004E-2</v>
      </c>
      <c r="K7" s="6">
        <f ca="1">OFFSET('GREET input data'!$C22,_xlfn.XLOOKUP('EV Battery'!$C$7,'GREET input data'!$B$3:$B$9,'GREET input data'!$D$3:$D$9),K$29-1)</f>
        <v>7.7700000000000005E-2</v>
      </c>
      <c r="L7" s="6">
        <f ca="1">OFFSET('GREET input data'!$C22,_xlfn.XLOOKUP('EV Battery'!$C$7,'GREET input data'!$B$3:$B$9,'GREET input data'!$D$3:$D$9),L$29-1)</f>
        <v>7.7499999999999999E-2</v>
      </c>
      <c r="M7" s="6">
        <f ca="1">OFFSET('GREET input data'!$C22,_xlfn.XLOOKUP('EV Battery'!$C$7,'GREET input data'!$B$3:$B$9,'GREET input data'!$D$3:$D$9),M$29-1)</f>
        <v>7.6899999999999996E-2</v>
      </c>
      <c r="N7" s="6">
        <f ca="1">OFFSET('GREET input data'!$C22,_xlfn.XLOOKUP('EV Battery'!$C$7,'GREET input data'!$B$3:$B$9,'GREET input data'!$D$3:$D$9),N$29-1)</f>
        <v>7.6700000000000004E-2</v>
      </c>
      <c r="O7" s="6">
        <f ca="1">OFFSET('GREET input data'!$C22,_xlfn.XLOOKUP('EV Battery'!$C$7,'GREET input data'!$B$3:$B$9,'GREET input data'!$D$3:$D$9),O$29-1)</f>
        <v>7.6700000000000004E-2</v>
      </c>
      <c r="P7" s="6">
        <f ca="1">OFFSET('GREET input data'!$C22,_xlfn.XLOOKUP('EV Battery'!$C$7,'GREET input data'!$B$3:$B$9,'GREET input data'!$D$3:$D$9),P$29-1)</f>
        <v>9.06E-2</v>
      </c>
      <c r="Q7" s="6">
        <f ca="1">OFFSET('GREET input data'!$C22,_xlfn.XLOOKUP('EV Battery'!$C$7,'GREET input data'!$B$3:$B$9,'GREET input data'!$D$3:$D$9),Q$29-1)</f>
        <v>9.4200000000000006E-2</v>
      </c>
      <c r="R7" s="6">
        <f ca="1">OFFSET('GREET input data'!$C22,_xlfn.XLOOKUP('EV Battery'!$C$7,'GREET input data'!$B$3:$B$9,'GREET input data'!$D$3:$D$9),R$29-1)</f>
        <v>9.4200000000000006E-2</v>
      </c>
      <c r="S7" s="8">
        <v>1.6899069264317276E-2</v>
      </c>
      <c r="T7" s="8">
        <v>7.2916445207742223E-2</v>
      </c>
      <c r="U7" s="8">
        <v>7.2695380775726362E-2</v>
      </c>
    </row>
    <row r="8" spans="2:21" s="2" customFormat="1" outlineLevel="1" x14ac:dyDescent="0.25">
      <c r="B8" s="4" t="s">
        <v>22</v>
      </c>
      <c r="C8" s="25">
        <f ca="1">_xlfn.XLOOKUP('EV Battery'!$C$6,$I$2:$U$2,I8:U8)*'EV Battery'!$C$5</f>
        <v>34.169003243718734</v>
      </c>
      <c r="D8"/>
      <c r="E8" s="8">
        <v>9.3991049774913502E-2</v>
      </c>
      <c r="F8" s="8">
        <v>0.21973284742662696</v>
      </c>
      <c r="G8" s="8">
        <f t="shared" si="0"/>
        <v>0.68627610279845963</v>
      </c>
      <c r="H8"/>
      <c r="I8" s="6">
        <f ca="1">OFFSET('GREET input data'!$C23,_xlfn.XLOOKUP('EV Battery'!$C$7,'GREET input data'!$B$3:$B$9,'GREET input data'!$D$3:$D$9),I$29-1)</f>
        <v>0.12739999999999999</v>
      </c>
      <c r="J8" s="6">
        <f ca="1">OFFSET('GREET input data'!$C23,_xlfn.XLOOKUP('EV Battery'!$C$7,'GREET input data'!$B$3:$B$9,'GREET input data'!$D$3:$D$9),J$29-1)</f>
        <v>0.1227</v>
      </c>
      <c r="K8" s="6">
        <f ca="1">OFFSET('GREET input data'!$C23,_xlfn.XLOOKUP('EV Battery'!$C$7,'GREET input data'!$B$3:$B$9,'GREET input data'!$D$3:$D$9),K$29-1)</f>
        <v>0.1232</v>
      </c>
      <c r="L8" s="6">
        <f ca="1">OFFSET('GREET input data'!$C23,_xlfn.XLOOKUP('EV Battery'!$C$7,'GREET input data'!$B$3:$B$9,'GREET input data'!$D$3:$D$9),L$29-1)</f>
        <v>0.12340000000000001</v>
      </c>
      <c r="M8" s="6">
        <f ca="1">OFFSET('GREET input data'!$C23,_xlfn.XLOOKUP('EV Battery'!$C$7,'GREET input data'!$B$3:$B$9,'GREET input data'!$D$3:$D$9),M$29-1)</f>
        <v>0.12430000000000001</v>
      </c>
      <c r="N8" s="6">
        <f ca="1">OFFSET('GREET input data'!$C23,_xlfn.XLOOKUP('EV Battery'!$C$7,'GREET input data'!$B$3:$B$9,'GREET input data'!$D$3:$D$9),N$29-1)</f>
        <v>0.1249</v>
      </c>
      <c r="O8" s="6">
        <f ca="1">OFFSET('GREET input data'!$C23,_xlfn.XLOOKUP('EV Battery'!$C$7,'GREET input data'!$B$3:$B$9,'GREET input data'!$D$3:$D$9),O$29-1)</f>
        <v>0.12340000000000001</v>
      </c>
      <c r="P8" s="6">
        <f ca="1">OFFSET('GREET input data'!$C23,_xlfn.XLOOKUP('EV Battery'!$C$7,'GREET input data'!$B$3:$B$9,'GREET input data'!$D$3:$D$9),P$29-1)</f>
        <v>0.1236</v>
      </c>
      <c r="Q8" s="6">
        <f ca="1">OFFSET('GREET input data'!$C23,_xlfn.XLOOKUP('EV Battery'!$C$7,'GREET input data'!$B$3:$B$9,'GREET input data'!$D$3:$D$9),Q$29-1)</f>
        <v>0.12739999999999999</v>
      </c>
      <c r="R8" s="6">
        <f ca="1">OFFSET('GREET input data'!$C23,_xlfn.XLOOKUP('EV Battery'!$C$7,'GREET input data'!$B$3:$B$9,'GREET input data'!$D$3:$D$9),R$29-1)</f>
        <v>0.12739999999999999</v>
      </c>
      <c r="S8" s="8">
        <v>0.17728162150692586</v>
      </c>
      <c r="T8" s="8">
        <v>0.16232647718665785</v>
      </c>
      <c r="U8" s="8">
        <v>0.13377140537499066</v>
      </c>
    </row>
    <row r="9" spans="2:21" s="2" customFormat="1" outlineLevel="1" x14ac:dyDescent="0.25">
      <c r="B9" s="4" t="s">
        <v>55</v>
      </c>
      <c r="C9" s="25">
        <f ca="1">_xlfn.XLOOKUP('EV Battery'!$C$6,$I$2:$U$2,I9:U9)*'EV Battery'!$C$5</f>
        <v>0</v>
      </c>
      <c r="D9"/>
      <c r="E9" s="8"/>
      <c r="F9" s="8"/>
      <c r="G9" s="8">
        <f t="shared" si="0"/>
        <v>1</v>
      </c>
      <c r="H9"/>
      <c r="I9" s="6">
        <f ca="1">OFFSET('GREET input data'!$C24,_xlfn.XLOOKUP('EV Battery'!$C$7,'GREET input data'!$B$3:$B$9,'GREET input data'!$D$3:$D$9),I$29-1)</f>
        <v>0</v>
      </c>
      <c r="J9" s="6">
        <f ca="1">OFFSET('GREET input data'!$C24,_xlfn.XLOOKUP('EV Battery'!$C$7,'GREET input data'!$B$3:$B$9,'GREET input data'!$D$3:$D$9),J$29-1)</f>
        <v>0</v>
      </c>
      <c r="K9" s="6">
        <f ca="1">OFFSET('GREET input data'!$C24,_xlfn.XLOOKUP('EV Battery'!$C$7,'GREET input data'!$B$3:$B$9,'GREET input data'!$D$3:$D$9),K$29-1)</f>
        <v>0</v>
      </c>
      <c r="L9" s="6">
        <f ca="1">OFFSET('GREET input data'!$C24,_xlfn.XLOOKUP('EV Battery'!$C$7,'GREET input data'!$B$3:$B$9,'GREET input data'!$D$3:$D$9),L$29-1)</f>
        <v>0</v>
      </c>
      <c r="M9" s="6">
        <f ca="1">OFFSET('GREET input data'!$C24,_xlfn.XLOOKUP('EV Battery'!$C$7,'GREET input data'!$B$3:$B$9,'GREET input data'!$D$3:$D$9),M$29-1)</f>
        <v>0</v>
      </c>
      <c r="N9" s="6">
        <f ca="1">OFFSET('GREET input data'!$C24,_xlfn.XLOOKUP('EV Battery'!$C$7,'GREET input data'!$B$3:$B$9,'GREET input data'!$D$3:$D$9),N$29-1)</f>
        <v>0</v>
      </c>
      <c r="O9" s="6">
        <f ca="1">OFFSET('GREET input data'!$C24,_xlfn.XLOOKUP('EV Battery'!$C$7,'GREET input data'!$B$3:$B$9,'GREET input data'!$D$3:$D$9),O$29-1)</f>
        <v>0</v>
      </c>
      <c r="P9" s="6">
        <f ca="1">OFFSET('GREET input data'!$C24,_xlfn.XLOOKUP('EV Battery'!$C$7,'GREET input data'!$B$3:$B$9,'GREET input data'!$D$3:$D$9),P$29-1)</f>
        <v>0</v>
      </c>
      <c r="Q9" s="6">
        <f ca="1">OFFSET('GREET input data'!$C24,_xlfn.XLOOKUP('EV Battery'!$C$7,'GREET input data'!$B$3:$B$9,'GREET input data'!$D$3:$D$9),Q$29-1)</f>
        <v>0</v>
      </c>
      <c r="R9" s="6">
        <f ca="1">OFFSET('GREET input data'!$C24,_xlfn.XLOOKUP('EV Battery'!$C$7,'GREET input data'!$B$3:$B$9,'GREET input data'!$D$3:$D$9),R$29-1)</f>
        <v>0</v>
      </c>
      <c r="S9" s="8">
        <v>0</v>
      </c>
      <c r="T9" s="8">
        <v>0</v>
      </c>
      <c r="U9" s="8">
        <v>0</v>
      </c>
    </row>
    <row r="10" spans="2:21" s="2" customFormat="1" outlineLevel="1" x14ac:dyDescent="0.25">
      <c r="B10" s="4" t="s">
        <v>24</v>
      </c>
      <c r="C10" s="25">
        <f ca="1">_xlfn.XLOOKUP('EV Battery'!$C$6,$I$2:$U$2,I10:U10)*'EV Battery'!$C$5</f>
        <v>2.7214250371103414</v>
      </c>
      <c r="D10"/>
      <c r="E10" s="8">
        <v>1</v>
      </c>
      <c r="F10" s="8"/>
      <c r="G10" s="8">
        <f t="shared" si="0"/>
        <v>0</v>
      </c>
      <c r="H10"/>
      <c r="I10" s="6">
        <f ca="1">OFFSET('GREET input data'!$C25,_xlfn.XLOOKUP('EV Battery'!$C$7,'GREET input data'!$B$3:$B$9,'GREET input data'!$D$3:$D$9),I$29-1)</f>
        <v>1.18E-2</v>
      </c>
      <c r="J10" s="6">
        <f ca="1">OFFSET('GREET input data'!$C25,_xlfn.XLOOKUP('EV Battery'!$C$7,'GREET input data'!$B$3:$B$9,'GREET input data'!$D$3:$D$9),J$29-1)</f>
        <v>1.01E-2</v>
      </c>
      <c r="K10" s="6">
        <f ca="1">OFFSET('GREET input data'!$C25,_xlfn.XLOOKUP('EV Battery'!$C$7,'GREET input data'!$B$3:$B$9,'GREET input data'!$D$3:$D$9),K$29-1)</f>
        <v>1.01E-2</v>
      </c>
      <c r="L10" s="6">
        <f ca="1">OFFSET('GREET input data'!$C25,_xlfn.XLOOKUP('EV Battery'!$C$7,'GREET input data'!$B$3:$B$9,'GREET input data'!$D$3:$D$9),L$29-1)</f>
        <v>0.01</v>
      </c>
      <c r="M10" s="6">
        <f ca="1">OFFSET('GREET input data'!$C25,_xlfn.XLOOKUP('EV Battery'!$C$7,'GREET input data'!$B$3:$B$9,'GREET input data'!$D$3:$D$9),M$29-1)</f>
        <v>9.8999999999999991E-3</v>
      </c>
      <c r="N10" s="6">
        <f ca="1">OFFSET('GREET input data'!$C25,_xlfn.XLOOKUP('EV Battery'!$C$7,'GREET input data'!$B$3:$B$9,'GREET input data'!$D$3:$D$9),N$29-1)</f>
        <v>9.8999999999999991E-3</v>
      </c>
      <c r="O10" s="6">
        <f ca="1">OFFSET('GREET input data'!$C25,_xlfn.XLOOKUP('EV Battery'!$C$7,'GREET input data'!$B$3:$B$9,'GREET input data'!$D$3:$D$9),O$29-1)</f>
        <v>9.8999999999999991E-3</v>
      </c>
      <c r="P10" s="6">
        <f ca="1">OFFSET('GREET input data'!$C25,_xlfn.XLOOKUP('EV Battery'!$C$7,'GREET input data'!$B$3:$B$9,'GREET input data'!$D$3:$D$9),P$29-1)</f>
        <v>1.0799999999999999E-2</v>
      </c>
      <c r="Q10" s="6">
        <f ca="1">OFFSET('GREET input data'!$C25,_xlfn.XLOOKUP('EV Battery'!$C$7,'GREET input data'!$B$3:$B$9,'GREET input data'!$D$3:$D$9),Q$29-1)</f>
        <v>1.18E-2</v>
      </c>
      <c r="R10" s="6">
        <f ca="1">OFFSET('GREET input data'!$C25,_xlfn.XLOOKUP('EV Battery'!$C$7,'GREET input data'!$B$3:$B$9,'GREET input data'!$D$3:$D$9),R$29-1)</f>
        <v>1.18E-2</v>
      </c>
      <c r="S10" s="8">
        <v>1.2688954058830929E-2</v>
      </c>
      <c r="T10" s="8">
        <v>5.6426853741258377E-3</v>
      </c>
      <c r="U10" s="8">
        <v>6.1974160477534148E-3</v>
      </c>
    </row>
    <row r="11" spans="2:21" s="2" customFormat="1" outlineLevel="1" x14ac:dyDescent="0.25">
      <c r="B11" s="4" t="s">
        <v>25</v>
      </c>
      <c r="C11" s="25">
        <f ca="1">_xlfn.XLOOKUP('EV Battery'!$C$6,$I$2:$U$2,I11:U11)*'EV Battery'!$C$5</f>
        <v>7.5870031337621651</v>
      </c>
      <c r="D11"/>
      <c r="E11" s="8">
        <v>1</v>
      </c>
      <c r="F11" s="8"/>
      <c r="G11" s="8">
        <f t="shared" si="0"/>
        <v>0</v>
      </c>
      <c r="H11"/>
      <c r="I11" s="6">
        <f ca="1">OFFSET('GREET input data'!$C26,_xlfn.XLOOKUP('EV Battery'!$C$7,'GREET input data'!$B$3:$B$9,'GREET input data'!$D$3:$D$9),I$29-1)</f>
        <v>3.2800000000000003E-2</v>
      </c>
      <c r="J11" s="6">
        <f ca="1">OFFSET('GREET input data'!$C26,_xlfn.XLOOKUP('EV Battery'!$C$7,'GREET input data'!$B$3:$B$9,'GREET input data'!$D$3:$D$9),J$29-1)</f>
        <v>2.81E-2</v>
      </c>
      <c r="K11" s="6">
        <f ca="1">OFFSET('GREET input data'!$C26,_xlfn.XLOOKUP('EV Battery'!$C$7,'GREET input data'!$B$3:$B$9,'GREET input data'!$D$3:$D$9),K$29-1)</f>
        <v>2.7899999999999998E-2</v>
      </c>
      <c r="L11" s="6">
        <f ca="1">OFFSET('GREET input data'!$C26,_xlfn.XLOOKUP('EV Battery'!$C$7,'GREET input data'!$B$3:$B$9,'GREET input data'!$D$3:$D$9),L$29-1)</f>
        <v>2.7899999999999998E-2</v>
      </c>
      <c r="M11" s="6">
        <f ca="1">OFFSET('GREET input data'!$C26,_xlfn.XLOOKUP('EV Battery'!$C$7,'GREET input data'!$B$3:$B$9,'GREET input data'!$D$3:$D$9),M$29-1)</f>
        <v>2.76E-2</v>
      </c>
      <c r="N11" s="6">
        <f ca="1">OFFSET('GREET input data'!$C26,_xlfn.XLOOKUP('EV Battery'!$C$7,'GREET input data'!$B$3:$B$9,'GREET input data'!$D$3:$D$9),N$29-1)</f>
        <v>2.7400000000000001E-2</v>
      </c>
      <c r="O11" s="6">
        <f ca="1">OFFSET('GREET input data'!$C26,_xlfn.XLOOKUP('EV Battery'!$C$7,'GREET input data'!$B$3:$B$9,'GREET input data'!$D$3:$D$9),O$29-1)</f>
        <v>2.75E-2</v>
      </c>
      <c r="P11" s="6">
        <f ca="1">OFFSET('GREET input data'!$C26,_xlfn.XLOOKUP('EV Battery'!$C$7,'GREET input data'!$B$3:$B$9,'GREET input data'!$D$3:$D$9),P$29-1)</f>
        <v>3.0099999999999998E-2</v>
      </c>
      <c r="Q11" s="6">
        <f ca="1">OFFSET('GREET input data'!$C26,_xlfn.XLOOKUP('EV Battery'!$C$7,'GREET input data'!$B$3:$B$9,'GREET input data'!$D$3:$D$9),Q$29-1)</f>
        <v>3.2800000000000003E-2</v>
      </c>
      <c r="R11" s="6">
        <f ca="1">OFFSET('GREET input data'!$C26,_xlfn.XLOOKUP('EV Battery'!$C$7,'GREET input data'!$B$3:$B$9,'GREET input data'!$D$3:$D$9),R$29-1)</f>
        <v>3.2800000000000003E-2</v>
      </c>
      <c r="S11" s="8">
        <v>3.5163457434217914E-2</v>
      </c>
      <c r="T11" s="8">
        <v>0</v>
      </c>
      <c r="U11" s="8">
        <v>0</v>
      </c>
    </row>
    <row r="12" spans="2:21" s="2" customFormat="1" outlineLevel="1" x14ac:dyDescent="0.25">
      <c r="B12" s="4" t="s">
        <v>26</v>
      </c>
      <c r="C12" s="25">
        <f ca="1">_xlfn.XLOOKUP('EV Battery'!$C$6,$I$2:$U$2,I12:U12)*'EV Battery'!$C$5</f>
        <v>7.5870031337621651</v>
      </c>
      <c r="D12"/>
      <c r="E12" s="8">
        <v>1</v>
      </c>
      <c r="F12" s="8"/>
      <c r="G12" s="8">
        <f t="shared" si="0"/>
        <v>0</v>
      </c>
      <c r="H12"/>
      <c r="I12" s="6">
        <f ca="1">OFFSET('GREET input data'!$C27,_xlfn.XLOOKUP('EV Battery'!$C$7,'GREET input data'!$B$3:$B$9,'GREET input data'!$D$3:$D$9),I$29-1)</f>
        <v>3.2800000000000003E-2</v>
      </c>
      <c r="J12" s="6">
        <f ca="1">OFFSET('GREET input data'!$C27,_xlfn.XLOOKUP('EV Battery'!$C$7,'GREET input data'!$B$3:$B$9,'GREET input data'!$D$3:$D$9),J$29-1)</f>
        <v>2.81E-2</v>
      </c>
      <c r="K12" s="6">
        <f ca="1">OFFSET('GREET input data'!$C27,_xlfn.XLOOKUP('EV Battery'!$C$7,'GREET input data'!$B$3:$B$9,'GREET input data'!$D$3:$D$9),K$29-1)</f>
        <v>2.7899999999999998E-2</v>
      </c>
      <c r="L12" s="6">
        <f ca="1">OFFSET('GREET input data'!$C27,_xlfn.XLOOKUP('EV Battery'!$C$7,'GREET input data'!$B$3:$B$9,'GREET input data'!$D$3:$D$9),L$29-1)</f>
        <v>2.7899999999999998E-2</v>
      </c>
      <c r="M12" s="6">
        <f ca="1">OFFSET('GREET input data'!$C27,_xlfn.XLOOKUP('EV Battery'!$C$7,'GREET input data'!$B$3:$B$9,'GREET input data'!$D$3:$D$9),M$29-1)</f>
        <v>2.76E-2</v>
      </c>
      <c r="N12" s="6">
        <f ca="1">OFFSET('GREET input data'!$C27,_xlfn.XLOOKUP('EV Battery'!$C$7,'GREET input data'!$B$3:$B$9,'GREET input data'!$D$3:$D$9),N$29-1)</f>
        <v>2.7400000000000001E-2</v>
      </c>
      <c r="O12" s="6">
        <f ca="1">OFFSET('GREET input data'!$C27,_xlfn.XLOOKUP('EV Battery'!$C$7,'GREET input data'!$B$3:$B$9,'GREET input data'!$D$3:$D$9),O$29-1)</f>
        <v>2.75E-2</v>
      </c>
      <c r="P12" s="6">
        <f ca="1">OFFSET('GREET input data'!$C27,_xlfn.XLOOKUP('EV Battery'!$C$7,'GREET input data'!$B$3:$B$9,'GREET input data'!$D$3:$D$9),P$29-1)</f>
        <v>3.0099999999999998E-2</v>
      </c>
      <c r="Q12" s="6">
        <f ca="1">OFFSET('GREET input data'!$C27,_xlfn.XLOOKUP('EV Battery'!$C$7,'GREET input data'!$B$3:$B$9,'GREET input data'!$D$3:$D$9),Q$29-1)</f>
        <v>3.2800000000000003E-2</v>
      </c>
      <c r="R12" s="6">
        <f ca="1">OFFSET('GREET input data'!$C27,_xlfn.XLOOKUP('EV Battery'!$C$7,'GREET input data'!$B$3:$B$9,'GREET input data'!$D$3:$D$9),R$29-1)</f>
        <v>3.2800000000000003E-2</v>
      </c>
      <c r="S12" s="8">
        <v>3.5163457434217914E-2</v>
      </c>
      <c r="T12" s="8">
        <v>0</v>
      </c>
      <c r="U12" s="8">
        <v>0</v>
      </c>
    </row>
    <row r="13" spans="2:21" s="2" customFormat="1" outlineLevel="1" x14ac:dyDescent="0.25">
      <c r="B13" s="4" t="s">
        <v>27</v>
      </c>
      <c r="C13" s="25">
        <f ca="1">_xlfn.XLOOKUP('EV Battery'!$C$6,$I$2:$U$2,I13:U13)*'EV Battery'!$C$5</f>
        <v>0.21991313431194681</v>
      </c>
      <c r="D13"/>
      <c r="E13" s="8">
        <v>1</v>
      </c>
      <c r="F13" s="8"/>
      <c r="G13" s="8">
        <f t="shared" si="0"/>
        <v>0</v>
      </c>
      <c r="H13"/>
      <c r="I13" s="6">
        <f ca="1">OFFSET('GREET input data'!$C28,_xlfn.XLOOKUP('EV Battery'!$C$7,'GREET input data'!$B$3:$B$9,'GREET input data'!$D$3:$D$9),I$29-1)</f>
        <v>8.0000000000000004E-4</v>
      </c>
      <c r="J13" s="6">
        <f ca="1">OFFSET('GREET input data'!$C28,_xlfn.XLOOKUP('EV Battery'!$C$7,'GREET input data'!$B$3:$B$9,'GREET input data'!$D$3:$D$9),J$29-1)</f>
        <v>8.0000000000000004E-4</v>
      </c>
      <c r="K13" s="6">
        <f ca="1">OFFSET('GREET input data'!$C28,_xlfn.XLOOKUP('EV Battery'!$C$7,'GREET input data'!$B$3:$B$9,'GREET input data'!$D$3:$D$9),K$29-1)</f>
        <v>8.0000000000000004E-4</v>
      </c>
      <c r="L13" s="6">
        <f ca="1">OFFSET('GREET input data'!$C28,_xlfn.XLOOKUP('EV Battery'!$C$7,'GREET input data'!$B$3:$B$9,'GREET input data'!$D$3:$D$9),L$29-1)</f>
        <v>8.0000000000000004E-4</v>
      </c>
      <c r="M13" s="6">
        <f ca="1">OFFSET('GREET input data'!$C28,_xlfn.XLOOKUP('EV Battery'!$C$7,'GREET input data'!$B$3:$B$9,'GREET input data'!$D$3:$D$9),M$29-1)</f>
        <v>8.0000000000000004E-4</v>
      </c>
      <c r="N13" s="6">
        <f ca="1">OFFSET('GREET input data'!$C28,_xlfn.XLOOKUP('EV Battery'!$C$7,'GREET input data'!$B$3:$B$9,'GREET input data'!$D$3:$D$9),N$29-1)</f>
        <v>8.0000000000000004E-4</v>
      </c>
      <c r="O13" s="6">
        <f ca="1">OFFSET('GREET input data'!$C28,_xlfn.XLOOKUP('EV Battery'!$C$7,'GREET input data'!$B$3:$B$9,'GREET input data'!$D$3:$D$9),O$29-1)</f>
        <v>8.0000000000000004E-4</v>
      </c>
      <c r="P13" s="6">
        <f ca="1">OFFSET('GREET input data'!$C28,_xlfn.XLOOKUP('EV Battery'!$C$7,'GREET input data'!$B$3:$B$9,'GREET input data'!$D$3:$D$9),P$29-1)</f>
        <v>8.0000000000000004E-4</v>
      </c>
      <c r="Q13" s="6">
        <f ca="1">OFFSET('GREET input data'!$C28,_xlfn.XLOOKUP('EV Battery'!$C$7,'GREET input data'!$B$3:$B$9,'GREET input data'!$D$3:$D$9),Q$29-1)</f>
        <v>8.0000000000000004E-4</v>
      </c>
      <c r="R13" s="6">
        <f ca="1">OFFSET('GREET input data'!$C28,_xlfn.XLOOKUP('EV Battery'!$C$7,'GREET input data'!$B$3:$B$9,'GREET input data'!$D$3:$D$9),R$29-1)</f>
        <v>8.0000000000000004E-4</v>
      </c>
      <c r="S13" s="8">
        <v>8.6026807178514767E-4</v>
      </c>
      <c r="T13" s="8">
        <v>0</v>
      </c>
      <c r="U13" s="8">
        <v>0</v>
      </c>
    </row>
    <row r="14" spans="2:21" s="2" customFormat="1" outlineLevel="1" x14ac:dyDescent="0.25">
      <c r="B14" s="4" t="s">
        <v>56</v>
      </c>
      <c r="C14" s="25">
        <f ca="1">_xlfn.XLOOKUP('EV Battery'!$C$6,$I$2:$U$2,I14:U14)*'EV Battery'!$C$5</f>
        <v>1.5393919401836276</v>
      </c>
      <c r="D14"/>
      <c r="E14" s="8"/>
      <c r="F14" s="8"/>
      <c r="G14" s="8">
        <f t="shared" si="0"/>
        <v>1</v>
      </c>
      <c r="H14"/>
      <c r="I14" s="6">
        <f ca="1">OFFSET('GREET input data'!$C29,_xlfn.XLOOKUP('EV Battery'!$C$7,'GREET input data'!$B$3:$B$9,'GREET input data'!$D$3:$D$9),I$29-1)</f>
        <v>9.2999999999999992E-3</v>
      </c>
      <c r="J14" s="6">
        <f ca="1">OFFSET('GREET input data'!$C29,_xlfn.XLOOKUP('EV Battery'!$C$7,'GREET input data'!$B$3:$B$9,'GREET input data'!$D$3:$D$9),J$29-1)</f>
        <v>6.4000000000000003E-3</v>
      </c>
      <c r="K14" s="6">
        <f ca="1">OFFSET('GREET input data'!$C29,_xlfn.XLOOKUP('EV Battery'!$C$7,'GREET input data'!$B$3:$B$9,'GREET input data'!$D$3:$D$9),K$29-1)</f>
        <v>6.1000000000000004E-3</v>
      </c>
      <c r="L14" s="6">
        <f ca="1">OFFSET('GREET input data'!$C29,_xlfn.XLOOKUP('EV Battery'!$C$7,'GREET input data'!$B$3:$B$9,'GREET input data'!$D$3:$D$9),L$29-1)</f>
        <v>6.0000000000000001E-3</v>
      </c>
      <c r="M14" s="6">
        <f ca="1">OFFSET('GREET input data'!$C29,_xlfn.XLOOKUP('EV Battery'!$C$7,'GREET input data'!$B$3:$B$9,'GREET input data'!$D$3:$D$9),M$29-1)</f>
        <v>5.5999999999999999E-3</v>
      </c>
      <c r="N14" s="6">
        <f ca="1">OFFSET('GREET input data'!$C29,_xlfn.XLOOKUP('EV Battery'!$C$7,'GREET input data'!$B$3:$B$9,'GREET input data'!$D$3:$D$9),N$29-1)</f>
        <v>5.4000000000000003E-3</v>
      </c>
      <c r="O14" s="6">
        <f ca="1">OFFSET('GREET input data'!$C29,_xlfn.XLOOKUP('EV Battery'!$C$7,'GREET input data'!$B$3:$B$9,'GREET input data'!$D$3:$D$9),O$29-1)</f>
        <v>5.7000000000000002E-3</v>
      </c>
      <c r="P14" s="6">
        <f ca="1">OFFSET('GREET input data'!$C29,_xlfn.XLOOKUP('EV Battery'!$C$7,'GREET input data'!$B$3:$B$9,'GREET input data'!$D$3:$D$9),P$29-1)</f>
        <v>8.9999999999999993E-3</v>
      </c>
      <c r="Q14" s="6">
        <f ca="1">OFFSET('GREET input data'!$C29,_xlfn.XLOOKUP('EV Battery'!$C$7,'GREET input data'!$B$3:$B$9,'GREET input data'!$D$3:$D$9),Q$29-1)</f>
        <v>9.2999999999999992E-3</v>
      </c>
      <c r="R14" s="6">
        <f ca="1">OFFSET('GREET input data'!$C29,_xlfn.XLOOKUP('EV Battery'!$C$7,'GREET input data'!$B$3:$B$9,'GREET input data'!$D$3:$D$9),R$29-1)</f>
        <v>9.2999999999999992E-3</v>
      </c>
      <c r="S14" s="8">
        <v>1.0000616334502341E-2</v>
      </c>
      <c r="T14" s="8">
        <v>0</v>
      </c>
      <c r="U14" s="8">
        <v>0</v>
      </c>
    </row>
    <row r="15" spans="2:21" s="2" customFormat="1" outlineLevel="1" x14ac:dyDescent="0.25">
      <c r="B15" s="4" t="s">
        <v>57</v>
      </c>
      <c r="C15" s="25">
        <f ca="1">_xlfn.XLOOKUP('EV Battery'!$C$6,$I$2:$U$2,I15:U15)*'EV Battery'!$C$5</f>
        <v>2.6664467535323548</v>
      </c>
      <c r="D15"/>
      <c r="E15" s="8"/>
      <c r="F15" s="8"/>
      <c r="G15" s="8">
        <f t="shared" si="0"/>
        <v>1</v>
      </c>
      <c r="H15"/>
      <c r="I15" s="6">
        <f ca="1">OFFSET('GREET input data'!$C30,_xlfn.XLOOKUP('EV Battery'!$C$7,'GREET input data'!$B$3:$B$9,'GREET input data'!$D$3:$D$9),I$29-1)</f>
        <v>8.7999999999999988E-3</v>
      </c>
      <c r="J15" s="6">
        <f ca="1">OFFSET('GREET input data'!$C30,_xlfn.XLOOKUP('EV Battery'!$C$7,'GREET input data'!$B$3:$B$9,'GREET input data'!$D$3:$D$9),J$29-1)</f>
        <v>9.2999999999999992E-3</v>
      </c>
      <c r="K15" s="6">
        <f ca="1">OFFSET('GREET input data'!$C30,_xlfn.XLOOKUP('EV Battery'!$C$7,'GREET input data'!$B$3:$B$9,'GREET input data'!$D$3:$D$9),K$29-1)</f>
        <v>9.3999999999999986E-3</v>
      </c>
      <c r="L15" s="6">
        <f ca="1">OFFSET('GREET input data'!$C30,_xlfn.XLOOKUP('EV Battery'!$C$7,'GREET input data'!$B$3:$B$9,'GREET input data'!$D$3:$D$9),L$29-1)</f>
        <v>9.4999999999999998E-3</v>
      </c>
      <c r="M15" s="6">
        <f ca="1">OFFSET('GREET input data'!$C30,_xlfn.XLOOKUP('EV Battery'!$C$7,'GREET input data'!$B$3:$B$9,'GREET input data'!$D$3:$D$9),M$29-1)</f>
        <v>9.6999999999999986E-3</v>
      </c>
      <c r="N15" s="6">
        <f ca="1">OFFSET('GREET input data'!$C30,_xlfn.XLOOKUP('EV Battery'!$C$7,'GREET input data'!$B$3:$B$9,'GREET input data'!$D$3:$D$9),N$29-1)</f>
        <v>9.7999999999999997E-3</v>
      </c>
      <c r="O15" s="6">
        <f ca="1">OFFSET('GREET input data'!$C30,_xlfn.XLOOKUP('EV Battery'!$C$7,'GREET input data'!$B$3:$B$9,'GREET input data'!$D$3:$D$9),O$29-1)</f>
        <v>9.5999999999999992E-3</v>
      </c>
      <c r="P15" s="6">
        <f ca="1">OFFSET('GREET input data'!$C30,_xlfn.XLOOKUP('EV Battery'!$C$7,'GREET input data'!$B$3:$B$9,'GREET input data'!$D$3:$D$9),P$29-1)</f>
        <v>8.6E-3</v>
      </c>
      <c r="Q15" s="6">
        <f ca="1">OFFSET('GREET input data'!$C30,_xlfn.XLOOKUP('EV Battery'!$C$7,'GREET input data'!$B$3:$B$9,'GREET input data'!$D$3:$D$9),Q$29-1)</f>
        <v>8.7999999999999988E-3</v>
      </c>
      <c r="R15" s="6">
        <f ca="1">OFFSET('GREET input data'!$C30,_xlfn.XLOOKUP('EV Battery'!$C$7,'GREET input data'!$B$3:$B$9,'GREET input data'!$D$3:$D$9),R$29-1)</f>
        <v>8.7999999999999988E-3</v>
      </c>
      <c r="S15" s="8">
        <v>9.6780158075829101E-3</v>
      </c>
      <c r="T15" s="8">
        <v>1.136032888553593E-2</v>
      </c>
      <c r="U15" s="8">
        <v>1.0510610422320692E-2</v>
      </c>
    </row>
    <row r="16" spans="2:21" s="2" customFormat="1" outlineLevel="1" x14ac:dyDescent="0.25">
      <c r="B16" s="4" t="s">
        <v>58</v>
      </c>
      <c r="C16" s="25">
        <f ca="1">_xlfn.XLOOKUP('EV Battery'!$C$6,$I$2:$U$2,I16:U16)*'EV Battery'!$C$5</f>
        <v>0.46731541041288699</v>
      </c>
      <c r="D16"/>
      <c r="E16" s="8"/>
      <c r="F16" s="8"/>
      <c r="G16" s="8">
        <f t="shared" si="0"/>
        <v>1</v>
      </c>
      <c r="H16"/>
      <c r="I16" s="6">
        <f ca="1">OFFSET('GREET input data'!$C31,_xlfn.XLOOKUP('EV Battery'!$C$7,'GREET input data'!$B$3:$B$9,'GREET input data'!$D$3:$D$9),I$29-1)</f>
        <v>1.7000000000000001E-3</v>
      </c>
      <c r="J16" s="6">
        <f ca="1">OFFSET('GREET input data'!$C31,_xlfn.XLOOKUP('EV Battery'!$C$7,'GREET input data'!$B$3:$B$9,'GREET input data'!$D$3:$D$9),J$29-1)</f>
        <v>1.6000000000000001E-3</v>
      </c>
      <c r="K16" s="6">
        <f ca="1">OFFSET('GREET input data'!$C31,_xlfn.XLOOKUP('EV Battery'!$C$7,'GREET input data'!$B$3:$B$9,'GREET input data'!$D$3:$D$9),K$29-1)</f>
        <v>1.7000000000000001E-3</v>
      </c>
      <c r="L16" s="6">
        <f ca="1">OFFSET('GREET input data'!$C31,_xlfn.XLOOKUP('EV Battery'!$C$7,'GREET input data'!$B$3:$B$9,'GREET input data'!$D$3:$D$9),L$29-1)</f>
        <v>1.6000000000000001E-3</v>
      </c>
      <c r="M16" s="6">
        <f ca="1">OFFSET('GREET input data'!$C31,_xlfn.XLOOKUP('EV Battery'!$C$7,'GREET input data'!$B$3:$B$9,'GREET input data'!$D$3:$D$9),M$29-1)</f>
        <v>1.7000000000000001E-3</v>
      </c>
      <c r="N16" s="6">
        <f ca="1">OFFSET('GREET input data'!$C31,_xlfn.XLOOKUP('EV Battery'!$C$7,'GREET input data'!$B$3:$B$9,'GREET input data'!$D$3:$D$9),N$29-1)</f>
        <v>1.7000000000000001E-3</v>
      </c>
      <c r="O16" s="6">
        <f ca="1">OFFSET('GREET input data'!$C31,_xlfn.XLOOKUP('EV Battery'!$C$7,'GREET input data'!$B$3:$B$9,'GREET input data'!$D$3:$D$9),O$29-1)</f>
        <v>1.6000000000000001E-3</v>
      </c>
      <c r="P16" s="6">
        <f ca="1">OFFSET('GREET input data'!$C31,_xlfn.XLOOKUP('EV Battery'!$C$7,'GREET input data'!$B$3:$B$9,'GREET input data'!$D$3:$D$9),P$29-1)</f>
        <v>1.6000000000000001E-3</v>
      </c>
      <c r="Q16" s="6">
        <f ca="1">OFFSET('GREET input data'!$C31,_xlfn.XLOOKUP('EV Battery'!$C$7,'GREET input data'!$B$3:$B$9,'GREET input data'!$D$3:$D$9),Q$29-1)</f>
        <v>1.7000000000000001E-3</v>
      </c>
      <c r="R16" s="6">
        <f ca="1">OFFSET('GREET input data'!$C31,_xlfn.XLOOKUP('EV Battery'!$C$7,'GREET input data'!$B$3:$B$9,'GREET input data'!$D$3:$D$9),R$29-1)</f>
        <v>1.7000000000000001E-3</v>
      </c>
      <c r="S16" s="8">
        <v>1.8280696525434389E-3</v>
      </c>
      <c r="T16" s="8">
        <v>2.1458399006012313E-3</v>
      </c>
      <c r="U16" s="8">
        <v>1.8048522947419375E-3</v>
      </c>
    </row>
    <row r="17" spans="2:21" s="2" customFormat="1" outlineLevel="1" x14ac:dyDescent="0.25">
      <c r="B17" s="4" t="s">
        <v>59</v>
      </c>
      <c r="C17" s="25">
        <f ca="1">_xlfn.XLOOKUP('EV Battery'!$C$6,$I$2:$U$2,I17:U17)*'EV Battery'!$C$5</f>
        <v>50.717466600692731</v>
      </c>
      <c r="D17"/>
      <c r="E17" s="8"/>
      <c r="F17" s="8"/>
      <c r="G17" s="8">
        <f t="shared" si="0"/>
        <v>1</v>
      </c>
      <c r="H17"/>
      <c r="I17" s="6">
        <f ca="1">OFFSET('GREET input data'!$C32,_xlfn.XLOOKUP('EV Battery'!$C$7,'GREET input data'!$B$3:$B$9,'GREET input data'!$D$3:$D$9),I$29-1)</f>
        <v>0.15989999999999999</v>
      </c>
      <c r="J17" s="6">
        <f ca="1">OFFSET('GREET input data'!$C32,_xlfn.XLOOKUP('EV Battery'!$C$7,'GREET input data'!$B$3:$B$9,'GREET input data'!$D$3:$D$9),J$29-1)</f>
        <v>0.1749</v>
      </c>
      <c r="K17" s="6">
        <f ca="1">OFFSET('GREET input data'!$C32,_xlfn.XLOOKUP('EV Battery'!$C$7,'GREET input data'!$B$3:$B$9,'GREET input data'!$D$3:$D$9),K$29-1)</f>
        <v>0.17829999999999999</v>
      </c>
      <c r="L17" s="6">
        <f ca="1">OFFSET('GREET input data'!$C32,_xlfn.XLOOKUP('EV Battery'!$C$7,'GREET input data'!$B$3:$B$9,'GREET input data'!$D$3:$D$9),L$29-1)</f>
        <v>0.17959999999999998</v>
      </c>
      <c r="M17" s="6">
        <f ca="1">OFFSET('GREET input data'!$C32,_xlfn.XLOOKUP('EV Battery'!$C$7,'GREET input data'!$B$3:$B$9,'GREET input data'!$D$3:$D$9),M$29-1)</f>
        <v>0.1845</v>
      </c>
      <c r="N17" s="6">
        <f ca="1">OFFSET('GREET input data'!$C32,_xlfn.XLOOKUP('EV Battery'!$C$7,'GREET input data'!$B$3:$B$9,'GREET input data'!$D$3:$D$9),N$29-1)</f>
        <v>0.18789999999999998</v>
      </c>
      <c r="O17" s="6">
        <f ca="1">OFFSET('GREET input data'!$C32,_xlfn.XLOOKUP('EV Battery'!$C$7,'GREET input data'!$B$3:$B$9,'GREET input data'!$D$3:$D$9),O$29-1)</f>
        <v>0.18239999999999998</v>
      </c>
      <c r="P17" s="6">
        <f ca="1">OFFSET('GREET input data'!$C32,_xlfn.XLOOKUP('EV Battery'!$C$7,'GREET input data'!$B$3:$B$9,'GREET input data'!$D$3:$D$9),P$29-1)</f>
        <v>0.1578</v>
      </c>
      <c r="Q17" s="6">
        <f ca="1">OFFSET('GREET input data'!$C32,_xlfn.XLOOKUP('EV Battery'!$C$7,'GREET input data'!$B$3:$B$9,'GREET input data'!$D$3:$D$9),Q$29-1)</f>
        <v>0.15989999999999999</v>
      </c>
      <c r="R17" s="6">
        <f ca="1">OFFSET('GREET input data'!$C32,_xlfn.XLOOKUP('EV Battery'!$C$7,'GREET input data'!$B$3:$B$9,'GREET input data'!$D$3:$D$9),R$29-1)</f>
        <v>0.15989999999999999</v>
      </c>
      <c r="S17" s="8">
        <v>0.16990294417756668</v>
      </c>
      <c r="T17" s="8">
        <v>0.19943688487940858</v>
      </c>
      <c r="U17" s="8">
        <v>0.19503021561417289</v>
      </c>
    </row>
    <row r="18" spans="2:21" s="2" customFormat="1" outlineLevel="1" x14ac:dyDescent="0.25">
      <c r="B18" s="4" t="s">
        <v>60</v>
      </c>
      <c r="C18" s="25">
        <f ca="1">_xlfn.XLOOKUP('EV Battery'!$C$6,$I$2:$U$2,I18:U18)*'EV Battery'!$C$5</f>
        <v>19.049975259772392</v>
      </c>
      <c r="D18"/>
      <c r="E18" s="8"/>
      <c r="F18" s="8"/>
      <c r="G18" s="8">
        <f t="shared" si="0"/>
        <v>1</v>
      </c>
      <c r="H18"/>
      <c r="I18" s="6">
        <f ca="1">OFFSET('GREET input data'!$C33,_xlfn.XLOOKUP('EV Battery'!$C$7,'GREET input data'!$B$3:$B$9,'GREET input data'!$D$3:$D$9),I$29-1)</f>
        <v>6.3399999999999998E-2</v>
      </c>
      <c r="J18" s="6">
        <f ca="1">OFFSET('GREET input data'!$C33,_xlfn.XLOOKUP('EV Battery'!$C$7,'GREET input data'!$B$3:$B$9,'GREET input data'!$D$3:$D$9),J$29-1)</f>
        <v>6.6700000000000009E-2</v>
      </c>
      <c r="K18" s="6">
        <f ca="1">OFFSET('GREET input data'!$C33,_xlfn.XLOOKUP('EV Battery'!$C$7,'GREET input data'!$B$3:$B$9,'GREET input data'!$D$3:$D$9),K$29-1)</f>
        <v>6.7600000000000007E-2</v>
      </c>
      <c r="L18" s="6">
        <f ca="1">OFFSET('GREET input data'!$C33,_xlfn.XLOOKUP('EV Battery'!$C$7,'GREET input data'!$B$3:$B$9,'GREET input data'!$D$3:$D$9),L$29-1)</f>
        <v>6.8000000000000005E-2</v>
      </c>
      <c r="M18" s="6">
        <f ca="1">OFFSET('GREET input data'!$C33,_xlfn.XLOOKUP('EV Battery'!$C$7,'GREET input data'!$B$3:$B$9,'GREET input data'!$D$3:$D$9),M$29-1)</f>
        <v>6.93E-2</v>
      </c>
      <c r="N18" s="6">
        <f ca="1">OFFSET('GREET input data'!$C33,_xlfn.XLOOKUP('EV Battery'!$C$7,'GREET input data'!$B$3:$B$9,'GREET input data'!$D$3:$D$9),N$29-1)</f>
        <v>7.0199999999999999E-2</v>
      </c>
      <c r="O18" s="6">
        <f ca="1">OFFSET('GREET input data'!$C33,_xlfn.XLOOKUP('EV Battery'!$C$7,'GREET input data'!$B$3:$B$9,'GREET input data'!$D$3:$D$9),O$29-1)</f>
        <v>6.8699999999999997E-2</v>
      </c>
      <c r="P18" s="6">
        <f ca="1">OFFSET('GREET input data'!$C33,_xlfn.XLOOKUP('EV Battery'!$C$7,'GREET input data'!$B$3:$B$9,'GREET input data'!$D$3:$D$9),P$29-1)</f>
        <v>6.1900000000000004E-2</v>
      </c>
      <c r="Q18" s="6">
        <f ca="1">OFFSET('GREET input data'!$C33,_xlfn.XLOOKUP('EV Battery'!$C$7,'GREET input data'!$B$3:$B$9,'GREET input data'!$D$3:$D$9),Q$29-1)</f>
        <v>6.3399999999999998E-2</v>
      </c>
      <c r="R18" s="6">
        <f ca="1">OFFSET('GREET input data'!$C33,_xlfn.XLOOKUP('EV Battery'!$C$7,'GREET input data'!$B$3:$B$9,'GREET input data'!$D$3:$D$9),R$29-1)</f>
        <v>6.3399999999999998E-2</v>
      </c>
      <c r="S18" s="8">
        <v>6.8713912233838673E-2</v>
      </c>
      <c r="T18" s="8">
        <v>8.0658335087305119E-2</v>
      </c>
      <c r="U18" s="8">
        <v>7.4529782994637667E-2</v>
      </c>
    </row>
    <row r="19" spans="2:21" s="2" customFormat="1" outlineLevel="1" x14ac:dyDescent="0.25">
      <c r="B19" s="4" t="s">
        <v>61</v>
      </c>
      <c r="C19" s="25">
        <f ca="1">_xlfn.XLOOKUP('EV Battery'!$C$6,$I$2:$U$2,I19:U19)*'EV Battery'!$C$5</f>
        <v>0.13744570894496674</v>
      </c>
      <c r="D19"/>
      <c r="E19" s="8"/>
      <c r="F19" s="8"/>
      <c r="G19" s="8">
        <f t="shared" si="0"/>
        <v>1</v>
      </c>
      <c r="H19"/>
      <c r="I19" s="6">
        <f ca="1">OFFSET('GREET input data'!$C34,_xlfn.XLOOKUP('EV Battery'!$C$7,'GREET input data'!$B$3:$B$9,'GREET input data'!$D$3:$D$9),I$29-1)</f>
        <v>3.9999999999999996E-4</v>
      </c>
      <c r="J19" s="6">
        <f ca="1">OFFSET('GREET input data'!$C34,_xlfn.XLOOKUP('EV Battery'!$C$7,'GREET input data'!$B$3:$B$9,'GREET input data'!$D$3:$D$9),J$29-1)</f>
        <v>3.9999999999999996E-4</v>
      </c>
      <c r="K19" s="6">
        <f ca="1">OFFSET('GREET input data'!$C34,_xlfn.XLOOKUP('EV Battery'!$C$7,'GREET input data'!$B$3:$B$9,'GREET input data'!$D$3:$D$9),K$29-1)</f>
        <v>5.0000000000000001E-4</v>
      </c>
      <c r="L19" s="6">
        <f ca="1">OFFSET('GREET input data'!$C34,_xlfn.XLOOKUP('EV Battery'!$C$7,'GREET input data'!$B$3:$B$9,'GREET input data'!$D$3:$D$9),L$29-1)</f>
        <v>5.0000000000000001E-4</v>
      </c>
      <c r="M19" s="6">
        <f ca="1">OFFSET('GREET input data'!$C34,_xlfn.XLOOKUP('EV Battery'!$C$7,'GREET input data'!$B$3:$B$9,'GREET input data'!$D$3:$D$9),M$29-1)</f>
        <v>5.0000000000000001E-4</v>
      </c>
      <c r="N19" s="6">
        <f ca="1">OFFSET('GREET input data'!$C34,_xlfn.XLOOKUP('EV Battery'!$C$7,'GREET input data'!$B$3:$B$9,'GREET input data'!$D$3:$D$9),N$29-1)</f>
        <v>5.0000000000000001E-4</v>
      </c>
      <c r="O19" s="6">
        <f ca="1">OFFSET('GREET input data'!$C34,_xlfn.XLOOKUP('EV Battery'!$C$7,'GREET input data'!$B$3:$B$9,'GREET input data'!$D$3:$D$9),O$29-1)</f>
        <v>5.0000000000000001E-4</v>
      </c>
      <c r="P19" s="6">
        <f ca="1">OFFSET('GREET input data'!$C34,_xlfn.XLOOKUP('EV Battery'!$C$7,'GREET input data'!$B$3:$B$9,'GREET input data'!$D$3:$D$9),P$29-1)</f>
        <v>3.9999999999999996E-4</v>
      </c>
      <c r="Q19" s="6">
        <f ca="1">OFFSET('GREET input data'!$C34,_xlfn.XLOOKUP('EV Battery'!$C$7,'GREET input data'!$B$3:$B$9,'GREET input data'!$D$3:$D$9),Q$29-1)</f>
        <v>3.9999999999999996E-4</v>
      </c>
      <c r="R19" s="6">
        <f ca="1">OFFSET('GREET input data'!$C34,_xlfn.XLOOKUP('EV Battery'!$C$7,'GREET input data'!$B$3:$B$9,'GREET input data'!$D$3:$D$9),R$29-1)</f>
        <v>3.9999999999999996E-4</v>
      </c>
      <c r="S19" s="8">
        <v>3.2260052691943043E-4</v>
      </c>
      <c r="T19" s="8">
        <v>3.7867762951786444E-4</v>
      </c>
      <c r="U19" s="8">
        <v>4.2467112817457355E-4</v>
      </c>
    </row>
    <row r="20" spans="2:21" s="2" customFormat="1" outlineLevel="1" x14ac:dyDescent="0.25">
      <c r="B20" s="4" t="s">
        <v>62</v>
      </c>
      <c r="C20" s="25">
        <f ca="1">_xlfn.XLOOKUP('EV Battery'!$C$6,$I$2:$U$2,I20:U20)*'EV Battery'!$C$5</f>
        <v>1.0720765297707406</v>
      </c>
      <c r="D20"/>
      <c r="E20" s="8"/>
      <c r="F20" s="8"/>
      <c r="G20" s="8">
        <f t="shared" si="0"/>
        <v>1</v>
      </c>
      <c r="H20"/>
      <c r="I20" s="6">
        <f ca="1">OFFSET('GREET input data'!$C35,_xlfn.XLOOKUP('EV Battery'!$C$7,'GREET input data'!$B$3:$B$9,'GREET input data'!$D$3:$D$9),I$29-1)</f>
        <v>3.3999999999999998E-3</v>
      </c>
      <c r="J20" s="6">
        <f ca="1">OFFSET('GREET input data'!$C35,_xlfn.XLOOKUP('EV Battery'!$C$7,'GREET input data'!$B$3:$B$9,'GREET input data'!$D$3:$D$9),J$29-1)</f>
        <v>3.6999999999999997E-3</v>
      </c>
      <c r="K20" s="6">
        <f ca="1">OFFSET('GREET input data'!$C35,_xlfn.XLOOKUP('EV Battery'!$C$7,'GREET input data'!$B$3:$B$9,'GREET input data'!$D$3:$D$9),K$29-1)</f>
        <v>3.8E-3</v>
      </c>
      <c r="L20" s="6">
        <f ca="1">OFFSET('GREET input data'!$C35,_xlfn.XLOOKUP('EV Battery'!$C$7,'GREET input data'!$B$3:$B$9,'GREET input data'!$D$3:$D$9),L$29-1)</f>
        <v>3.8E-3</v>
      </c>
      <c r="M20" s="6">
        <f ca="1">OFFSET('GREET input data'!$C35,_xlfn.XLOOKUP('EV Battery'!$C$7,'GREET input data'!$B$3:$B$9,'GREET input data'!$D$3:$D$9),M$29-1)</f>
        <v>3.8999999999999998E-3</v>
      </c>
      <c r="N20" s="6">
        <f ca="1">OFFSET('GREET input data'!$C35,_xlfn.XLOOKUP('EV Battery'!$C$7,'GREET input data'!$B$3:$B$9,'GREET input data'!$D$3:$D$9),N$29-1)</f>
        <v>4.0000000000000001E-3</v>
      </c>
      <c r="O20" s="6">
        <f ca="1">OFFSET('GREET input data'!$C35,_xlfn.XLOOKUP('EV Battery'!$C$7,'GREET input data'!$B$3:$B$9,'GREET input data'!$D$3:$D$9),O$29-1)</f>
        <v>3.8999999999999998E-3</v>
      </c>
      <c r="P20" s="6">
        <f ca="1">OFFSET('GREET input data'!$C35,_xlfn.XLOOKUP('EV Battery'!$C$7,'GREET input data'!$B$3:$B$9,'GREET input data'!$D$3:$D$9),P$29-1)</f>
        <v>3.3999999999999998E-3</v>
      </c>
      <c r="Q20" s="6">
        <f ca="1">OFFSET('GREET input data'!$C35,_xlfn.XLOOKUP('EV Battery'!$C$7,'GREET input data'!$B$3:$B$9,'GREET input data'!$D$3:$D$9),Q$29-1)</f>
        <v>3.3999999999999998E-3</v>
      </c>
      <c r="R20" s="6">
        <f ca="1">OFFSET('GREET input data'!$C35,_xlfn.XLOOKUP('EV Battery'!$C$7,'GREET input data'!$B$3:$B$9,'GREET input data'!$D$3:$D$9),R$29-1)</f>
        <v>3.3999999999999998E-3</v>
      </c>
      <c r="S20" s="8">
        <v>3.7636728140600208E-3</v>
      </c>
      <c r="T20" s="8">
        <v>4.4179056777084169E-3</v>
      </c>
      <c r="U20" s="8">
        <v>4.2467112817457355E-3</v>
      </c>
    </row>
    <row r="21" spans="2:21" s="2" customFormat="1" outlineLevel="1" x14ac:dyDescent="0.25">
      <c r="B21" s="4" t="s">
        <v>63</v>
      </c>
      <c r="C21" s="25">
        <f ca="1">_xlfn.XLOOKUP('EV Battery'!$C$6,$I$2:$U$2,I21:U21)*'EV Battery'!$C$5</f>
        <v>12.287646379680028</v>
      </c>
      <c r="D21"/>
      <c r="E21" s="8"/>
      <c r="F21" s="8"/>
      <c r="G21" s="8">
        <f t="shared" si="0"/>
        <v>1</v>
      </c>
      <c r="H21"/>
      <c r="I21" s="6">
        <f ca="1">OFFSET('GREET input data'!$C36,_xlfn.XLOOKUP('EV Battery'!$C$7,'GREET input data'!$B$3:$B$9,'GREET input data'!$D$3:$D$9),I$29-1)</f>
        <v>4.0900000000000006E-2</v>
      </c>
      <c r="J21" s="6">
        <f ca="1">OFFSET('GREET input data'!$C36,_xlfn.XLOOKUP('EV Battery'!$C$7,'GREET input data'!$B$3:$B$9,'GREET input data'!$D$3:$D$9),J$29-1)</f>
        <v>4.3000000000000003E-2</v>
      </c>
      <c r="K21" s="6">
        <f ca="1">OFFSET('GREET input data'!$C36,_xlfn.XLOOKUP('EV Battery'!$C$7,'GREET input data'!$B$3:$B$9,'GREET input data'!$D$3:$D$9),K$29-1)</f>
        <v>4.3700000000000003E-2</v>
      </c>
      <c r="L21" s="6">
        <f ca="1">OFFSET('GREET input data'!$C36,_xlfn.XLOOKUP('EV Battery'!$C$7,'GREET input data'!$B$3:$B$9,'GREET input data'!$D$3:$D$9),L$29-1)</f>
        <v>4.3900000000000002E-2</v>
      </c>
      <c r="M21" s="6">
        <f ca="1">OFFSET('GREET input data'!$C36,_xlfn.XLOOKUP('EV Battery'!$C$7,'GREET input data'!$B$3:$B$9,'GREET input data'!$D$3:$D$9),M$29-1)</f>
        <v>4.4700000000000004E-2</v>
      </c>
      <c r="N21" s="6">
        <f ca="1">OFFSET('GREET input data'!$C36,_xlfn.XLOOKUP('EV Battery'!$C$7,'GREET input data'!$B$3:$B$9,'GREET input data'!$D$3:$D$9),N$29-1)</f>
        <v>4.5200000000000004E-2</v>
      </c>
      <c r="O21" s="6">
        <f ca="1">OFFSET('GREET input data'!$C36,_xlfn.XLOOKUP('EV Battery'!$C$7,'GREET input data'!$B$3:$B$9,'GREET input data'!$D$3:$D$9),O$29-1)</f>
        <v>4.4200000000000003E-2</v>
      </c>
      <c r="P21" s="6">
        <f ca="1">OFFSET('GREET input data'!$C36,_xlfn.XLOOKUP('EV Battery'!$C$7,'GREET input data'!$B$3:$B$9,'GREET input data'!$D$3:$D$9),P$29-1)</f>
        <v>3.9900000000000005E-2</v>
      </c>
      <c r="Q21" s="6">
        <f ca="1">OFFSET('GREET input data'!$C36,_xlfn.XLOOKUP('EV Battery'!$C$7,'GREET input data'!$B$3:$B$9,'GREET input data'!$D$3:$D$9),Q$29-1)</f>
        <v>4.0900000000000006E-2</v>
      </c>
      <c r="R21" s="6">
        <f ca="1">OFFSET('GREET input data'!$C36,_xlfn.XLOOKUP('EV Battery'!$C$7,'GREET input data'!$B$3:$B$9,'GREET input data'!$D$3:$D$9),R$29-1)</f>
        <v>4.0900000000000006E-2</v>
      </c>
      <c r="S21" s="8">
        <v>4.3981205170015684E-2</v>
      </c>
      <c r="T21" s="8">
        <v>5.1626383490935519E-2</v>
      </c>
      <c r="U21" s="8">
        <v>4.7350830791464953E-2</v>
      </c>
    </row>
    <row r="22" spans="2:21" s="2" customFormat="1" outlineLevel="1" x14ac:dyDescent="0.25">
      <c r="B22" s="4" t="s">
        <v>64</v>
      </c>
      <c r="C22" s="25">
        <f ca="1">_xlfn.XLOOKUP('EV Battery'!$C$6,$I$2:$U$2,I22:U22)*'EV Battery'!$C$5</f>
        <v>4.4807301116059106</v>
      </c>
      <c r="D22"/>
      <c r="E22" s="8"/>
      <c r="F22" s="8"/>
      <c r="G22" s="8">
        <f t="shared" si="0"/>
        <v>1</v>
      </c>
      <c r="H22"/>
      <c r="I22" s="6">
        <f ca="1">OFFSET('GREET input data'!$C37,_xlfn.XLOOKUP('EV Battery'!$C$7,'GREET input data'!$B$3:$B$9,'GREET input data'!$D$3:$D$9),I$29-1)</f>
        <v>1.1799999999999922E-2</v>
      </c>
      <c r="J22" s="6">
        <f ca="1">OFFSET('GREET input data'!$C37,_xlfn.XLOOKUP('EV Battery'!$C$7,'GREET input data'!$B$3:$B$9,'GREET input data'!$D$3:$D$9),J$29-1)</f>
        <v>1.4600000000000057E-2</v>
      </c>
      <c r="K22" s="6">
        <f ca="1">OFFSET('GREET input data'!$C37,_xlfn.XLOOKUP('EV Battery'!$C$7,'GREET input data'!$B$3:$B$9,'GREET input data'!$D$3:$D$9),K$29-1)</f>
        <v>1.5199999999999991E-2</v>
      </c>
      <c r="L22" s="6">
        <f ca="1">OFFSET('GREET input data'!$C37,_xlfn.XLOOKUP('EV Battery'!$C$7,'GREET input data'!$B$3:$B$9,'GREET input data'!$D$3:$D$9),L$29-1)</f>
        <v>1.5499999999999847E-2</v>
      </c>
      <c r="M22" s="6">
        <f ca="1">OFFSET('GREET input data'!$C37,_xlfn.XLOOKUP('EV Battery'!$C$7,'GREET input data'!$B$3:$B$9,'GREET input data'!$D$3:$D$9),M$29-1)</f>
        <v>1.6299999999999981E-2</v>
      </c>
      <c r="N22" s="6">
        <f ca="1">OFFSET('GREET input data'!$C37,_xlfn.XLOOKUP('EV Battery'!$C$7,'GREET input data'!$B$3:$B$9,'GREET input data'!$D$3:$D$9),N$29-1)</f>
        <v>1.6600000000000059E-2</v>
      </c>
      <c r="O22" s="6">
        <f ca="1">OFFSET('GREET input data'!$C37,_xlfn.XLOOKUP('EV Battery'!$C$7,'GREET input data'!$B$3:$B$9,'GREET input data'!$D$3:$D$9),O$29-1)</f>
        <v>1.5699999999999936E-2</v>
      </c>
      <c r="P22" s="6">
        <f ca="1">OFFSET('GREET input data'!$C37,_xlfn.XLOOKUP('EV Battery'!$C$7,'GREET input data'!$B$3:$B$9,'GREET input data'!$D$3:$D$9),P$29-1)</f>
        <v>1.2099999999999778E-2</v>
      </c>
      <c r="Q22" s="6">
        <f ca="1">OFFSET('GREET input data'!$C37,_xlfn.XLOOKUP('EV Battery'!$C$7,'GREET input data'!$B$3:$B$9,'GREET input data'!$D$3:$D$9),Q$29-1)</f>
        <v>1.1799999999999922E-2</v>
      </c>
      <c r="R22" s="6">
        <f ca="1">OFFSET('GREET input data'!$C37,_xlfn.XLOOKUP('EV Battery'!$C$7,'GREET input data'!$B$3:$B$9,'GREET input data'!$D$3:$D$9),R$29-1)</f>
        <v>1.1799999999999922E-2</v>
      </c>
      <c r="S22" s="8">
        <v>1.0538283879368213E-2</v>
      </c>
      <c r="T22" s="8">
        <v>1.2370135897583749E-2</v>
      </c>
      <c r="U22" s="8">
        <v>1.4544986139979073E-2</v>
      </c>
    </row>
    <row r="23" spans="2:21" s="2" customFormat="1" ht="4.95" customHeight="1" outlineLevel="1" x14ac:dyDescent="0.25"/>
    <row r="24" spans="2:21" s="2" customFormat="1" x14ac:dyDescent="0.25">
      <c r="B24" s="12" t="s">
        <v>68</v>
      </c>
      <c r="C24" s="13">
        <v>1</v>
      </c>
      <c r="D24"/>
      <c r="E24" s="13"/>
      <c r="F24" s="13"/>
      <c r="G24" s="13"/>
      <c r="H24"/>
      <c r="I24" s="13">
        <f t="shared" ref="I24:O24" ca="1" si="1">SUM(I3:I22)</f>
        <v>1</v>
      </c>
      <c r="J24" s="13">
        <f t="shared" ca="1" si="1"/>
        <v>1</v>
      </c>
      <c r="K24" s="13">
        <f t="shared" ca="1" si="1"/>
        <v>1</v>
      </c>
      <c r="L24" s="13">
        <f t="shared" ca="1" si="1"/>
        <v>1</v>
      </c>
      <c r="M24" s="13">
        <f t="shared" ca="1" si="1"/>
        <v>1</v>
      </c>
      <c r="N24" s="13">
        <f t="shared" ca="1" si="1"/>
        <v>1</v>
      </c>
      <c r="O24" s="13">
        <f t="shared" ca="1" si="1"/>
        <v>1</v>
      </c>
      <c r="P24" s="13">
        <f ca="1">SUM(P3:P22)</f>
        <v>1</v>
      </c>
      <c r="Q24" s="13">
        <f ca="1">SUM(Q3:Q22)</f>
        <v>1</v>
      </c>
      <c r="R24" s="13">
        <f ca="1">SUM(R3:R22)</f>
        <v>1</v>
      </c>
      <c r="S24" s="13">
        <f t="shared" ref="S24:U24" si="2">SUM(S3:S22)</f>
        <v>1</v>
      </c>
      <c r="T24" s="13">
        <f t="shared" si="2"/>
        <v>1</v>
      </c>
      <c r="U24" s="13">
        <f t="shared" si="2"/>
        <v>0.99999999999999989</v>
      </c>
    </row>
    <row r="25" spans="2:21" s="2" customFormat="1" x14ac:dyDescent="0.25">
      <c r="B25" s="10" t="s">
        <v>67</v>
      </c>
      <c r="C25" s="24">
        <f ca="1">_xlfn.XLOOKUP('EV Battery'!$C$6,$I$2:$U$2,$I25:$U25)*'EV Battery'!$C$5</f>
        <v>148.08007904595814</v>
      </c>
      <c r="D25"/>
      <c r="E25" s="11"/>
      <c r="F25" s="11"/>
      <c r="G25" s="11"/>
      <c r="H25"/>
      <c r="I25" s="11">
        <f t="shared" ref="I25:O25" ca="1" si="3">SUMPRODUCT($E$3:$E$22,I3:I22)</f>
        <v>0.56966558050922478</v>
      </c>
      <c r="J25" s="11">
        <f t="shared" ca="1" si="3"/>
        <v>0.55537779366238127</v>
      </c>
      <c r="K25" s="11">
        <f t="shared" ca="1" si="3"/>
        <v>0.54945230968541037</v>
      </c>
      <c r="L25" s="11">
        <f t="shared" ca="1" si="3"/>
        <v>0.5472036108236713</v>
      </c>
      <c r="M25" s="11">
        <f t="shared" ca="1" si="3"/>
        <v>0.53868571155338651</v>
      </c>
      <c r="N25" s="11">
        <f t="shared" ca="1" si="3"/>
        <v>0.53307460911155746</v>
      </c>
      <c r="O25" s="11">
        <f t="shared" ca="1" si="3"/>
        <v>0.54343362253689509</v>
      </c>
      <c r="P25" s="11">
        <f ca="1">SUMPRODUCT($E$3:$E$22,P3:P22)</f>
        <v>0.57859346722958704</v>
      </c>
      <c r="Q25" s="11">
        <f ca="1">SUMPRODUCT($E$3:$E$22,Q3:Q22)</f>
        <v>0.56966558050922478</v>
      </c>
      <c r="R25" s="11">
        <f ca="1">SUMPRODUCT($E$3:$E$22,R3:R22)</f>
        <v>0.56966558050922478</v>
      </c>
      <c r="S25" s="11">
        <f t="shared" ref="S25:U25" si="4">SUMPRODUCT($E$3:$E$22,S3:S22)</f>
        <v>0.51790559742423525</v>
      </c>
      <c r="T25" s="11">
        <f t="shared" si="4"/>
        <v>0.47868627740722586</v>
      </c>
      <c r="U25" s="11">
        <f t="shared" si="4"/>
        <v>0.51854518503119917</v>
      </c>
    </row>
    <row r="26" spans="2:21" s="2" customFormat="1" x14ac:dyDescent="0.25">
      <c r="B26" s="10" t="s">
        <v>70</v>
      </c>
      <c r="C26" s="24">
        <f ca="1">_xlfn.XLOOKUP('EV Battery'!$C$6,$I$2:$U$2,$I26:$U26)*'EV Battery'!$C$5</f>
        <v>8.1297510992096615</v>
      </c>
      <c r="D26"/>
      <c r="E26" s="11"/>
      <c r="F26" s="11"/>
      <c r="G26" s="11"/>
      <c r="H26"/>
      <c r="I26" s="11">
        <f t="shared" ref="I26:O26" ca="1" si="5">SUMPRODUCT($F$3:$F$22,I3:I22)</f>
        <v>3.0764370364217045E-2</v>
      </c>
      <c r="J26" s="11">
        <f t="shared" ca="1" si="5"/>
        <v>2.9287537609855658E-2</v>
      </c>
      <c r="K26" s="11">
        <f t="shared" ca="1" si="5"/>
        <v>2.9356230277275016E-2</v>
      </c>
      <c r="L26" s="11">
        <f t="shared" ca="1" si="5"/>
        <v>2.9394294881575491E-2</v>
      </c>
      <c r="M26" s="11">
        <f t="shared" ca="1" si="5"/>
        <v>2.9574408548704904E-2</v>
      </c>
      <c r="N26" s="11">
        <f t="shared" ca="1" si="5"/>
        <v>2.9700366291976026E-2</v>
      </c>
      <c r="O26" s="11">
        <f t="shared" ca="1" si="5"/>
        <v>2.9370767020836089E-2</v>
      </c>
      <c r="P26" s="11">
        <f ca="1">SUMPRODUCT($F$3:$F$22,P3:P22)</f>
        <v>2.982351017066855E-2</v>
      </c>
      <c r="Q26" s="11">
        <f ca="1">SUMPRODUCT($F$3:$F$22,Q3:Q22)</f>
        <v>3.0764370364217045E-2</v>
      </c>
      <c r="R26" s="11">
        <f ca="1">SUMPRODUCT($F$3:$F$22,R3:R22)</f>
        <v>3.0764370364217045E-2</v>
      </c>
      <c r="S26" s="11">
        <f t="shared" ref="S26:U26" si="6">SUMPRODUCT($F$3:$F$22,S3:S22)</f>
        <v>3.9451594175471859E-2</v>
      </c>
      <c r="T26" s="11">
        <f t="shared" si="6"/>
        <v>3.7812919005532873E-2</v>
      </c>
      <c r="U26" s="11">
        <f t="shared" si="6"/>
        <v>3.1531930301419799E-2</v>
      </c>
    </row>
    <row r="27" spans="2:21" s="2" customFormat="1" x14ac:dyDescent="0.25">
      <c r="B27" s="10" t="s">
        <v>71</v>
      </c>
      <c r="C27" s="24">
        <f ca="1">_xlfn.XLOOKUP('EV Battery'!$C$6,$I$2:$U$2,$I27:$U27)*'EV Battery'!$C$5</f>
        <v>118.68158774476571</v>
      </c>
      <c r="D27"/>
      <c r="E27" s="11"/>
      <c r="F27" s="11"/>
      <c r="G27" s="11"/>
      <c r="H27"/>
      <c r="I27" s="11">
        <f t="shared" ref="I27:O27" ca="1" si="7">SUMPRODUCT($G$3:$G$22,I3:I22)</f>
        <v>0.39957004912655819</v>
      </c>
      <c r="J27" s="11">
        <f t="shared" ca="1" si="7"/>
        <v>0.41533466872776309</v>
      </c>
      <c r="K27" s="11">
        <f t="shared" ca="1" si="7"/>
        <v>0.42119146003731467</v>
      </c>
      <c r="L27" s="11">
        <f t="shared" ca="1" si="7"/>
        <v>0.42340209429475312</v>
      </c>
      <c r="M27" s="11">
        <f t="shared" ca="1" si="7"/>
        <v>0.43173987989790863</v>
      </c>
      <c r="N27" s="11">
        <f t="shared" ca="1" si="7"/>
        <v>0.43722502459646662</v>
      </c>
      <c r="O27" s="11">
        <f t="shared" ca="1" si="7"/>
        <v>0.42719561044226878</v>
      </c>
      <c r="P27" s="11">
        <f ca="1">SUMPRODUCT($G$3:$G$22,P3:P22)</f>
        <v>0.39158302259974426</v>
      </c>
      <c r="Q27" s="11">
        <f ca="1">SUMPRODUCT($G$3:$G$22,Q3:Q22)</f>
        <v>0.39957004912655819</v>
      </c>
      <c r="R27" s="11">
        <f ca="1">SUMPRODUCT($G$3:$G$22,R3:R22)</f>
        <v>0.39957004912655819</v>
      </c>
      <c r="S27" s="11">
        <f t="shared" ref="S27:U27" si="8">SUMPRODUCT($G$3:$G$22,S3:S22)</f>
        <v>0.44264280840029291</v>
      </c>
      <c r="T27" s="11">
        <f t="shared" si="8"/>
        <v>0.48350080358724135</v>
      </c>
      <c r="U27" s="11">
        <f t="shared" si="8"/>
        <v>0.44992288466738095</v>
      </c>
    </row>
    <row r="28" spans="2:21" s="2" customFormat="1" x14ac:dyDescent="0.25">
      <c r="B28" s="10" t="s">
        <v>237</v>
      </c>
      <c r="C28" s="24">
        <f ca="1">_xlfn.XLOOKUP('EV Battery'!$C$6,$I$2:$U$2,$I28:$U28)</f>
        <v>181.89</v>
      </c>
      <c r="D28"/>
      <c r="E28" s="29"/>
      <c r="F28" s="29"/>
      <c r="G28" s="29"/>
      <c r="H28"/>
      <c r="I28" s="37">
        <f ca="1">OFFSET('GREET input data'!$C42,_xlfn.XLOOKUP('EV Battery'!$C$7,'GREET input data'!$B$3:$B$9,'GREET input data'!$D$3:$D$9),I$29-1)</f>
        <v>134.07999999999998</v>
      </c>
      <c r="J28" s="37">
        <f ca="1">OFFSET('GREET input data'!$C42,_xlfn.XLOOKUP('EV Battery'!$C$7,'GREET input data'!$B$3:$B$9,'GREET input data'!$D$3:$D$9),J$29-1)</f>
        <v>164.37</v>
      </c>
      <c r="K28" s="37">
        <f ca="1">OFFSET('GREET input data'!$C42,_xlfn.XLOOKUP('EV Battery'!$C$7,'GREET input data'!$B$3:$B$9,'GREET input data'!$D$3:$D$9),K$29-1)</f>
        <v>171.95999999999998</v>
      </c>
      <c r="L28" s="37">
        <f ca="1">OFFSET('GREET input data'!$C42,_xlfn.XLOOKUP('EV Battery'!$C$7,'GREET input data'!$B$3:$B$9,'GREET input data'!$D$3:$D$9),L$29-1)</f>
        <v>172.98999999999998</v>
      </c>
      <c r="M28" s="37">
        <f ca="1">OFFSET('GREET input data'!$C42,_xlfn.XLOOKUP('EV Battery'!$C$7,'GREET input data'!$B$3:$B$9,'GREET input data'!$D$3:$D$9),M$29-1)</f>
        <v>181.89</v>
      </c>
      <c r="N28" s="37">
        <f ca="1">OFFSET('GREET input data'!$C42,_xlfn.XLOOKUP('EV Battery'!$C$7,'GREET input data'!$B$3:$B$9,'GREET input data'!$D$3:$D$9),N$29-1)</f>
        <v>187.14</v>
      </c>
      <c r="O28" s="37">
        <f ca="1">OFFSET('GREET input data'!$C42,_xlfn.XLOOKUP('EV Battery'!$C$7,'GREET input data'!$B$3:$B$9,'GREET input data'!$D$3:$D$9),O$29-1)</f>
        <v>176.79999999999998</v>
      </c>
      <c r="P28" s="37">
        <f ca="1">OFFSET('GREET input data'!$C42,_xlfn.XLOOKUP('EV Battery'!$C$7,'GREET input data'!$B$3:$B$9,'GREET input data'!$D$3:$D$9),P$29-1)</f>
        <v>136.98999999999998</v>
      </c>
      <c r="Q28" s="37">
        <f ca="1">OFFSET('GREET input data'!$C42,_xlfn.XLOOKUP('EV Battery'!$C$7,'GREET input data'!$B$3:$B$9,'GREET input data'!$D$3:$D$9),Q$29-1)</f>
        <v>134.07999999999998</v>
      </c>
      <c r="R28" s="37">
        <f ca="1">OFFSET('GREET input data'!$C42,_xlfn.XLOOKUP('EV Battery'!$C$7,'GREET input data'!$B$3:$B$9,'GREET input data'!$D$3:$D$9),R$29-1)</f>
        <v>134.07999999999998</v>
      </c>
      <c r="S28" s="37"/>
      <c r="T28" s="37"/>
      <c r="U28" s="37"/>
    </row>
    <row r="29" spans="2:21" x14ac:dyDescent="0.25">
      <c r="B29" s="31" t="s">
        <v>91</v>
      </c>
      <c r="C29" s="29"/>
      <c r="D29" s="29"/>
      <c r="E29" s="29"/>
      <c r="F29" s="29"/>
      <c r="G29" s="29"/>
      <c r="H29" s="29"/>
      <c r="I29" s="30">
        <v>3</v>
      </c>
      <c r="J29" s="30">
        <v>2</v>
      </c>
      <c r="K29" s="30">
        <v>7</v>
      </c>
      <c r="L29" s="30">
        <v>4</v>
      </c>
      <c r="M29" s="30">
        <v>5</v>
      </c>
      <c r="N29" s="30">
        <v>8</v>
      </c>
      <c r="O29" s="30">
        <v>6</v>
      </c>
      <c r="P29" s="30">
        <v>1</v>
      </c>
      <c r="Q29" s="30">
        <v>3</v>
      </c>
      <c r="R29" s="30">
        <v>3</v>
      </c>
      <c r="S29" s="30"/>
      <c r="T29" s="30"/>
      <c r="U29" s="30"/>
    </row>
    <row r="31" spans="2:21" x14ac:dyDescent="0.25">
      <c r="B31" s="1" t="s">
        <v>578</v>
      </c>
      <c r="I31" s="1" t="s">
        <v>81</v>
      </c>
      <c r="J31" s="1" t="s">
        <v>10</v>
      </c>
      <c r="K31" s="1" t="s">
        <v>11</v>
      </c>
      <c r="L31" s="1" t="s">
        <v>12</v>
      </c>
      <c r="M31" s="1" t="s">
        <v>13</v>
      </c>
      <c r="N31" s="1" t="s">
        <v>14</v>
      </c>
      <c r="O31" s="1" t="s">
        <v>77</v>
      </c>
      <c r="P31" s="1" t="s">
        <v>6</v>
      </c>
      <c r="Q31" s="1" t="s">
        <v>7</v>
      </c>
      <c r="R31" s="1" t="s">
        <v>9</v>
      </c>
      <c r="S31" s="38" t="s">
        <v>15</v>
      </c>
      <c r="T31" s="38" t="s">
        <v>16</v>
      </c>
      <c r="U31" s="38" t="s">
        <v>17</v>
      </c>
    </row>
    <row r="32" spans="2:21" x14ac:dyDescent="0.25">
      <c r="I32" s="109">
        <v>4000</v>
      </c>
      <c r="J32" s="109">
        <v>1500</v>
      </c>
      <c r="K32" s="109">
        <v>1500</v>
      </c>
      <c r="L32" s="109">
        <v>1500</v>
      </c>
      <c r="M32" s="109">
        <v>1500</v>
      </c>
      <c r="N32" s="109">
        <v>1500</v>
      </c>
      <c r="O32" s="109">
        <v>1500</v>
      </c>
      <c r="P32" s="109">
        <v>4000</v>
      </c>
      <c r="Q32" s="109">
        <v>4000</v>
      </c>
      <c r="R32" s="109">
        <v>4000</v>
      </c>
      <c r="S32" s="109">
        <v>1500</v>
      </c>
      <c r="T32" s="109">
        <v>4000</v>
      </c>
      <c r="U32" s="109">
        <v>1500</v>
      </c>
    </row>
    <row r="36" spans="2:2" x14ac:dyDescent="0.25">
      <c r="B36" s="86"/>
    </row>
    <row r="159" spans="9:18" x14ac:dyDescent="0.25">
      <c r="I159" s="26"/>
      <c r="K159" s="26"/>
      <c r="L159" s="26"/>
      <c r="M159" s="26"/>
      <c r="N159" s="26"/>
      <c r="O159" s="26"/>
      <c r="P159" s="26"/>
      <c r="R159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1473-1C4E-46C4-90CD-74925C92856F}">
  <sheetPr>
    <tabColor theme="7" tint="0.79998168889431442"/>
    <outlinePr summaryBelow="0"/>
  </sheetPr>
  <dimension ref="A1:S217"/>
  <sheetViews>
    <sheetView showGridLines="0" workbookViewId="0">
      <selection activeCell="J3" sqref="J3"/>
    </sheetView>
  </sheetViews>
  <sheetFormatPr baseColWidth="10" defaultRowHeight="14.3" outlineLevelRow="1" x14ac:dyDescent="0.25"/>
  <cols>
    <col min="1" max="1" width="3.875" bestFit="1" customWidth="1"/>
    <col min="2" max="2" width="32" bestFit="1" customWidth="1"/>
  </cols>
  <sheetData>
    <row r="1" spans="1:19" ht="10.050000000000001" customHeight="1" x14ac:dyDescent="0.25"/>
    <row r="2" spans="1:19" x14ac:dyDescent="0.25">
      <c r="B2" s="10" t="s">
        <v>417</v>
      </c>
      <c r="C2" s="10" t="s">
        <v>90</v>
      </c>
      <c r="D2" s="10" t="s">
        <v>79</v>
      </c>
      <c r="E2" s="32" t="s">
        <v>80</v>
      </c>
      <c r="F2" s="32" t="s">
        <v>82</v>
      </c>
      <c r="G2" s="32" t="s">
        <v>422</v>
      </c>
    </row>
    <row r="3" spans="1:19" x14ac:dyDescent="0.25">
      <c r="B3" s="4" t="s">
        <v>425</v>
      </c>
      <c r="C3" s="4" t="str">
        <f t="shared" ref="C3:C9" ca="1" si="0">OFFSET($B$16,D3,0)</f>
        <v>HEV</v>
      </c>
      <c r="D3" s="27">
        <v>0</v>
      </c>
      <c r="E3" s="27"/>
      <c r="F3" s="84">
        <f>G3*0.05</f>
        <v>1.6500000000000001</v>
      </c>
      <c r="G3" s="84">
        <v>33</v>
      </c>
    </row>
    <row r="4" spans="1:19" x14ac:dyDescent="0.25">
      <c r="B4" s="4" t="s">
        <v>426</v>
      </c>
      <c r="C4" s="4" t="str">
        <f t="shared" ca="1" si="0"/>
        <v>PHEV (35-mile)</v>
      </c>
      <c r="D4" s="27">
        <f>A47</f>
        <v>29</v>
      </c>
      <c r="E4" s="27">
        <f>35*1.6</f>
        <v>56</v>
      </c>
      <c r="F4" s="84">
        <v>11.499472799999999</v>
      </c>
      <c r="G4" s="84"/>
    </row>
    <row r="5" spans="1:19" x14ac:dyDescent="0.25">
      <c r="B5" s="4" t="s">
        <v>427</v>
      </c>
      <c r="C5" s="4" t="str">
        <f t="shared" ca="1" si="0"/>
        <v>PHEV (50-mile)</v>
      </c>
      <c r="D5" s="27">
        <f>D4+$D$4</f>
        <v>58</v>
      </c>
      <c r="E5" s="27">
        <f>50*1.6</f>
        <v>80</v>
      </c>
      <c r="F5" s="84">
        <v>16.453391759999999</v>
      </c>
      <c r="G5" s="84"/>
    </row>
    <row r="6" spans="1:19" x14ac:dyDescent="0.25">
      <c r="B6" s="4" t="s">
        <v>420</v>
      </c>
      <c r="C6" s="4" t="str">
        <f t="shared" ca="1" si="0"/>
        <v>EV: 150 miles</v>
      </c>
      <c r="D6" s="27">
        <f>D5+$D$4</f>
        <v>87</v>
      </c>
      <c r="E6" s="27">
        <f>150*1.6</f>
        <v>240</v>
      </c>
      <c r="F6" s="84">
        <v>34.093854720000003</v>
      </c>
      <c r="G6" s="84"/>
    </row>
    <row r="7" spans="1:19" x14ac:dyDescent="0.25">
      <c r="B7" s="4" t="s">
        <v>419</v>
      </c>
      <c r="C7" s="4" t="str">
        <f t="shared" ca="1" si="0"/>
        <v>EV: 200 miles</v>
      </c>
      <c r="D7" s="27">
        <f>D6+$D$4</f>
        <v>116</v>
      </c>
      <c r="E7" s="27">
        <f>200*1.6</f>
        <v>320</v>
      </c>
      <c r="F7" s="84">
        <v>45.283147200000002</v>
      </c>
      <c r="G7" s="84"/>
    </row>
    <row r="8" spans="1:19" x14ac:dyDescent="0.25">
      <c r="B8" s="4" t="s">
        <v>418</v>
      </c>
      <c r="C8" s="4" t="str">
        <f t="shared" ca="1" si="0"/>
        <v>EV: 300 miles</v>
      </c>
      <c r="D8" s="27">
        <f>D7+$D$4</f>
        <v>145</v>
      </c>
      <c r="E8" s="27">
        <f>300*1.6</f>
        <v>480</v>
      </c>
      <c r="F8" s="84">
        <v>70.77839616</v>
      </c>
      <c r="G8" s="84"/>
    </row>
    <row r="9" spans="1:19" x14ac:dyDescent="0.25">
      <c r="B9" s="4" t="s">
        <v>421</v>
      </c>
      <c r="C9" s="4" t="str">
        <f t="shared" ca="1" si="0"/>
        <v>EV: 400 miles</v>
      </c>
      <c r="D9" s="27">
        <f>D8+$D$4</f>
        <v>174</v>
      </c>
      <c r="E9" s="27">
        <f>400*1.6</f>
        <v>640</v>
      </c>
      <c r="F9" s="84">
        <v>110.36203780000001</v>
      </c>
      <c r="G9" s="84"/>
    </row>
    <row r="10" spans="1:19" ht="10.050000000000001" customHeight="1" x14ac:dyDescent="0.25"/>
    <row r="11" spans="1:19" s="2" customFormat="1" collapsed="1" x14ac:dyDescent="0.25">
      <c r="B11" s="1" t="s">
        <v>66</v>
      </c>
      <c r="C11" s="1" t="s">
        <v>6</v>
      </c>
      <c r="D11" s="1" t="s">
        <v>10</v>
      </c>
      <c r="E11" s="1" t="s">
        <v>81</v>
      </c>
      <c r="F11" s="1" t="s">
        <v>12</v>
      </c>
      <c r="G11" s="1" t="s">
        <v>13</v>
      </c>
      <c r="H11" s="1" t="s">
        <v>77</v>
      </c>
      <c r="I11" s="1" t="s">
        <v>11</v>
      </c>
      <c r="J11" s="1" t="s">
        <v>14</v>
      </c>
    </row>
    <row r="12" spans="1:19" x14ac:dyDescent="0.25">
      <c r="A12" s="2"/>
      <c r="B12" s="36" t="s">
        <v>236</v>
      </c>
      <c r="C12" s="83">
        <f t="shared" ref="C12:J12" si="1">SUMIF($B$46:$B$500,$B$12,C$46:C$500)/6</f>
        <v>237.10313541270375</v>
      </c>
      <c r="D12" s="83">
        <f t="shared" si="1"/>
        <v>295.51968501742357</v>
      </c>
      <c r="E12" s="83">
        <f t="shared" si="1"/>
        <v>235.4876756678716</v>
      </c>
      <c r="F12" s="83">
        <f t="shared" si="1"/>
        <v>315.2588887679816</v>
      </c>
      <c r="G12" s="83">
        <f t="shared" si="1"/>
        <v>336.57648618535649</v>
      </c>
      <c r="H12" s="83">
        <f t="shared" si="1"/>
        <v>324.44571665568583</v>
      </c>
      <c r="I12" s="83">
        <f t="shared" si="1"/>
        <v>312.15681358639841</v>
      </c>
      <c r="J12" s="83">
        <f t="shared" si="1"/>
        <v>350.09094176310333</v>
      </c>
    </row>
    <row r="13" spans="1:19" x14ac:dyDescent="0.25">
      <c r="A13" s="2"/>
      <c r="B13" s="36" t="s">
        <v>423</v>
      </c>
      <c r="C13" s="109">
        <v>2069.7600000000002</v>
      </c>
      <c r="D13" s="109">
        <v>2156.11</v>
      </c>
      <c r="E13" s="109">
        <v>1928.92</v>
      </c>
      <c r="F13" s="109">
        <v>2199.3700000000003</v>
      </c>
      <c r="G13" s="109">
        <v>2247.9900000000002</v>
      </c>
      <c r="H13" s="109">
        <v>2211.0300000000002</v>
      </c>
      <c r="I13" s="109">
        <v>2188.25</v>
      </c>
      <c r="J13" s="109">
        <v>2267.48</v>
      </c>
    </row>
    <row r="14" spans="1:19" x14ac:dyDescent="0.25">
      <c r="A14" s="2"/>
      <c r="B14" s="36" t="s">
        <v>424</v>
      </c>
      <c r="C14" s="47">
        <f>C42/C13</f>
        <v>4.6291191441950236E-2</v>
      </c>
      <c r="D14" s="47">
        <f t="shared" ref="D14:J14" si="2">D42/D13</f>
        <v>5.3044455453480341E-2</v>
      </c>
      <c r="E14" s="47">
        <f t="shared" si="2"/>
        <v>4.939973138540707E-2</v>
      </c>
      <c r="F14" s="47">
        <f t="shared" si="2"/>
        <v>5.4746214716688862E-2</v>
      </c>
      <c r="G14" s="47">
        <f t="shared" si="2"/>
        <v>5.6401636676122045E-2</v>
      </c>
      <c r="H14" s="47">
        <f t="shared" si="2"/>
        <v>5.5698602992135103E-2</v>
      </c>
      <c r="I14" s="47">
        <f t="shared" si="2"/>
        <v>5.4551278858983573E-2</v>
      </c>
      <c r="J14" s="47">
        <f t="shared" si="2"/>
        <v>5.7494412632658004E-2</v>
      </c>
    </row>
    <row r="16" spans="1:19" s="2" customFormat="1" x14ac:dyDescent="0.25">
      <c r="B16" s="4" t="s">
        <v>235</v>
      </c>
      <c r="C16"/>
      <c r="D16"/>
      <c r="E16"/>
      <c r="F16"/>
      <c r="G16"/>
      <c r="H16"/>
      <c r="I16"/>
      <c r="J16"/>
      <c r="L16"/>
      <c r="M16"/>
      <c r="N16"/>
      <c r="O16"/>
      <c r="P16"/>
      <c r="Q16"/>
      <c r="R16"/>
      <c r="S16"/>
    </row>
    <row r="17" spans="1:19" s="2" customFormat="1" x14ac:dyDescent="0.25">
      <c r="B17" s="1" t="s">
        <v>66</v>
      </c>
      <c r="C17" s="1" t="s">
        <v>6</v>
      </c>
      <c r="D17" s="1" t="s">
        <v>10</v>
      </c>
      <c r="E17" s="1" t="s">
        <v>81</v>
      </c>
      <c r="F17" s="1" t="s">
        <v>12</v>
      </c>
      <c r="G17" s="1" t="s">
        <v>13</v>
      </c>
      <c r="H17" s="1" t="s">
        <v>77</v>
      </c>
      <c r="I17" s="1" t="s">
        <v>11</v>
      </c>
      <c r="J17" s="1" t="s">
        <v>14</v>
      </c>
      <c r="L17"/>
      <c r="M17"/>
      <c r="N17"/>
      <c r="O17"/>
      <c r="P17"/>
      <c r="Q17"/>
      <c r="R17"/>
      <c r="S17"/>
    </row>
    <row r="18" spans="1:19" s="2" customFormat="1" outlineLevel="1" x14ac:dyDescent="0.25">
      <c r="A18" s="2">
        <v>0</v>
      </c>
      <c r="B18" s="4" t="s">
        <v>18</v>
      </c>
      <c r="C18" s="8">
        <v>0.1454</v>
      </c>
      <c r="D18" s="8">
        <v>0.10980000000000001</v>
      </c>
      <c r="E18" s="8">
        <v>0.1217</v>
      </c>
      <c r="F18" s="8">
        <v>0.1007</v>
      </c>
      <c r="G18" s="8">
        <v>9.1800000000000007E-2</v>
      </c>
      <c r="H18" s="8">
        <v>9.6299999999999997E-2</v>
      </c>
      <c r="I18" s="8">
        <v>0.10200000000000001</v>
      </c>
      <c r="J18" s="8">
        <v>8.6099999999999996E-2</v>
      </c>
      <c r="L18"/>
      <c r="M18"/>
      <c r="N18"/>
      <c r="O18"/>
      <c r="P18"/>
      <c r="Q18"/>
      <c r="R18"/>
      <c r="S18"/>
    </row>
    <row r="19" spans="1:19" s="2" customFormat="1" outlineLevel="1" x14ac:dyDescent="0.25">
      <c r="A19" s="2">
        <f>A18+1</f>
        <v>1</v>
      </c>
      <c r="B19" s="4" t="s">
        <v>19</v>
      </c>
      <c r="C19" s="8">
        <v>6.3700000000000007E-2</v>
      </c>
      <c r="D19" s="8">
        <v>6.7699999999999996E-2</v>
      </c>
      <c r="E19" s="8">
        <v>6.8500000000000005E-2</v>
      </c>
      <c r="F19" s="8">
        <v>6.8699999999999997E-2</v>
      </c>
      <c r="G19" s="8">
        <v>6.9800000000000001E-2</v>
      </c>
      <c r="H19" s="8">
        <v>6.9400000000000003E-2</v>
      </c>
      <c r="I19" s="8">
        <v>6.8400000000000002E-2</v>
      </c>
      <c r="J19" s="8">
        <v>7.0300000000000001E-2</v>
      </c>
      <c r="L19"/>
      <c r="M19"/>
      <c r="N19"/>
      <c r="O19"/>
      <c r="P19"/>
      <c r="Q19"/>
      <c r="R19"/>
      <c r="S19"/>
    </row>
    <row r="20" spans="1:19" s="2" customFormat="1" outlineLevel="1" x14ac:dyDescent="0.25">
      <c r="A20" s="2">
        <f t="shared" ref="A20:A85" si="3">A19+1</f>
        <v>2</v>
      </c>
      <c r="B20" s="4" t="s">
        <v>20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L20"/>
      <c r="M20"/>
      <c r="N20"/>
      <c r="O20"/>
      <c r="P20"/>
      <c r="Q20"/>
      <c r="R20"/>
      <c r="S20"/>
    </row>
    <row r="21" spans="1:19" s="2" customFormat="1" outlineLevel="1" x14ac:dyDescent="0.25">
      <c r="A21" s="2">
        <f t="shared" si="3"/>
        <v>3</v>
      </c>
      <c r="B21" s="4" t="s">
        <v>21</v>
      </c>
      <c r="C21" s="8">
        <v>4.3E-3</v>
      </c>
      <c r="D21" s="8">
        <v>3.6999999999999997E-3</v>
      </c>
      <c r="E21" s="8">
        <v>3.8999999999999998E-3</v>
      </c>
      <c r="F21" s="8">
        <v>3.4999999999999996E-3</v>
      </c>
      <c r="G21" s="8">
        <v>3.3E-3</v>
      </c>
      <c r="H21" s="8">
        <v>3.3999999999999998E-3</v>
      </c>
      <c r="I21" s="8">
        <v>3.4999999999999996E-3</v>
      </c>
      <c r="J21" s="8">
        <v>3.1999999999999997E-3</v>
      </c>
      <c r="L21"/>
      <c r="M21"/>
      <c r="N21"/>
      <c r="O21"/>
      <c r="P21"/>
      <c r="Q21"/>
      <c r="R21"/>
      <c r="S21"/>
    </row>
    <row r="22" spans="1:19" s="2" customFormat="1" outlineLevel="1" x14ac:dyDescent="0.25">
      <c r="A22" s="2">
        <f t="shared" si="3"/>
        <v>4</v>
      </c>
      <c r="B22" s="4" t="s">
        <v>23</v>
      </c>
      <c r="C22" s="8">
        <v>0.14499999999999999</v>
      </c>
      <c r="D22" s="8">
        <v>0.1676</v>
      </c>
      <c r="E22" s="8">
        <v>0.1633</v>
      </c>
      <c r="F22" s="8">
        <v>0.17209999999999998</v>
      </c>
      <c r="G22" s="8">
        <v>0.1762</v>
      </c>
      <c r="H22" s="8">
        <v>0.17469999999999999</v>
      </c>
      <c r="I22" s="8">
        <v>0.17149999999999999</v>
      </c>
      <c r="J22" s="8">
        <v>0.17809999999999998</v>
      </c>
      <c r="L22"/>
      <c r="M22"/>
      <c r="N22"/>
      <c r="O22"/>
      <c r="P22"/>
      <c r="Q22"/>
      <c r="R22"/>
      <c r="S22"/>
    </row>
    <row r="23" spans="1:19" s="2" customFormat="1" outlineLevel="1" x14ac:dyDescent="0.25">
      <c r="A23" s="2">
        <f t="shared" si="3"/>
        <v>5</v>
      </c>
      <c r="B23" s="4" t="s">
        <v>22</v>
      </c>
      <c r="C23" s="8">
        <v>0.16019999999999998</v>
      </c>
      <c r="D23" s="8">
        <v>0.16649999999999998</v>
      </c>
      <c r="E23" s="8">
        <v>0.16469999999999999</v>
      </c>
      <c r="F23" s="8">
        <v>0.1681</v>
      </c>
      <c r="G23" s="8">
        <v>0.1696</v>
      </c>
      <c r="H23" s="8">
        <v>0.16879999999999998</v>
      </c>
      <c r="I23" s="8">
        <v>0.16789999999999999</v>
      </c>
      <c r="J23" s="8">
        <v>0.17049999999999998</v>
      </c>
      <c r="L23"/>
      <c r="M23"/>
      <c r="N23"/>
      <c r="O23"/>
      <c r="P23"/>
      <c r="Q23"/>
      <c r="R23"/>
      <c r="S23"/>
    </row>
    <row r="24" spans="1:19" s="2" customFormat="1" outlineLevel="1" x14ac:dyDescent="0.25">
      <c r="A24" s="2">
        <f t="shared" si="3"/>
        <v>6</v>
      </c>
      <c r="B24" s="4" t="s">
        <v>55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L24"/>
      <c r="M24"/>
      <c r="N24"/>
      <c r="O24"/>
      <c r="P24"/>
      <c r="Q24"/>
      <c r="R24"/>
      <c r="S24"/>
    </row>
    <row r="25" spans="1:19" s="2" customFormat="1" outlineLevel="1" x14ac:dyDescent="0.25">
      <c r="A25" s="2">
        <f t="shared" si="3"/>
        <v>7</v>
      </c>
      <c r="B25" s="4" t="s">
        <v>24</v>
      </c>
      <c r="C25" s="8">
        <v>8.0999999999999996E-3</v>
      </c>
      <c r="D25" s="8">
        <v>7.5000000000000006E-3</v>
      </c>
      <c r="E25" s="8">
        <v>8.6999999999999994E-3</v>
      </c>
      <c r="F25" s="8">
        <v>7.4000000000000003E-3</v>
      </c>
      <c r="G25" s="8">
        <v>7.2000000000000007E-3</v>
      </c>
      <c r="H25" s="8">
        <v>7.2000000000000007E-3</v>
      </c>
      <c r="I25" s="8">
        <v>7.4000000000000003E-3</v>
      </c>
      <c r="J25" s="8">
        <v>7.1000000000000004E-3</v>
      </c>
      <c r="L25"/>
      <c r="M25"/>
      <c r="N25"/>
      <c r="O25"/>
      <c r="P25"/>
      <c r="Q25"/>
      <c r="R25"/>
      <c r="S25"/>
    </row>
    <row r="26" spans="1:19" s="2" customFormat="1" outlineLevel="1" x14ac:dyDescent="0.25">
      <c r="A26" s="2">
        <f t="shared" si="3"/>
        <v>8</v>
      </c>
      <c r="B26" s="4" t="s">
        <v>25</v>
      </c>
      <c r="C26" s="8">
        <v>2.2599999999999999E-2</v>
      </c>
      <c r="D26" s="8">
        <v>2.07E-2</v>
      </c>
      <c r="E26" s="8">
        <v>2.4299999999999999E-2</v>
      </c>
      <c r="F26" s="8">
        <v>2.0399999999999998E-2</v>
      </c>
      <c r="G26" s="8">
        <v>2.01E-2</v>
      </c>
      <c r="H26" s="8">
        <v>2.01E-2</v>
      </c>
      <c r="I26" s="8">
        <v>2.0399999999999998E-2</v>
      </c>
      <c r="J26" s="8">
        <v>1.9799999999999998E-2</v>
      </c>
      <c r="L26"/>
      <c r="M26"/>
      <c r="N26"/>
      <c r="O26"/>
      <c r="P26"/>
      <c r="Q26"/>
      <c r="R26"/>
      <c r="S26"/>
    </row>
    <row r="27" spans="1:19" s="2" customFormat="1" outlineLevel="1" x14ac:dyDescent="0.25">
      <c r="A27" s="2">
        <f t="shared" si="3"/>
        <v>9</v>
      </c>
      <c r="B27" s="4" t="s">
        <v>26</v>
      </c>
      <c r="C27" s="8">
        <v>2.2599999999999999E-2</v>
      </c>
      <c r="D27" s="8">
        <v>2.07E-2</v>
      </c>
      <c r="E27" s="8">
        <v>2.4299999999999999E-2</v>
      </c>
      <c r="F27" s="8">
        <v>2.0399999999999998E-2</v>
      </c>
      <c r="G27" s="8">
        <v>2.01E-2</v>
      </c>
      <c r="H27" s="8">
        <v>2.01E-2</v>
      </c>
      <c r="I27" s="8">
        <v>2.0399999999999998E-2</v>
      </c>
      <c r="J27" s="8">
        <v>1.9799999999999998E-2</v>
      </c>
      <c r="L27"/>
      <c r="M27"/>
      <c r="N27"/>
      <c r="O27"/>
      <c r="P27"/>
      <c r="Q27"/>
      <c r="R27"/>
      <c r="S27"/>
    </row>
    <row r="28" spans="1:19" s="2" customFormat="1" outlineLevel="1" x14ac:dyDescent="0.25">
      <c r="A28" s="2">
        <f t="shared" si="3"/>
        <v>10</v>
      </c>
      <c r="B28" s="4" t="s">
        <v>27</v>
      </c>
      <c r="C28" s="8">
        <v>9.0000000000000008E-4</v>
      </c>
      <c r="D28" s="8">
        <v>9.0000000000000008E-4</v>
      </c>
      <c r="E28" s="8">
        <v>1E-3</v>
      </c>
      <c r="F28" s="8">
        <v>9.0000000000000008E-4</v>
      </c>
      <c r="G28" s="8">
        <v>9.0000000000000008E-4</v>
      </c>
      <c r="H28" s="8">
        <v>9.0000000000000008E-4</v>
      </c>
      <c r="I28" s="8">
        <v>9.0000000000000008E-4</v>
      </c>
      <c r="J28" s="8">
        <v>9.0000000000000008E-4</v>
      </c>
      <c r="L28"/>
      <c r="M28"/>
      <c r="N28"/>
      <c r="O28"/>
      <c r="P28"/>
      <c r="Q28"/>
      <c r="R28"/>
      <c r="S28"/>
    </row>
    <row r="29" spans="1:19" s="2" customFormat="1" outlineLevel="1" x14ac:dyDescent="0.25">
      <c r="A29" s="2">
        <f t="shared" si="3"/>
        <v>11</v>
      </c>
      <c r="B29" s="4" t="s">
        <v>56</v>
      </c>
      <c r="C29" s="8">
        <v>5.7000000000000002E-3</v>
      </c>
      <c r="D29" s="8">
        <v>7.2000000000000007E-3</v>
      </c>
      <c r="E29" s="8">
        <v>7.2000000000000007E-3</v>
      </c>
      <c r="F29" s="8">
        <v>7.5000000000000006E-3</v>
      </c>
      <c r="G29" s="8">
        <v>7.7000000000000002E-3</v>
      </c>
      <c r="H29" s="8">
        <v>7.6E-3</v>
      </c>
      <c r="I29" s="8">
        <v>7.4000000000000003E-3</v>
      </c>
      <c r="J29" s="8">
        <v>7.8000000000000005E-3</v>
      </c>
      <c r="L29"/>
      <c r="M29"/>
      <c r="N29"/>
      <c r="O29"/>
      <c r="P29"/>
      <c r="Q29"/>
      <c r="R29"/>
      <c r="S29"/>
    </row>
    <row r="30" spans="1:19" s="2" customFormat="1" outlineLevel="1" x14ac:dyDescent="0.25">
      <c r="A30" s="2">
        <f t="shared" si="3"/>
        <v>12</v>
      </c>
      <c r="B30" s="4" t="s">
        <v>57</v>
      </c>
      <c r="C30" s="8">
        <v>1.3099999999999999E-2</v>
      </c>
      <c r="D30" s="8">
        <v>1.32E-2</v>
      </c>
      <c r="E30" s="8">
        <v>1.2799999999999999E-2</v>
      </c>
      <c r="F30" s="8">
        <v>1.3299999999999999E-2</v>
      </c>
      <c r="G30" s="8">
        <v>1.3299999999999999E-2</v>
      </c>
      <c r="H30" s="8">
        <v>1.3299999999999999E-2</v>
      </c>
      <c r="I30" s="8">
        <v>1.3299999999999999E-2</v>
      </c>
      <c r="J30" s="8">
        <v>1.3399999999999999E-2</v>
      </c>
      <c r="L30"/>
      <c r="M30"/>
      <c r="N30"/>
      <c r="O30"/>
      <c r="P30"/>
      <c r="Q30"/>
      <c r="R30"/>
      <c r="S30"/>
    </row>
    <row r="31" spans="1:19" s="2" customFormat="1" outlineLevel="1" x14ac:dyDescent="0.25">
      <c r="A31" s="2">
        <f t="shared" si="3"/>
        <v>13</v>
      </c>
      <c r="B31" s="4" t="s">
        <v>58</v>
      </c>
      <c r="C31" s="8">
        <v>2E-3</v>
      </c>
      <c r="D31" s="8">
        <v>1.9E-3</v>
      </c>
      <c r="E31" s="8">
        <v>2E-3</v>
      </c>
      <c r="F31" s="8">
        <v>1.9E-3</v>
      </c>
      <c r="G31" s="8">
        <v>1.9E-3</v>
      </c>
      <c r="H31" s="8">
        <v>1.9E-3</v>
      </c>
      <c r="I31" s="8">
        <v>1.9E-3</v>
      </c>
      <c r="J31" s="8">
        <v>1.9E-3</v>
      </c>
      <c r="L31"/>
      <c r="M31"/>
      <c r="N31"/>
      <c r="O31"/>
      <c r="P31"/>
      <c r="Q31"/>
      <c r="R31"/>
      <c r="S31"/>
    </row>
    <row r="32" spans="1:19" s="2" customFormat="1" outlineLevel="1" x14ac:dyDescent="0.25">
      <c r="A32" s="2">
        <f t="shared" si="3"/>
        <v>14</v>
      </c>
      <c r="B32" s="4" t="s">
        <v>59</v>
      </c>
      <c r="C32" s="8">
        <v>0.19599999999999998</v>
      </c>
      <c r="D32" s="8">
        <v>0.19919999999999999</v>
      </c>
      <c r="E32" s="8">
        <v>0.19239999999999999</v>
      </c>
      <c r="F32" s="8">
        <v>0.2001</v>
      </c>
      <c r="G32" s="8">
        <v>0.20099999999999998</v>
      </c>
      <c r="H32" s="8">
        <v>0.20079999999999998</v>
      </c>
      <c r="I32" s="8">
        <v>0.20029999999999998</v>
      </c>
      <c r="J32" s="8">
        <v>0.20299999999999999</v>
      </c>
      <c r="L32"/>
      <c r="M32"/>
      <c r="N32"/>
      <c r="O32"/>
      <c r="P32"/>
      <c r="Q32"/>
      <c r="R32"/>
      <c r="S32"/>
    </row>
    <row r="33" spans="1:19" s="2" customFormat="1" outlineLevel="1" x14ac:dyDescent="0.25">
      <c r="A33" s="2">
        <f t="shared" si="3"/>
        <v>15</v>
      </c>
      <c r="B33" s="4" t="s">
        <v>60</v>
      </c>
      <c r="C33" s="8">
        <v>8.2600000000000007E-2</v>
      </c>
      <c r="D33" s="8">
        <v>8.3199999999999996E-2</v>
      </c>
      <c r="E33" s="8">
        <v>8.1799999999999998E-2</v>
      </c>
      <c r="F33" s="8">
        <v>8.3400000000000002E-2</v>
      </c>
      <c r="G33" s="8">
        <v>8.3600000000000008E-2</v>
      </c>
      <c r="H33" s="8">
        <v>8.3500000000000005E-2</v>
      </c>
      <c r="I33" s="8">
        <v>8.3400000000000002E-2</v>
      </c>
      <c r="J33" s="8">
        <v>8.4100000000000008E-2</v>
      </c>
      <c r="L33"/>
      <c r="M33"/>
      <c r="N33"/>
      <c r="O33"/>
      <c r="P33"/>
      <c r="Q33"/>
      <c r="R33"/>
      <c r="S33"/>
    </row>
    <row r="34" spans="1:19" s="2" customFormat="1" outlineLevel="1" x14ac:dyDescent="0.25">
      <c r="A34" s="2">
        <f t="shared" si="3"/>
        <v>16</v>
      </c>
      <c r="B34" s="4" t="s">
        <v>61</v>
      </c>
      <c r="C34" s="8">
        <v>2E-3</v>
      </c>
      <c r="D34" s="8">
        <v>2.0999999999999999E-3</v>
      </c>
      <c r="E34" s="8">
        <v>2.0999999999999999E-3</v>
      </c>
      <c r="F34" s="8">
        <v>2.1999999999999997E-3</v>
      </c>
      <c r="G34" s="8">
        <v>2.1999999999999997E-3</v>
      </c>
      <c r="H34" s="8">
        <v>2.1999999999999997E-3</v>
      </c>
      <c r="I34" s="8">
        <v>2.1999999999999997E-3</v>
      </c>
      <c r="J34" s="8">
        <v>2.1999999999999997E-3</v>
      </c>
      <c r="L34"/>
      <c r="M34"/>
      <c r="N34"/>
      <c r="O34"/>
      <c r="P34"/>
      <c r="Q34"/>
      <c r="R34"/>
      <c r="S34"/>
    </row>
    <row r="35" spans="1:19" s="2" customFormat="1" outlineLevel="1" x14ac:dyDescent="0.25">
      <c r="A35" s="2">
        <f t="shared" si="3"/>
        <v>17</v>
      </c>
      <c r="B35" s="4" t="s">
        <v>62</v>
      </c>
      <c r="C35" s="8">
        <v>6.6E-3</v>
      </c>
      <c r="D35" s="8">
        <v>6.7000000000000002E-3</v>
      </c>
      <c r="E35" s="8">
        <v>6.4000000000000003E-3</v>
      </c>
      <c r="F35" s="8">
        <v>6.7000000000000002E-3</v>
      </c>
      <c r="G35" s="8">
        <v>6.8000000000000005E-3</v>
      </c>
      <c r="H35" s="8">
        <v>6.8000000000000005E-3</v>
      </c>
      <c r="I35" s="8">
        <v>6.8000000000000005E-3</v>
      </c>
      <c r="J35" s="8">
        <v>6.8999999999999999E-3</v>
      </c>
      <c r="L35"/>
      <c r="M35"/>
      <c r="N35"/>
      <c r="O35"/>
      <c r="P35"/>
      <c r="Q35"/>
      <c r="R35"/>
      <c r="S35"/>
    </row>
    <row r="36" spans="1:19" s="2" customFormat="1" outlineLevel="1" x14ac:dyDescent="0.25">
      <c r="A36" s="2">
        <f t="shared" si="3"/>
        <v>18</v>
      </c>
      <c r="B36" s="4" t="s">
        <v>63</v>
      </c>
      <c r="C36" s="8">
        <v>6.3399999999999998E-2</v>
      </c>
      <c r="D36" s="8">
        <v>6.3399999999999998E-2</v>
      </c>
      <c r="E36" s="8">
        <v>6.3E-2</v>
      </c>
      <c r="F36" s="8">
        <v>6.3600000000000004E-2</v>
      </c>
      <c r="G36" s="8">
        <v>6.3800000000000009E-2</v>
      </c>
      <c r="H36" s="8">
        <v>6.3500000000000001E-2</v>
      </c>
      <c r="I36" s="8">
        <v>6.3600000000000004E-2</v>
      </c>
      <c r="J36" s="8">
        <v>6.3899999999999998E-2</v>
      </c>
      <c r="L36"/>
      <c r="M36"/>
      <c r="N36"/>
      <c r="O36"/>
      <c r="P36"/>
      <c r="Q36"/>
      <c r="R36"/>
      <c r="S36"/>
    </row>
    <row r="37" spans="1:19" s="2" customFormat="1" outlineLevel="1" x14ac:dyDescent="0.25">
      <c r="A37" s="2">
        <f t="shared" si="3"/>
        <v>19</v>
      </c>
      <c r="B37" s="4" t="s">
        <v>64</v>
      </c>
      <c r="C37" s="8">
        <v>5.5800000000000072E-2</v>
      </c>
      <c r="D37" s="8">
        <v>5.8000000000000052E-2</v>
      </c>
      <c r="E37" s="8">
        <v>5.1900000000000057E-2</v>
      </c>
      <c r="F37" s="8">
        <v>5.9100000000000041E-2</v>
      </c>
      <c r="G37" s="8">
        <v>6.0699999999999976E-2</v>
      </c>
      <c r="H37" s="8">
        <v>5.9499999999999997E-2</v>
      </c>
      <c r="I37" s="8">
        <v>5.8700000000000085E-2</v>
      </c>
      <c r="J37" s="8">
        <v>6.0999999999999943E-2</v>
      </c>
      <c r="L37"/>
      <c r="M37"/>
      <c r="N37"/>
      <c r="O37"/>
      <c r="P37"/>
      <c r="Q37"/>
      <c r="R37"/>
      <c r="S37"/>
    </row>
    <row r="38" spans="1:19" s="2" customFormat="1" outlineLevel="1" x14ac:dyDescent="0.25">
      <c r="A38" s="2">
        <f t="shared" si="3"/>
        <v>20</v>
      </c>
      <c r="B38" s="12" t="s">
        <v>68</v>
      </c>
      <c r="C38" s="13">
        <f t="shared" ref="C38:J38" si="4">SUM(C18:C37)</f>
        <v>1</v>
      </c>
      <c r="D38" s="13">
        <f t="shared" si="4"/>
        <v>1</v>
      </c>
      <c r="E38" s="13">
        <f t="shared" si="4"/>
        <v>1</v>
      </c>
      <c r="F38" s="13">
        <f t="shared" si="4"/>
        <v>1</v>
      </c>
      <c r="G38" s="13">
        <f t="shared" si="4"/>
        <v>1</v>
      </c>
      <c r="H38" s="13">
        <f t="shared" si="4"/>
        <v>1</v>
      </c>
      <c r="I38" s="13">
        <f t="shared" si="4"/>
        <v>1</v>
      </c>
      <c r="J38" s="13">
        <f t="shared" si="4"/>
        <v>1</v>
      </c>
      <c r="L38"/>
      <c r="M38"/>
      <c r="N38"/>
      <c r="O38"/>
      <c r="P38"/>
      <c r="Q38"/>
      <c r="R38"/>
      <c r="S38"/>
    </row>
    <row r="39" spans="1:19" s="2" customFormat="1" x14ac:dyDescent="0.25">
      <c r="A39" s="2">
        <f t="shared" si="3"/>
        <v>21</v>
      </c>
      <c r="B39" s="10" t="s">
        <v>67</v>
      </c>
      <c r="C39" s="11">
        <f>SUMPRODUCT('BOM &amp; cycles'!$E$3:$E$22,C18:C37)</f>
        <v>0.40409274315213228</v>
      </c>
      <c r="D39" s="11">
        <f>SUMPRODUCT('BOM &amp; cycles'!$E$3:$E$22,D18:D37)</f>
        <v>0.3870120558671426</v>
      </c>
      <c r="E39" s="11">
        <f>SUMPRODUCT('BOM &amp; cycles'!$E$3:$E$22,E18:E37)</f>
        <v>0.40464168493612546</v>
      </c>
      <c r="F39" s="11">
        <f>SUMPRODUCT('BOM &amp; cycles'!$E$3:$E$22,F18:F37)</f>
        <v>0.38193112565989867</v>
      </c>
      <c r="G39" s="11">
        <f>SUMPRODUCT('BOM &amp; cycles'!$E$3:$E$22,G18:G37)</f>
        <v>0.37670580220428929</v>
      </c>
      <c r="H39" s="11">
        <f>SUMPRODUCT('BOM &amp; cycles'!$E$3:$E$22,H18:H37)</f>
        <v>0.37957438132676391</v>
      </c>
      <c r="I39" s="11">
        <f>SUMPRODUCT('BOM &amp; cycles'!$E$3:$E$22,I18:I37)</f>
        <v>0.38240983623486152</v>
      </c>
      <c r="J39" s="11">
        <f>SUMPRODUCT('BOM &amp; cycles'!$E$3:$E$22,J18:J37)</f>
        <v>0.37238161633018013</v>
      </c>
      <c r="L39"/>
      <c r="M39"/>
      <c r="N39"/>
      <c r="O39"/>
      <c r="P39"/>
      <c r="Q39"/>
      <c r="R39"/>
      <c r="S39"/>
    </row>
    <row r="40" spans="1:19" s="2" customFormat="1" x14ac:dyDescent="0.25">
      <c r="A40" s="2">
        <f t="shared" si="3"/>
        <v>22</v>
      </c>
      <c r="B40" s="10" t="s">
        <v>70</v>
      </c>
      <c r="C40" s="11">
        <f>SUMPRODUCT('BOM &amp; cycles'!$F$3:$F$22,C18:C37)</f>
        <v>3.9465626916762538E-2</v>
      </c>
      <c r="D40" s="11">
        <f>SUMPRODUCT('BOM &amp; cycles'!$F$3:$F$22,D18:D37)</f>
        <v>4.1514605921438436E-2</v>
      </c>
      <c r="E40" s="11">
        <f>SUMPRODUCT('BOM &amp; cycles'!$F$3:$F$22,E18:E37)</f>
        <v>4.0992624544596221E-2</v>
      </c>
      <c r="F40" s="11">
        <f>SUMPRODUCT('BOM &amp; cycles'!$F$3:$F$22,F18:F37)</f>
        <v>4.1998522693980189E-2</v>
      </c>
      <c r="G40" s="11">
        <f>SUMPRODUCT('BOM &amp; cycles'!$F$3:$F$22,G18:G37)</f>
        <v>4.2448702251409572E-2</v>
      </c>
      <c r="H40" s="11">
        <f>SUMPRODUCT('BOM &amp; cycles'!$F$3:$F$22,H18:H37)</f>
        <v>4.2228801234581885E-2</v>
      </c>
      <c r="I40" s="11">
        <f>SUMPRODUCT('BOM &amp; cycles'!$F$3:$F$22,I18:I37)</f>
        <v>4.1936930228940308E-2</v>
      </c>
      <c r="J40" s="11">
        <f>SUMPRODUCT('BOM &amp; cycles'!$F$3:$F$22,J18:J37)</f>
        <v>4.2702340483349616E-2</v>
      </c>
      <c r="L40"/>
      <c r="M40"/>
      <c r="N40"/>
      <c r="O40"/>
      <c r="P40"/>
      <c r="Q40"/>
      <c r="R40"/>
      <c r="S40"/>
    </row>
    <row r="41" spans="1:19" s="2" customFormat="1" x14ac:dyDescent="0.25">
      <c r="A41" s="2">
        <f t="shared" si="3"/>
        <v>23</v>
      </c>
      <c r="B41" s="10" t="s">
        <v>71</v>
      </c>
      <c r="C41" s="11">
        <f>SUMPRODUCT('BOM &amp; cycles'!$G$3:$G$22,C18:C37)</f>
        <v>0.55644162993110524</v>
      </c>
      <c r="D41" s="11">
        <f>SUMPRODUCT('BOM &amp; cycles'!$G$3:$G$22,D18:D37)</f>
        <v>0.57147333821141899</v>
      </c>
      <c r="E41" s="11">
        <f>SUMPRODUCT('BOM &amp; cycles'!$G$3:$G$22,E18:E37)</f>
        <v>0.55436569051927831</v>
      </c>
      <c r="F41" s="11">
        <f>SUMPRODUCT('BOM &amp; cycles'!$G$3:$G$22,F18:F37)</f>
        <v>0.57607035164612119</v>
      </c>
      <c r="G41" s="11">
        <f>SUMPRODUCT('BOM &amp; cycles'!$G$3:$G$22,G18:G37)</f>
        <v>0.5808454955443012</v>
      </c>
      <c r="H41" s="11">
        <f>SUMPRODUCT('BOM &amp; cycles'!$G$3:$G$22,H18:H37)</f>
        <v>0.57819681743865425</v>
      </c>
      <c r="I41" s="11">
        <f>SUMPRODUCT('BOM &amp; cycles'!$G$3:$G$22,I18:I37)</f>
        <v>0.57565323353619824</v>
      </c>
      <c r="J41" s="11">
        <f>SUMPRODUCT('BOM &amp; cycles'!$G$3:$G$22,J18:J37)</f>
        <v>0.58491604318647006</v>
      </c>
      <c r="L41"/>
      <c r="M41"/>
      <c r="N41"/>
      <c r="O41"/>
      <c r="P41"/>
      <c r="Q41"/>
      <c r="R41"/>
      <c r="S41"/>
    </row>
    <row r="42" spans="1:19" x14ac:dyDescent="0.25">
      <c r="A42" s="2">
        <f t="shared" si="3"/>
        <v>24</v>
      </c>
      <c r="B42" s="36" t="s">
        <v>237</v>
      </c>
      <c r="C42" s="83">
        <f>C43*C39</f>
        <v>95.811656398890932</v>
      </c>
      <c r="D42" s="83">
        <f t="shared" ref="D42:J42" si="5">D43*D39</f>
        <v>114.36968084780351</v>
      </c>
      <c r="E42" s="83">
        <f t="shared" si="5"/>
        <v>95.288129863939403</v>
      </c>
      <c r="F42" s="83">
        <f t="shared" si="5"/>
        <v>120.40718226144401</v>
      </c>
      <c r="G42" s="83">
        <f t="shared" si="5"/>
        <v>126.79031523155561</v>
      </c>
      <c r="H42" s="83">
        <f t="shared" si="5"/>
        <v>123.15128217370049</v>
      </c>
      <c r="I42" s="83">
        <f t="shared" si="5"/>
        <v>119.37183596317081</v>
      </c>
      <c r="J42" s="83">
        <f t="shared" si="5"/>
        <v>130.36743075629937</v>
      </c>
    </row>
    <row r="43" spans="1:19" x14ac:dyDescent="0.25">
      <c r="A43" s="2">
        <f t="shared" si="3"/>
        <v>25</v>
      </c>
      <c r="B43" s="36" t="s">
        <v>236</v>
      </c>
      <c r="C43" s="69">
        <f t="shared" ref="C43:J43" si="6">C12</f>
        <v>237.10313541270375</v>
      </c>
      <c r="D43" s="69">
        <f t="shared" si="6"/>
        <v>295.51968501742357</v>
      </c>
      <c r="E43" s="69">
        <f t="shared" si="6"/>
        <v>235.4876756678716</v>
      </c>
      <c r="F43" s="69">
        <f t="shared" si="6"/>
        <v>315.2588887679816</v>
      </c>
      <c r="G43" s="69">
        <f t="shared" si="6"/>
        <v>336.57648618535649</v>
      </c>
      <c r="H43" s="69">
        <f t="shared" si="6"/>
        <v>324.44571665568583</v>
      </c>
      <c r="I43" s="69">
        <f t="shared" si="6"/>
        <v>312.15681358639841</v>
      </c>
      <c r="J43" s="69">
        <f t="shared" si="6"/>
        <v>350.09094176310333</v>
      </c>
    </row>
    <row r="44" spans="1:19" x14ac:dyDescent="0.25">
      <c r="A44" s="2">
        <f t="shared" si="3"/>
        <v>26</v>
      </c>
      <c r="C44" s="82"/>
      <c r="D44" s="82"/>
      <c r="E44" s="82"/>
      <c r="F44" s="82"/>
      <c r="G44" s="82"/>
      <c r="H44" s="82"/>
      <c r="I44" s="82"/>
      <c r="J44" s="82"/>
    </row>
    <row r="45" spans="1:19" s="2" customFormat="1" x14ac:dyDescent="0.25">
      <c r="A45" s="2">
        <f t="shared" si="3"/>
        <v>27</v>
      </c>
      <c r="B45" s="4" t="s">
        <v>83</v>
      </c>
      <c r="C45"/>
      <c r="D45"/>
      <c r="E45"/>
      <c r="F45"/>
      <c r="G45"/>
      <c r="H45"/>
      <c r="I45"/>
      <c r="J45"/>
      <c r="L45"/>
      <c r="M45"/>
      <c r="N45"/>
      <c r="O45"/>
      <c r="P45"/>
      <c r="Q45"/>
      <c r="R45"/>
      <c r="S45"/>
    </row>
    <row r="46" spans="1:19" s="2" customFormat="1" collapsed="1" x14ac:dyDescent="0.25">
      <c r="A46" s="2">
        <f t="shared" si="3"/>
        <v>28</v>
      </c>
      <c r="B46" s="1" t="s">
        <v>66</v>
      </c>
      <c r="C46" s="1" t="s">
        <v>6</v>
      </c>
      <c r="D46" s="1" t="s">
        <v>10</v>
      </c>
      <c r="E46" s="1" t="s">
        <v>81</v>
      </c>
      <c r="F46" s="1" t="s">
        <v>12</v>
      </c>
      <c r="G46" s="1" t="s">
        <v>13</v>
      </c>
      <c r="H46" s="1" t="s">
        <v>77</v>
      </c>
      <c r="I46" s="1" t="s">
        <v>11</v>
      </c>
      <c r="J46" s="1" t="s">
        <v>14</v>
      </c>
      <c r="L46"/>
      <c r="M46"/>
      <c r="N46"/>
      <c r="O46"/>
      <c r="P46"/>
      <c r="Q46"/>
      <c r="R46"/>
      <c r="S46"/>
    </row>
    <row r="47" spans="1:19" s="2" customFormat="1" hidden="1" outlineLevel="1" x14ac:dyDescent="0.25">
      <c r="A47" s="2">
        <f t="shared" si="3"/>
        <v>29</v>
      </c>
      <c r="B47" s="4" t="s">
        <v>18</v>
      </c>
      <c r="C47" s="8">
        <v>0.2727</v>
      </c>
      <c r="D47" s="8">
        <v>0.23269999999999999</v>
      </c>
      <c r="E47" s="8">
        <v>0.2387</v>
      </c>
      <c r="F47" s="8">
        <v>0.21859999999999999</v>
      </c>
      <c r="G47" s="8">
        <v>0.20229999999999998</v>
      </c>
      <c r="H47" s="8">
        <v>0.2107</v>
      </c>
      <c r="I47" s="8">
        <v>0.22109999999999999</v>
      </c>
      <c r="J47" s="8">
        <v>0.19309999999999999</v>
      </c>
      <c r="L47"/>
      <c r="M47"/>
      <c r="N47"/>
      <c r="O47"/>
      <c r="P47"/>
      <c r="Q47"/>
      <c r="R47"/>
      <c r="S47"/>
    </row>
    <row r="48" spans="1:19" s="2" customFormat="1" hidden="1" outlineLevel="1" x14ac:dyDescent="0.25">
      <c r="A48" s="2">
        <f t="shared" si="3"/>
        <v>30</v>
      </c>
      <c r="B48" s="4" t="s">
        <v>19</v>
      </c>
      <c r="C48" s="8">
        <v>0.108</v>
      </c>
      <c r="D48" s="8">
        <v>0.13149999999999998</v>
      </c>
      <c r="E48" s="8">
        <v>0.1231</v>
      </c>
      <c r="F48" s="8">
        <v>0.13719999999999999</v>
      </c>
      <c r="G48" s="8">
        <v>0.14179999999999998</v>
      </c>
      <c r="H48" s="8">
        <v>0.13979999999999998</v>
      </c>
      <c r="I48" s="8">
        <v>0.1361</v>
      </c>
      <c r="J48" s="8">
        <v>0.14549999999999999</v>
      </c>
      <c r="L48"/>
      <c r="M48"/>
      <c r="N48"/>
      <c r="O48"/>
      <c r="P48"/>
      <c r="Q48"/>
      <c r="R48"/>
      <c r="S48"/>
    </row>
    <row r="49" spans="1:19" s="2" customFormat="1" hidden="1" outlineLevel="1" x14ac:dyDescent="0.25">
      <c r="A49" s="2">
        <f t="shared" si="3"/>
        <v>31</v>
      </c>
      <c r="B49" s="4" t="s">
        <v>20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L49"/>
      <c r="M49"/>
      <c r="N49"/>
      <c r="O49"/>
      <c r="P49"/>
      <c r="Q49"/>
      <c r="R49"/>
      <c r="S49"/>
    </row>
    <row r="50" spans="1:19" s="2" customFormat="1" hidden="1" outlineLevel="1" x14ac:dyDescent="0.25">
      <c r="A50" s="2">
        <f t="shared" si="3"/>
        <v>32</v>
      </c>
      <c r="B50" s="4" t="s">
        <v>21</v>
      </c>
      <c r="C50" s="8">
        <v>7.8000000000000005E-3</v>
      </c>
      <c r="D50" s="8">
        <v>7.5000000000000006E-3</v>
      </c>
      <c r="E50" s="8">
        <v>7.4000000000000003E-3</v>
      </c>
      <c r="F50" s="8">
        <v>7.3000000000000001E-3</v>
      </c>
      <c r="G50" s="8">
        <v>7.1000000000000004E-3</v>
      </c>
      <c r="H50" s="8">
        <v>7.2000000000000007E-3</v>
      </c>
      <c r="I50" s="8">
        <v>7.3000000000000001E-3</v>
      </c>
      <c r="J50" s="8">
        <v>7.0000000000000001E-3</v>
      </c>
      <c r="L50"/>
      <c r="M50"/>
      <c r="N50"/>
      <c r="O50"/>
      <c r="P50"/>
      <c r="Q50"/>
      <c r="R50"/>
      <c r="S50"/>
    </row>
    <row r="51" spans="1:19" s="2" customFormat="1" hidden="1" outlineLevel="1" x14ac:dyDescent="0.25">
      <c r="A51" s="2">
        <f t="shared" si="3"/>
        <v>33</v>
      </c>
      <c r="B51" s="4" t="s">
        <v>23</v>
      </c>
      <c r="C51" s="8">
        <v>8.3699999999999997E-2</v>
      </c>
      <c r="D51" s="8">
        <v>7.8100000000000003E-2</v>
      </c>
      <c r="E51" s="8">
        <v>8.9300000000000004E-2</v>
      </c>
      <c r="F51" s="8">
        <v>7.8800000000000009E-2</v>
      </c>
      <c r="G51" s="8">
        <v>8.0799999999999997E-2</v>
      </c>
      <c r="H51" s="8">
        <v>8.0600000000000005E-2</v>
      </c>
      <c r="I51" s="8">
        <v>7.8100000000000003E-2</v>
      </c>
      <c r="J51" s="8">
        <v>8.1900000000000001E-2</v>
      </c>
      <c r="L51"/>
      <c r="M51"/>
      <c r="N51"/>
      <c r="O51"/>
      <c r="P51"/>
      <c r="Q51"/>
      <c r="R51"/>
      <c r="S51"/>
    </row>
    <row r="52" spans="1:19" s="2" customFormat="1" hidden="1" outlineLevel="1" x14ac:dyDescent="0.25">
      <c r="A52" s="2">
        <f t="shared" si="3"/>
        <v>34</v>
      </c>
      <c r="B52" s="4" t="s">
        <v>22</v>
      </c>
      <c r="C52" s="8">
        <v>0.12280000000000001</v>
      </c>
      <c r="D52" s="8">
        <v>0.1225</v>
      </c>
      <c r="E52" s="8">
        <v>0.1268</v>
      </c>
      <c r="F52" s="8">
        <v>0.1236</v>
      </c>
      <c r="G52" s="8">
        <v>0.12529999999999999</v>
      </c>
      <c r="H52" s="8">
        <v>0.1244</v>
      </c>
      <c r="I52" s="8">
        <v>0.1232</v>
      </c>
      <c r="J52" s="8">
        <v>0.12619999999999998</v>
      </c>
      <c r="L52"/>
      <c r="M52"/>
      <c r="N52"/>
      <c r="O52"/>
      <c r="P52"/>
      <c r="Q52"/>
      <c r="R52"/>
      <c r="S52"/>
    </row>
    <row r="53" spans="1:19" s="2" customFormat="1" hidden="1" outlineLevel="1" x14ac:dyDescent="0.25">
      <c r="A53" s="2">
        <f t="shared" si="3"/>
        <v>35</v>
      </c>
      <c r="B53" s="4" t="s">
        <v>55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L53"/>
      <c r="M53"/>
      <c r="N53"/>
      <c r="O53"/>
      <c r="P53"/>
      <c r="Q53"/>
      <c r="R53"/>
      <c r="S53"/>
    </row>
    <row r="54" spans="1:19" s="2" customFormat="1" hidden="1" outlineLevel="1" x14ac:dyDescent="0.25">
      <c r="A54" s="2">
        <f t="shared" si="3"/>
        <v>36</v>
      </c>
      <c r="B54" s="4" t="s">
        <v>24</v>
      </c>
      <c r="C54" s="8">
        <v>0.01</v>
      </c>
      <c r="D54" s="8">
        <v>9.2999999999999992E-3</v>
      </c>
      <c r="E54" s="8">
        <v>1.0799999999999999E-2</v>
      </c>
      <c r="F54" s="8">
        <v>9.1999999999999998E-3</v>
      </c>
      <c r="G54" s="8">
        <v>9.0999999999999987E-3</v>
      </c>
      <c r="H54" s="8">
        <v>9.0999999999999987E-3</v>
      </c>
      <c r="I54" s="8">
        <v>9.1999999999999998E-3</v>
      </c>
      <c r="J54" s="8">
        <v>9.0999999999999987E-3</v>
      </c>
      <c r="L54"/>
      <c r="M54"/>
      <c r="N54"/>
      <c r="O54"/>
      <c r="P54"/>
      <c r="Q54"/>
      <c r="R54"/>
      <c r="S54"/>
    </row>
    <row r="55" spans="1:19" s="2" customFormat="1" hidden="1" outlineLevel="1" x14ac:dyDescent="0.25">
      <c r="A55" s="2">
        <f t="shared" si="3"/>
        <v>37</v>
      </c>
      <c r="B55" s="4" t="s">
        <v>25</v>
      </c>
      <c r="C55" s="8">
        <v>2.7799999999999998E-2</v>
      </c>
      <c r="D55" s="8">
        <v>2.58E-2</v>
      </c>
      <c r="E55" s="8">
        <v>3.0099999999999998E-2</v>
      </c>
      <c r="F55" s="8">
        <v>2.5499999999999998E-2</v>
      </c>
      <c r="G55" s="8">
        <v>2.52E-2</v>
      </c>
      <c r="H55" s="8">
        <v>2.52E-2</v>
      </c>
      <c r="I55" s="8">
        <v>2.5499999999999998E-2</v>
      </c>
      <c r="J55" s="8">
        <v>2.5100000000000001E-2</v>
      </c>
      <c r="L55"/>
      <c r="M55"/>
      <c r="N55"/>
      <c r="O55"/>
      <c r="P55"/>
      <c r="Q55"/>
      <c r="R55"/>
      <c r="S55"/>
    </row>
    <row r="56" spans="1:19" s="2" customFormat="1" hidden="1" outlineLevel="1" x14ac:dyDescent="0.25">
      <c r="A56" s="2">
        <f t="shared" si="3"/>
        <v>38</v>
      </c>
      <c r="B56" s="4" t="s">
        <v>26</v>
      </c>
      <c r="C56" s="8">
        <v>2.7799999999999998E-2</v>
      </c>
      <c r="D56" s="8">
        <v>2.58E-2</v>
      </c>
      <c r="E56" s="8">
        <v>3.0099999999999998E-2</v>
      </c>
      <c r="F56" s="8">
        <v>2.5499999999999998E-2</v>
      </c>
      <c r="G56" s="8">
        <v>2.52E-2</v>
      </c>
      <c r="H56" s="8">
        <v>2.52E-2</v>
      </c>
      <c r="I56" s="8">
        <v>2.5499999999999998E-2</v>
      </c>
      <c r="J56" s="8">
        <v>2.5100000000000001E-2</v>
      </c>
      <c r="L56"/>
      <c r="M56"/>
      <c r="N56"/>
      <c r="O56"/>
      <c r="P56"/>
      <c r="Q56"/>
      <c r="R56"/>
      <c r="S56"/>
    </row>
    <row r="57" spans="1:19" s="2" customFormat="1" hidden="1" outlineLevel="1" x14ac:dyDescent="0.25">
      <c r="A57" s="2">
        <f t="shared" si="3"/>
        <v>39</v>
      </c>
      <c r="B57" s="4" t="s">
        <v>27</v>
      </c>
      <c r="C57" s="8">
        <v>8.0000000000000004E-4</v>
      </c>
      <c r="D57" s="8">
        <v>8.0000000000000004E-4</v>
      </c>
      <c r="E57" s="8">
        <v>9.0000000000000008E-4</v>
      </c>
      <c r="F57" s="8">
        <v>8.0000000000000004E-4</v>
      </c>
      <c r="G57" s="8">
        <v>8.0000000000000004E-4</v>
      </c>
      <c r="H57" s="8">
        <v>8.0000000000000004E-4</v>
      </c>
      <c r="I57" s="8">
        <v>8.0000000000000004E-4</v>
      </c>
      <c r="J57" s="8">
        <v>8.0000000000000004E-4</v>
      </c>
      <c r="L57"/>
      <c r="M57"/>
      <c r="N57"/>
      <c r="O57"/>
      <c r="P57"/>
      <c r="Q57"/>
      <c r="R57"/>
      <c r="S57"/>
    </row>
    <row r="58" spans="1:19" s="2" customFormat="1" hidden="1" outlineLevel="1" x14ac:dyDescent="0.25">
      <c r="A58" s="2">
        <f t="shared" si="3"/>
        <v>40</v>
      </c>
      <c r="B58" s="4" t="s">
        <v>56</v>
      </c>
      <c r="C58" s="8">
        <v>8.0000000000000002E-3</v>
      </c>
      <c r="D58" s="8">
        <v>6.3E-3</v>
      </c>
      <c r="E58" s="8">
        <v>8.4999999999999989E-3</v>
      </c>
      <c r="F58" s="8">
        <v>6.2000000000000006E-3</v>
      </c>
      <c r="G58" s="8">
        <v>6.3E-3</v>
      </c>
      <c r="H58" s="8">
        <v>6.4000000000000003E-3</v>
      </c>
      <c r="I58" s="8">
        <v>6.1000000000000004E-3</v>
      </c>
      <c r="J58" s="8">
        <v>6.4000000000000003E-3</v>
      </c>
      <c r="L58"/>
      <c r="M58"/>
      <c r="N58"/>
      <c r="O58"/>
      <c r="P58"/>
      <c r="Q58"/>
      <c r="R58"/>
      <c r="S58"/>
    </row>
    <row r="59" spans="1:19" s="2" customFormat="1" hidden="1" outlineLevel="1" x14ac:dyDescent="0.25">
      <c r="A59" s="2">
        <f t="shared" si="3"/>
        <v>41</v>
      </c>
      <c r="B59" s="4" t="s">
        <v>57</v>
      </c>
      <c r="C59" s="8">
        <v>8.6999999999999994E-3</v>
      </c>
      <c r="D59" s="8">
        <v>9.2999999999999992E-3</v>
      </c>
      <c r="E59" s="8">
        <v>8.8999999999999999E-3</v>
      </c>
      <c r="F59" s="8">
        <v>9.4999999999999998E-3</v>
      </c>
      <c r="G59" s="8">
        <v>9.6999999999999986E-3</v>
      </c>
      <c r="H59" s="8">
        <v>9.4999999999999998E-3</v>
      </c>
      <c r="I59" s="8">
        <v>9.4999999999999998E-3</v>
      </c>
      <c r="J59" s="8">
        <v>9.6999999999999986E-3</v>
      </c>
      <c r="L59"/>
      <c r="M59"/>
      <c r="N59"/>
      <c r="O59"/>
      <c r="P59"/>
      <c r="Q59"/>
      <c r="R59"/>
      <c r="S59"/>
    </row>
    <row r="60" spans="1:19" s="2" customFormat="1" hidden="1" outlineLevel="1" x14ac:dyDescent="0.25">
      <c r="A60" s="2">
        <f t="shared" si="3"/>
        <v>42</v>
      </c>
      <c r="B60" s="4" t="s">
        <v>58</v>
      </c>
      <c r="C60" s="8">
        <v>1.8E-3</v>
      </c>
      <c r="D60" s="8">
        <v>1.7000000000000001E-3</v>
      </c>
      <c r="E60" s="8">
        <v>1.9E-3</v>
      </c>
      <c r="F60" s="8">
        <v>1.8E-3</v>
      </c>
      <c r="G60" s="8">
        <v>1.7000000000000001E-3</v>
      </c>
      <c r="H60" s="8">
        <v>1.7000000000000001E-3</v>
      </c>
      <c r="I60" s="8">
        <v>1.7000000000000001E-3</v>
      </c>
      <c r="J60" s="8">
        <v>1.7000000000000001E-3</v>
      </c>
      <c r="L60"/>
      <c r="M60"/>
      <c r="N60"/>
      <c r="O60"/>
      <c r="P60"/>
      <c r="Q60"/>
      <c r="R60"/>
      <c r="S60"/>
    </row>
    <row r="61" spans="1:19" s="2" customFormat="1" hidden="1" outlineLevel="1" x14ac:dyDescent="0.25">
      <c r="A61" s="2">
        <f t="shared" si="3"/>
        <v>43</v>
      </c>
      <c r="B61" s="4" t="s">
        <v>59</v>
      </c>
      <c r="C61" s="8">
        <v>0.1704</v>
      </c>
      <c r="D61" s="8">
        <v>0.18469999999999998</v>
      </c>
      <c r="E61" s="8">
        <v>0.17249999999999999</v>
      </c>
      <c r="F61" s="8">
        <v>0.188</v>
      </c>
      <c r="G61" s="8">
        <v>0.19289999999999999</v>
      </c>
      <c r="H61" s="8">
        <v>0.18989999999999999</v>
      </c>
      <c r="I61" s="8">
        <v>0.18819999999999998</v>
      </c>
      <c r="J61" s="8">
        <v>0.19419999999999998</v>
      </c>
      <c r="L61"/>
      <c r="M61"/>
      <c r="N61"/>
      <c r="O61"/>
      <c r="P61"/>
      <c r="Q61"/>
      <c r="R61"/>
      <c r="S61"/>
    </row>
    <row r="62" spans="1:19" s="2" customFormat="1" hidden="1" outlineLevel="1" x14ac:dyDescent="0.25">
      <c r="A62" s="2">
        <f t="shared" si="3"/>
        <v>44</v>
      </c>
      <c r="B62" s="4" t="s">
        <v>60</v>
      </c>
      <c r="C62" s="8">
        <v>6.08E-2</v>
      </c>
      <c r="D62" s="8">
        <v>6.4700000000000008E-2</v>
      </c>
      <c r="E62" s="8">
        <v>6.2100000000000002E-2</v>
      </c>
      <c r="F62" s="8">
        <v>6.5500000000000003E-2</v>
      </c>
      <c r="G62" s="8">
        <v>6.6799999999999998E-2</v>
      </c>
      <c r="H62" s="8">
        <v>6.6000000000000003E-2</v>
      </c>
      <c r="I62" s="8">
        <v>6.5600000000000006E-2</v>
      </c>
      <c r="J62" s="8">
        <v>6.7100000000000007E-2</v>
      </c>
      <c r="L62"/>
      <c r="M62"/>
      <c r="N62"/>
      <c r="O62"/>
      <c r="P62"/>
      <c r="Q62"/>
      <c r="R62"/>
      <c r="S62"/>
    </row>
    <row r="63" spans="1:19" s="2" customFormat="1" hidden="1" outlineLevel="1" x14ac:dyDescent="0.25">
      <c r="A63" s="2">
        <f t="shared" si="3"/>
        <v>45</v>
      </c>
      <c r="B63" s="4" t="s">
        <v>61</v>
      </c>
      <c r="C63" s="8">
        <v>6.9999999999999999E-4</v>
      </c>
      <c r="D63" s="8">
        <v>9.0000000000000008E-4</v>
      </c>
      <c r="E63" s="8">
        <v>9.0000000000000008E-4</v>
      </c>
      <c r="F63" s="8">
        <v>1E-3</v>
      </c>
      <c r="G63" s="8">
        <v>1E-3</v>
      </c>
      <c r="H63" s="8">
        <v>1E-3</v>
      </c>
      <c r="I63" s="8">
        <v>1E-3</v>
      </c>
      <c r="J63" s="8">
        <v>1E-3</v>
      </c>
      <c r="L63"/>
      <c r="M63"/>
      <c r="N63"/>
      <c r="O63"/>
      <c r="P63"/>
      <c r="Q63"/>
      <c r="R63"/>
      <c r="S63"/>
    </row>
    <row r="64" spans="1:19" s="2" customFormat="1" hidden="1" outlineLevel="1" x14ac:dyDescent="0.25">
      <c r="A64" s="2">
        <f t="shared" si="3"/>
        <v>46</v>
      </c>
      <c r="B64" s="4" t="s">
        <v>62</v>
      </c>
      <c r="C64" s="8">
        <v>3.6999999999999997E-3</v>
      </c>
      <c r="D64" s="8">
        <v>4.0000000000000001E-3</v>
      </c>
      <c r="E64" s="8">
        <v>3.8E-3</v>
      </c>
      <c r="F64" s="8">
        <v>4.1000000000000003E-3</v>
      </c>
      <c r="G64" s="8">
        <v>4.2000000000000006E-3</v>
      </c>
      <c r="H64" s="8">
        <v>4.1000000000000003E-3</v>
      </c>
      <c r="I64" s="8">
        <v>4.1000000000000003E-3</v>
      </c>
      <c r="J64" s="8">
        <v>4.2000000000000006E-3</v>
      </c>
      <c r="L64"/>
      <c r="M64"/>
      <c r="N64"/>
      <c r="O64"/>
      <c r="P64"/>
      <c r="Q64"/>
      <c r="R64"/>
      <c r="S64"/>
    </row>
    <row r="65" spans="1:19" s="2" customFormat="1" hidden="1" outlineLevel="1" x14ac:dyDescent="0.25">
      <c r="A65" s="2">
        <f t="shared" si="3"/>
        <v>47</v>
      </c>
      <c r="B65" s="4" t="s">
        <v>63</v>
      </c>
      <c r="C65" s="8">
        <v>4.4000000000000004E-2</v>
      </c>
      <c r="D65" s="8">
        <v>4.6800000000000001E-2</v>
      </c>
      <c r="E65" s="8">
        <v>4.4900000000000002E-2</v>
      </c>
      <c r="F65" s="8">
        <v>4.7500000000000001E-2</v>
      </c>
      <c r="G65" s="8">
        <v>4.8300000000000003E-2</v>
      </c>
      <c r="H65" s="8">
        <v>4.7800000000000002E-2</v>
      </c>
      <c r="I65" s="8">
        <v>4.7500000000000001E-2</v>
      </c>
      <c r="J65" s="8">
        <v>4.8600000000000004E-2</v>
      </c>
      <c r="L65"/>
      <c r="M65"/>
      <c r="N65"/>
      <c r="O65"/>
      <c r="P65"/>
      <c r="Q65"/>
      <c r="R65"/>
      <c r="S65"/>
    </row>
    <row r="66" spans="1:19" s="2" customFormat="1" hidden="1" outlineLevel="1" x14ac:dyDescent="0.25">
      <c r="A66" s="2">
        <f t="shared" si="3"/>
        <v>48</v>
      </c>
      <c r="B66" s="4" t="s">
        <v>64</v>
      </c>
      <c r="C66" s="8">
        <v>4.0499999999999758E-2</v>
      </c>
      <c r="D66" s="8">
        <v>4.7599999999999976E-2</v>
      </c>
      <c r="E66" s="8">
        <v>3.929999999999978E-2</v>
      </c>
      <c r="F66" s="8">
        <v>4.9900000000000166E-2</v>
      </c>
      <c r="G66" s="8">
        <v>5.1500000000000101E-2</v>
      </c>
      <c r="H66" s="8">
        <v>5.06000000000002E-2</v>
      </c>
      <c r="I66" s="8">
        <v>4.950000000000021E-2</v>
      </c>
      <c r="J66" s="8">
        <v>5.3299999999999903E-2</v>
      </c>
      <c r="L66"/>
      <c r="M66"/>
      <c r="N66"/>
      <c r="O66"/>
      <c r="P66"/>
      <c r="Q66"/>
      <c r="R66"/>
      <c r="S66"/>
    </row>
    <row r="67" spans="1:19" s="2" customFormat="1" hidden="1" outlineLevel="1" x14ac:dyDescent="0.25">
      <c r="A67" s="2">
        <f t="shared" si="3"/>
        <v>49</v>
      </c>
      <c r="B67" s="12" t="s">
        <v>68</v>
      </c>
      <c r="C67" s="13">
        <f t="shared" ref="C67:J67" si="7">SUM(C47:C66)</f>
        <v>1</v>
      </c>
      <c r="D67" s="13">
        <f t="shared" si="7"/>
        <v>1</v>
      </c>
      <c r="E67" s="13">
        <f t="shared" si="7"/>
        <v>1</v>
      </c>
      <c r="F67" s="13">
        <f t="shared" si="7"/>
        <v>1</v>
      </c>
      <c r="G67" s="13">
        <f t="shared" si="7"/>
        <v>1</v>
      </c>
      <c r="H67" s="13">
        <f t="shared" si="7"/>
        <v>1</v>
      </c>
      <c r="I67" s="13">
        <f t="shared" si="7"/>
        <v>1</v>
      </c>
      <c r="J67" s="13">
        <f t="shared" si="7"/>
        <v>1</v>
      </c>
      <c r="L67"/>
      <c r="M67"/>
      <c r="N67"/>
      <c r="O67"/>
      <c r="P67"/>
      <c r="Q67"/>
      <c r="R67"/>
      <c r="S67"/>
    </row>
    <row r="68" spans="1:19" s="2" customFormat="1" x14ac:dyDescent="0.25">
      <c r="A68" s="2">
        <f t="shared" si="3"/>
        <v>50</v>
      </c>
      <c r="B68" s="10" t="s">
        <v>67</v>
      </c>
      <c r="C68" s="11">
        <f>SUMPRODUCT('BOM &amp; cycles'!$E$3:$E$22,C47:C66)</f>
        <v>0.53653962541632216</v>
      </c>
      <c r="D68" s="11">
        <f>SUMPRODUCT('BOM &amp; cycles'!$E$3:$E$22,D47:D66)</f>
        <v>0.51032151009395599</v>
      </c>
      <c r="E68" s="11">
        <f>SUMPRODUCT('BOM &amp; cycles'!$E$3:$E$22,E47:E66)</f>
        <v>0.52780550762285539</v>
      </c>
      <c r="F68" s="11">
        <f>SUMPRODUCT('BOM &amp; cycles'!$E$3:$E$22,F47:F66)</f>
        <v>0.50171113999963768</v>
      </c>
      <c r="G68" s="11">
        <f>SUMPRODUCT('BOM &amp; cycles'!$E$3:$E$22,G47:G66)</f>
        <v>0.49094589550119555</v>
      </c>
      <c r="H68" s="11">
        <f>SUMPRODUCT('BOM &amp; cycles'!$E$3:$E$22,H47:H66)</f>
        <v>0.49719380648470407</v>
      </c>
      <c r="I68" s="11">
        <f>SUMPRODUCT('BOM &amp; cycles'!$E$3:$E$22,I47:I66)</f>
        <v>0.50248730382879836</v>
      </c>
      <c r="J68" s="11">
        <f>SUMPRODUCT('BOM &amp; cycles'!$E$3:$E$22,J47:J66)</f>
        <v>0.48615172134031037</v>
      </c>
      <c r="L68"/>
      <c r="M68"/>
      <c r="N68"/>
      <c r="O68"/>
      <c r="P68"/>
      <c r="Q68"/>
      <c r="R68"/>
      <c r="S68"/>
    </row>
    <row r="69" spans="1:19" s="2" customFormat="1" x14ac:dyDescent="0.25">
      <c r="A69" s="2">
        <f t="shared" si="3"/>
        <v>51</v>
      </c>
      <c r="B69" s="10" t="s">
        <v>70</v>
      </c>
      <c r="C69" s="11">
        <f>SUMPRODUCT('BOM &amp; cycles'!$F$3:$F$22,C47:C66)</f>
        <v>2.9444796093849895E-2</v>
      </c>
      <c r="D69" s="11">
        <f>SUMPRODUCT('BOM &amp; cycles'!$F$3:$F$22,D47:D66)</f>
        <v>2.9214181214446078E-2</v>
      </c>
      <c r="E69" s="11">
        <f>SUMPRODUCT('BOM &amp; cycles'!$F$3:$F$22,E47:E66)</f>
        <v>3.0488422508732224E-2</v>
      </c>
      <c r="F69" s="11">
        <f>SUMPRODUCT('BOM &amp; cycles'!$F$3:$F$22,F47:F66)</f>
        <v>2.9476474224762347E-2</v>
      </c>
      <c r="G69" s="11">
        <f>SUMPRODUCT('BOM &amp; cycles'!$F$3:$F$22,G47:G66)</f>
        <v>2.9908839717236121E-2</v>
      </c>
      <c r="H69" s="11">
        <f>SUMPRODUCT('BOM &amp; cycles'!$F$3:$F$22,H47:H66)</f>
        <v>2.9705198189367305E-2</v>
      </c>
      <c r="I69" s="11">
        <f>SUMPRODUCT('BOM &amp; cycles'!$F$3:$F$22,I47:I66)</f>
        <v>2.9367994207644719E-2</v>
      </c>
      <c r="J69" s="11">
        <f>SUMPRODUCT('BOM &amp; cycles'!$F$3:$F$22,J47:J66)</f>
        <v>3.0138950088436763E-2</v>
      </c>
      <c r="L69"/>
      <c r="M69"/>
      <c r="N69"/>
      <c r="O69"/>
      <c r="P69"/>
      <c r="Q69"/>
      <c r="R69"/>
      <c r="S69"/>
    </row>
    <row r="70" spans="1:19" s="2" customFormat="1" x14ac:dyDescent="0.25">
      <c r="A70" s="2">
        <f t="shared" si="3"/>
        <v>52</v>
      </c>
      <c r="B70" s="10" t="s">
        <v>71</v>
      </c>
      <c r="C70" s="11">
        <f>SUMPRODUCT('BOM &amp; cycles'!$G$3:$G$22,C47:C66)</f>
        <v>0.43401557848982775</v>
      </c>
      <c r="D70" s="11">
        <f>SUMPRODUCT('BOM &amp; cycles'!$G$3:$G$22,D47:D66)</f>
        <v>0.46046430869159788</v>
      </c>
      <c r="E70" s="11">
        <f>SUMPRODUCT('BOM &amp; cycles'!$G$3:$G$22,E47:E66)</f>
        <v>0.44170606986841221</v>
      </c>
      <c r="F70" s="11">
        <f>SUMPRODUCT('BOM &amp; cycles'!$G$3:$G$22,F47:F66)</f>
        <v>0.46881238577560014</v>
      </c>
      <c r="G70" s="11">
        <f>SUMPRODUCT('BOM &amp; cycles'!$G$3:$G$22,G47:G66)</f>
        <v>0.47914526478156838</v>
      </c>
      <c r="H70" s="11">
        <f>SUMPRODUCT('BOM &amp; cycles'!$G$3:$G$22,H47:H66)</f>
        <v>0.47310099532592881</v>
      </c>
      <c r="I70" s="11">
        <f>SUMPRODUCT('BOM &amp; cycles'!$G$3:$G$22,I47:I66)</f>
        <v>0.46814470196355695</v>
      </c>
      <c r="J70" s="11">
        <f>SUMPRODUCT('BOM &amp; cycles'!$G$3:$G$22,J47:J66)</f>
        <v>0.48370932857125282</v>
      </c>
      <c r="L70"/>
      <c r="M70"/>
      <c r="N70"/>
      <c r="O70"/>
      <c r="P70"/>
      <c r="Q70"/>
      <c r="R70"/>
      <c r="S70"/>
    </row>
    <row r="71" spans="1:19" x14ac:dyDescent="0.25">
      <c r="A71" s="2">
        <f t="shared" si="3"/>
        <v>53</v>
      </c>
      <c r="B71" s="36" t="s">
        <v>237</v>
      </c>
      <c r="C71" s="35">
        <v>126.9</v>
      </c>
      <c r="D71" s="35">
        <v>148.91999999999999</v>
      </c>
      <c r="E71" s="35">
        <v>123.60000000000001</v>
      </c>
      <c r="F71" s="35">
        <v>155.60999999999999</v>
      </c>
      <c r="G71" s="35">
        <v>161.29</v>
      </c>
      <c r="H71" s="35">
        <v>157.69</v>
      </c>
      <c r="I71" s="35">
        <v>154.51999999999998</v>
      </c>
      <c r="J71" s="35">
        <v>165.64</v>
      </c>
    </row>
    <row r="72" spans="1:19" x14ac:dyDescent="0.25">
      <c r="A72" s="2">
        <f t="shared" si="3"/>
        <v>54</v>
      </c>
      <c r="B72" s="36" t="s">
        <v>236</v>
      </c>
      <c r="C72" s="69">
        <f>C71/C68</f>
        <v>236.51561597437154</v>
      </c>
      <c r="D72" s="69">
        <f t="shared" ref="D72" si="8">D71/D68</f>
        <v>291.81603568421428</v>
      </c>
      <c r="E72" s="69">
        <f t="shared" ref="E72" si="9">E71/E68</f>
        <v>234.17716983794469</v>
      </c>
      <c r="F72" s="69">
        <f t="shared" ref="F72" si="10">F71/F68</f>
        <v>310.15855059569208</v>
      </c>
      <c r="G72" s="69">
        <f t="shared" ref="G72" si="11">G71/G68</f>
        <v>328.52907311780797</v>
      </c>
      <c r="H72" s="69">
        <f t="shared" ref="H72" si="12">H71/H68</f>
        <v>317.16002480986509</v>
      </c>
      <c r="I72" s="69">
        <f t="shared" ref="I72" si="13">I71/I68</f>
        <v>307.51025712014058</v>
      </c>
      <c r="J72" s="69">
        <f t="shared" ref="J72" si="14">J71/J68</f>
        <v>340.71667903043493</v>
      </c>
    </row>
    <row r="73" spans="1:19" x14ac:dyDescent="0.25">
      <c r="A73" s="2">
        <f t="shared" si="3"/>
        <v>55</v>
      </c>
    </row>
    <row r="74" spans="1:19" s="2" customFormat="1" x14ac:dyDescent="0.25">
      <c r="A74" s="2">
        <f t="shared" si="3"/>
        <v>56</v>
      </c>
      <c r="B74" s="4" t="s">
        <v>85</v>
      </c>
      <c r="C74"/>
      <c r="D74"/>
      <c r="E74"/>
      <c r="F74"/>
      <c r="G74"/>
      <c r="H74"/>
      <c r="I74"/>
      <c r="J74"/>
      <c r="L74"/>
      <c r="M74"/>
      <c r="N74"/>
      <c r="O74"/>
      <c r="P74"/>
      <c r="Q74"/>
      <c r="R74"/>
      <c r="S74"/>
    </row>
    <row r="75" spans="1:19" s="2" customFormat="1" collapsed="1" x14ac:dyDescent="0.25">
      <c r="A75" s="2">
        <f t="shared" si="3"/>
        <v>57</v>
      </c>
      <c r="B75" s="1" t="s">
        <v>66</v>
      </c>
      <c r="C75" s="1" t="s">
        <v>6</v>
      </c>
      <c r="D75" s="1" t="s">
        <v>10</v>
      </c>
      <c r="E75" s="1" t="s">
        <v>81</v>
      </c>
      <c r="F75" s="1" t="s">
        <v>12</v>
      </c>
      <c r="G75" s="1" t="s">
        <v>13</v>
      </c>
      <c r="H75" s="1" t="s">
        <v>77</v>
      </c>
      <c r="I75" s="1" t="s">
        <v>11</v>
      </c>
      <c r="J75" s="1" t="s">
        <v>14</v>
      </c>
      <c r="L75"/>
      <c r="M75"/>
      <c r="N75"/>
      <c r="O75"/>
      <c r="P75"/>
      <c r="Q75"/>
      <c r="R75"/>
      <c r="S75"/>
    </row>
    <row r="76" spans="1:19" s="2" customFormat="1" hidden="1" outlineLevel="1" x14ac:dyDescent="0.25">
      <c r="A76" s="2">
        <f t="shared" si="3"/>
        <v>58</v>
      </c>
      <c r="B76" s="4" t="s">
        <v>18</v>
      </c>
      <c r="C76" s="8">
        <v>0.29039999999999999</v>
      </c>
      <c r="D76" s="8">
        <v>0.24969999999999998</v>
      </c>
      <c r="E76" s="8">
        <v>0.24869999999999998</v>
      </c>
      <c r="F76" s="8">
        <v>0.23579999999999998</v>
      </c>
      <c r="G76" s="8">
        <v>0.22069999999999998</v>
      </c>
      <c r="H76" s="8">
        <v>0.22979999999999998</v>
      </c>
      <c r="I76" s="8">
        <v>0.23859999999999998</v>
      </c>
      <c r="J76" s="8">
        <v>0.21259999999999998</v>
      </c>
      <c r="L76"/>
      <c r="M76"/>
      <c r="N76"/>
      <c r="O76"/>
      <c r="P76"/>
      <c r="Q76"/>
      <c r="R76"/>
      <c r="S76"/>
    </row>
    <row r="77" spans="1:19" s="2" customFormat="1" hidden="1" outlineLevel="1" x14ac:dyDescent="0.25">
      <c r="A77" s="2">
        <f t="shared" si="3"/>
        <v>59</v>
      </c>
      <c r="B77" s="4" t="s">
        <v>19</v>
      </c>
      <c r="C77" s="8">
        <v>0.1149</v>
      </c>
      <c r="D77" s="8">
        <v>0.1409</v>
      </c>
      <c r="E77" s="8">
        <v>0.12809999999999999</v>
      </c>
      <c r="F77" s="8">
        <v>0.14789999999999998</v>
      </c>
      <c r="G77" s="8">
        <v>0.1545</v>
      </c>
      <c r="H77" s="8">
        <v>0.15229999999999999</v>
      </c>
      <c r="I77" s="8">
        <v>0.1467</v>
      </c>
      <c r="J77" s="8">
        <v>0.15999999999999998</v>
      </c>
      <c r="L77"/>
      <c r="M77"/>
      <c r="N77"/>
      <c r="O77"/>
      <c r="P77"/>
      <c r="Q77"/>
      <c r="R77"/>
      <c r="S77"/>
    </row>
    <row r="78" spans="1:19" s="2" customFormat="1" hidden="1" outlineLevel="1" x14ac:dyDescent="0.25">
      <c r="A78" s="2">
        <f t="shared" si="3"/>
        <v>60</v>
      </c>
      <c r="B78" s="4" t="s">
        <v>20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L78"/>
      <c r="M78"/>
      <c r="N78"/>
      <c r="O78"/>
      <c r="P78"/>
      <c r="Q78"/>
      <c r="R78"/>
      <c r="S78"/>
    </row>
    <row r="79" spans="1:19" s="2" customFormat="1" hidden="1" outlineLevel="1" x14ac:dyDescent="0.25">
      <c r="A79" s="2">
        <f t="shared" si="3"/>
        <v>61</v>
      </c>
      <c r="B79" s="4" t="s">
        <v>21</v>
      </c>
      <c r="C79" s="8">
        <v>8.3000000000000001E-3</v>
      </c>
      <c r="D79" s="8">
        <v>8.0000000000000002E-3</v>
      </c>
      <c r="E79" s="8">
        <v>7.7000000000000002E-3</v>
      </c>
      <c r="F79" s="8">
        <v>7.899999999999999E-3</v>
      </c>
      <c r="G79" s="8">
        <v>7.7000000000000002E-3</v>
      </c>
      <c r="H79" s="8">
        <v>7.8000000000000005E-3</v>
      </c>
      <c r="I79" s="8">
        <v>7.899999999999999E-3</v>
      </c>
      <c r="J79" s="8">
        <v>7.7000000000000002E-3</v>
      </c>
      <c r="L79"/>
      <c r="M79"/>
      <c r="N79"/>
      <c r="O79"/>
      <c r="P79"/>
      <c r="Q79"/>
      <c r="R79"/>
      <c r="S79"/>
    </row>
    <row r="80" spans="1:19" s="2" customFormat="1" hidden="1" outlineLevel="1" x14ac:dyDescent="0.25">
      <c r="A80" s="2">
        <f t="shared" si="3"/>
        <v>62</v>
      </c>
      <c r="B80" s="4" t="s">
        <v>23</v>
      </c>
      <c r="C80" s="8">
        <v>8.1700000000000009E-2</v>
      </c>
      <c r="D80" s="8">
        <v>7.4099999999999999E-2</v>
      </c>
      <c r="E80" s="8">
        <v>8.4100000000000008E-2</v>
      </c>
      <c r="F80" s="8">
        <v>7.2900000000000006E-2</v>
      </c>
      <c r="G80" s="8">
        <v>7.1599999999999997E-2</v>
      </c>
      <c r="H80" s="8">
        <v>7.1599999999999997E-2</v>
      </c>
      <c r="I80" s="8">
        <v>7.3000000000000009E-2</v>
      </c>
      <c r="J80" s="8">
        <v>7.0800000000000002E-2</v>
      </c>
      <c r="L80"/>
      <c r="M80"/>
      <c r="N80"/>
      <c r="O80"/>
      <c r="P80"/>
      <c r="Q80"/>
      <c r="R80"/>
      <c r="S80"/>
    </row>
    <row r="81" spans="1:19" s="2" customFormat="1" hidden="1" outlineLevel="1" x14ac:dyDescent="0.25">
      <c r="A81" s="2">
        <f t="shared" si="3"/>
        <v>63</v>
      </c>
      <c r="B81" s="4" t="s">
        <v>22</v>
      </c>
      <c r="C81" s="8">
        <v>0.1227</v>
      </c>
      <c r="D81" s="8">
        <v>0.12280000000000001</v>
      </c>
      <c r="E81" s="8">
        <v>0.1241</v>
      </c>
      <c r="F81" s="8">
        <v>0.1236</v>
      </c>
      <c r="G81" s="8">
        <v>0.1242</v>
      </c>
      <c r="H81" s="8">
        <v>0.12330000000000001</v>
      </c>
      <c r="I81" s="8">
        <v>0.1235</v>
      </c>
      <c r="J81" s="8">
        <v>0.1245</v>
      </c>
      <c r="L81"/>
      <c r="M81"/>
      <c r="N81"/>
      <c r="O81"/>
      <c r="P81"/>
      <c r="Q81"/>
      <c r="R81"/>
      <c r="S81"/>
    </row>
    <row r="82" spans="1:19" s="2" customFormat="1" hidden="1" outlineLevel="1" x14ac:dyDescent="0.25">
      <c r="A82" s="2">
        <f t="shared" si="3"/>
        <v>64</v>
      </c>
      <c r="B82" s="4" t="s">
        <v>55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L82"/>
      <c r="M82"/>
      <c r="N82"/>
      <c r="O82"/>
      <c r="P82"/>
      <c r="Q82"/>
      <c r="R82"/>
      <c r="S82"/>
    </row>
    <row r="83" spans="1:19" s="2" customFormat="1" hidden="1" outlineLevel="1" x14ac:dyDescent="0.25">
      <c r="A83" s="2">
        <f t="shared" si="3"/>
        <v>65</v>
      </c>
      <c r="B83" s="4" t="s">
        <v>24</v>
      </c>
      <c r="C83" s="8">
        <v>1.06E-2</v>
      </c>
      <c r="D83" s="8">
        <v>9.8999999999999991E-3</v>
      </c>
      <c r="E83" s="8">
        <v>1.1299999999999999E-2</v>
      </c>
      <c r="F83" s="8">
        <v>9.7999999999999997E-3</v>
      </c>
      <c r="G83" s="8">
        <v>9.6999999999999986E-3</v>
      </c>
      <c r="H83" s="8">
        <v>9.6999999999999986E-3</v>
      </c>
      <c r="I83" s="8">
        <v>9.8999999999999991E-3</v>
      </c>
      <c r="J83" s="8">
        <v>9.6999999999999986E-3</v>
      </c>
      <c r="L83"/>
      <c r="M83"/>
      <c r="N83"/>
      <c r="O83"/>
      <c r="P83"/>
      <c r="Q83"/>
      <c r="R83"/>
      <c r="S83"/>
    </row>
    <row r="84" spans="1:19" s="2" customFormat="1" hidden="1" outlineLevel="1" x14ac:dyDescent="0.25">
      <c r="A84" s="2">
        <f t="shared" si="3"/>
        <v>66</v>
      </c>
      <c r="B84" s="4" t="s">
        <v>25</v>
      </c>
      <c r="C84" s="8">
        <v>2.9499999999999998E-2</v>
      </c>
      <c r="D84" s="8">
        <v>2.76E-2</v>
      </c>
      <c r="E84" s="8">
        <v>3.1400000000000004E-2</v>
      </c>
      <c r="F84" s="8">
        <v>2.7400000000000001E-2</v>
      </c>
      <c r="G84" s="8">
        <v>2.7E-2</v>
      </c>
      <c r="H84" s="8">
        <v>2.7E-2</v>
      </c>
      <c r="I84" s="8">
        <v>2.7400000000000001E-2</v>
      </c>
      <c r="J84" s="8">
        <v>2.69E-2</v>
      </c>
      <c r="L84"/>
      <c r="M84"/>
      <c r="N84"/>
      <c r="O84"/>
      <c r="P84"/>
      <c r="Q84"/>
      <c r="R84"/>
      <c r="S84"/>
    </row>
    <row r="85" spans="1:19" s="2" customFormat="1" hidden="1" outlineLevel="1" x14ac:dyDescent="0.25">
      <c r="A85" s="2">
        <f t="shared" si="3"/>
        <v>67</v>
      </c>
      <c r="B85" s="4" t="s">
        <v>26</v>
      </c>
      <c r="C85" s="8">
        <v>2.9499999999999998E-2</v>
      </c>
      <c r="D85" s="8">
        <v>2.76E-2</v>
      </c>
      <c r="E85" s="8">
        <v>3.1400000000000004E-2</v>
      </c>
      <c r="F85" s="8">
        <v>2.7400000000000001E-2</v>
      </c>
      <c r="G85" s="8">
        <v>2.7E-2</v>
      </c>
      <c r="H85" s="8">
        <v>2.7E-2</v>
      </c>
      <c r="I85" s="8">
        <v>2.7400000000000001E-2</v>
      </c>
      <c r="J85" s="8">
        <v>2.69E-2</v>
      </c>
      <c r="L85"/>
      <c r="M85"/>
      <c r="N85"/>
      <c r="O85"/>
      <c r="P85"/>
      <c r="Q85"/>
      <c r="R85"/>
      <c r="S85"/>
    </row>
    <row r="86" spans="1:19" s="2" customFormat="1" hidden="1" outlineLevel="1" x14ac:dyDescent="0.25">
      <c r="A86" s="2">
        <f t="shared" ref="A86:A149" si="15">A85+1</f>
        <v>68</v>
      </c>
      <c r="B86" s="4" t="s">
        <v>27</v>
      </c>
      <c r="C86" s="8">
        <v>9.0000000000000008E-4</v>
      </c>
      <c r="D86" s="8">
        <v>9.0000000000000008E-4</v>
      </c>
      <c r="E86" s="8">
        <v>9.0000000000000008E-4</v>
      </c>
      <c r="F86" s="8">
        <v>9.0000000000000008E-4</v>
      </c>
      <c r="G86" s="8">
        <v>9.0000000000000008E-4</v>
      </c>
      <c r="H86" s="8">
        <v>9.0000000000000008E-4</v>
      </c>
      <c r="I86" s="8">
        <v>9.0000000000000008E-4</v>
      </c>
      <c r="J86" s="8">
        <v>9.0000000000000008E-4</v>
      </c>
      <c r="L86"/>
      <c r="M86"/>
      <c r="N86"/>
      <c r="O86"/>
      <c r="P86"/>
      <c r="Q86"/>
      <c r="R86"/>
      <c r="S86"/>
    </row>
    <row r="87" spans="1:19" s="2" customFormat="1" hidden="1" outlineLevel="1" x14ac:dyDescent="0.25">
      <c r="A87" s="2">
        <f t="shared" si="15"/>
        <v>69</v>
      </c>
      <c r="B87" s="4" t="s">
        <v>56</v>
      </c>
      <c r="C87" s="8">
        <v>8.4999999999999989E-3</v>
      </c>
      <c r="D87" s="8">
        <v>6.8000000000000005E-3</v>
      </c>
      <c r="E87" s="8">
        <v>8.7999999999999988E-3</v>
      </c>
      <c r="F87" s="8">
        <v>6.4000000000000003E-3</v>
      </c>
      <c r="G87" s="8">
        <v>6.0000000000000001E-3</v>
      </c>
      <c r="H87" s="8">
        <v>6.1000000000000004E-3</v>
      </c>
      <c r="I87" s="8">
        <v>6.5000000000000006E-3</v>
      </c>
      <c r="J87" s="8">
        <v>5.8000000000000005E-3</v>
      </c>
      <c r="L87"/>
      <c r="M87"/>
      <c r="N87"/>
      <c r="O87"/>
      <c r="P87"/>
      <c r="Q87"/>
      <c r="R87"/>
      <c r="S87"/>
    </row>
    <row r="88" spans="1:19" s="2" customFormat="1" hidden="1" outlineLevel="1" x14ac:dyDescent="0.25">
      <c r="A88" s="2">
        <f t="shared" si="15"/>
        <v>70</v>
      </c>
      <c r="B88" s="4" t="s">
        <v>57</v>
      </c>
      <c r="C88" s="8">
        <v>8.6E-3</v>
      </c>
      <c r="D88" s="8">
        <v>9.1999999999999998E-3</v>
      </c>
      <c r="E88" s="8">
        <v>8.4999999999999989E-3</v>
      </c>
      <c r="F88" s="8">
        <v>9.3999999999999986E-3</v>
      </c>
      <c r="G88" s="8">
        <v>9.5999999999999992E-3</v>
      </c>
      <c r="H88" s="8">
        <v>9.4999999999999998E-3</v>
      </c>
      <c r="I88" s="8">
        <v>9.3999999999999986E-3</v>
      </c>
      <c r="J88" s="8">
        <v>9.6999999999999986E-3</v>
      </c>
      <c r="L88"/>
      <c r="M88"/>
      <c r="N88"/>
      <c r="O88"/>
      <c r="P88"/>
      <c r="Q88"/>
      <c r="R88"/>
      <c r="S88"/>
    </row>
    <row r="89" spans="1:19" s="2" customFormat="1" hidden="1" outlineLevel="1" x14ac:dyDescent="0.25">
      <c r="A89" s="2">
        <f t="shared" si="15"/>
        <v>71</v>
      </c>
      <c r="B89" s="4" t="s">
        <v>58</v>
      </c>
      <c r="C89" s="8">
        <v>1.8E-3</v>
      </c>
      <c r="D89" s="8">
        <v>1.8E-3</v>
      </c>
      <c r="E89" s="8">
        <v>1.9E-3</v>
      </c>
      <c r="F89" s="8">
        <v>1.8E-3</v>
      </c>
      <c r="G89" s="8">
        <v>1.8E-3</v>
      </c>
      <c r="H89" s="8">
        <v>1.8E-3</v>
      </c>
      <c r="I89" s="8">
        <v>1.9E-3</v>
      </c>
      <c r="J89" s="8">
        <v>1.9E-3</v>
      </c>
      <c r="L89"/>
      <c r="M89"/>
      <c r="N89"/>
      <c r="O89"/>
      <c r="P89"/>
      <c r="Q89"/>
      <c r="R89"/>
      <c r="S89"/>
    </row>
    <row r="90" spans="1:19" s="2" customFormat="1" hidden="1" outlineLevel="1" x14ac:dyDescent="0.25">
      <c r="A90" s="2">
        <f t="shared" si="15"/>
        <v>72</v>
      </c>
      <c r="B90" s="4" t="s">
        <v>59</v>
      </c>
      <c r="C90" s="8">
        <v>0.15719999999999998</v>
      </c>
      <c r="D90" s="8">
        <v>0.17209999999999998</v>
      </c>
      <c r="E90" s="8">
        <v>0.1797</v>
      </c>
      <c r="F90" s="8">
        <v>0.17629999999999998</v>
      </c>
      <c r="G90" s="8">
        <v>0.182</v>
      </c>
      <c r="H90" s="8">
        <v>0.1787</v>
      </c>
      <c r="I90" s="8">
        <v>0.17519999999999999</v>
      </c>
      <c r="J90" s="8">
        <v>0.18339999999999998</v>
      </c>
      <c r="L90"/>
      <c r="M90"/>
      <c r="N90"/>
      <c r="O90"/>
      <c r="P90"/>
      <c r="Q90"/>
      <c r="R90"/>
      <c r="S90"/>
    </row>
    <row r="91" spans="1:19" s="2" customFormat="1" hidden="1" outlineLevel="1" x14ac:dyDescent="0.25">
      <c r="A91" s="2">
        <f t="shared" si="15"/>
        <v>73</v>
      </c>
      <c r="B91" s="4" t="s">
        <v>60</v>
      </c>
      <c r="C91" s="8">
        <v>5.9300000000000005E-2</v>
      </c>
      <c r="D91" s="8">
        <v>6.3600000000000004E-2</v>
      </c>
      <c r="E91" s="8">
        <v>5.91E-2</v>
      </c>
      <c r="F91" s="8">
        <v>6.4799999999999996E-2</v>
      </c>
      <c r="G91" s="8">
        <v>6.6400000000000001E-2</v>
      </c>
      <c r="H91" s="8">
        <v>6.54E-2</v>
      </c>
      <c r="I91" s="8">
        <v>6.4399999999999999E-2</v>
      </c>
      <c r="J91" s="8">
        <v>6.6700000000000009E-2</v>
      </c>
      <c r="L91"/>
      <c r="M91"/>
      <c r="N91"/>
      <c r="O91"/>
      <c r="P91"/>
      <c r="Q91"/>
      <c r="R91"/>
      <c r="S91"/>
    </row>
    <row r="92" spans="1:19" s="2" customFormat="1" hidden="1" outlineLevel="1" x14ac:dyDescent="0.25">
      <c r="A92" s="2">
        <f t="shared" si="15"/>
        <v>74</v>
      </c>
      <c r="B92" s="4" t="s">
        <v>61</v>
      </c>
      <c r="C92" s="8">
        <v>5.0000000000000001E-4</v>
      </c>
      <c r="D92" s="8">
        <v>6.0000000000000006E-4</v>
      </c>
      <c r="E92" s="8">
        <v>5.0000000000000001E-4</v>
      </c>
      <c r="F92" s="8">
        <v>6.0000000000000006E-4</v>
      </c>
      <c r="G92" s="8">
        <v>6.0000000000000006E-4</v>
      </c>
      <c r="H92" s="8">
        <v>6.0000000000000006E-4</v>
      </c>
      <c r="I92" s="8">
        <v>6.0000000000000006E-4</v>
      </c>
      <c r="J92" s="8">
        <v>6.0000000000000006E-4</v>
      </c>
      <c r="L92"/>
      <c r="M92"/>
      <c r="N92"/>
      <c r="O92"/>
      <c r="P92"/>
      <c r="Q92"/>
      <c r="R92"/>
      <c r="S92"/>
    </row>
    <row r="93" spans="1:19" s="2" customFormat="1" hidden="1" outlineLevel="1" x14ac:dyDescent="0.25">
      <c r="A93" s="2">
        <f t="shared" si="15"/>
        <v>75</v>
      </c>
      <c r="B93" s="4" t="s">
        <v>62</v>
      </c>
      <c r="C93" s="8">
        <v>3.5999999999999999E-3</v>
      </c>
      <c r="D93" s="8">
        <v>3.8999999999999998E-3</v>
      </c>
      <c r="E93" s="8">
        <v>3.5999999999999999E-3</v>
      </c>
      <c r="F93" s="8">
        <v>4.0000000000000001E-3</v>
      </c>
      <c r="G93" s="8">
        <v>4.1000000000000003E-3</v>
      </c>
      <c r="H93" s="8">
        <v>4.0000000000000001E-3</v>
      </c>
      <c r="I93" s="8">
        <v>4.0000000000000001E-3</v>
      </c>
      <c r="J93" s="8">
        <v>4.1000000000000003E-3</v>
      </c>
      <c r="L93"/>
      <c r="M93"/>
      <c r="N93"/>
      <c r="O93"/>
      <c r="P93"/>
      <c r="Q93"/>
      <c r="R93"/>
      <c r="S93"/>
    </row>
    <row r="94" spans="1:19" s="2" customFormat="1" hidden="1" outlineLevel="1" x14ac:dyDescent="0.25">
      <c r="A94" s="2">
        <f t="shared" si="15"/>
        <v>76</v>
      </c>
      <c r="B94" s="4" t="s">
        <v>63</v>
      </c>
      <c r="C94" s="8">
        <v>4.1600000000000005E-2</v>
      </c>
      <c r="D94" s="8">
        <v>4.4500000000000005E-2</v>
      </c>
      <c r="E94" s="8">
        <v>4.1500000000000002E-2</v>
      </c>
      <c r="F94" s="8">
        <v>4.5400000000000003E-2</v>
      </c>
      <c r="G94" s="8">
        <v>4.6400000000000004E-2</v>
      </c>
      <c r="H94" s="8">
        <v>4.58E-2</v>
      </c>
      <c r="I94" s="8">
        <v>4.5200000000000004E-2</v>
      </c>
      <c r="J94" s="8">
        <v>4.6800000000000001E-2</v>
      </c>
      <c r="L94"/>
      <c r="M94"/>
      <c r="N94"/>
      <c r="O94"/>
      <c r="P94"/>
      <c r="Q94"/>
      <c r="R94"/>
      <c r="S94"/>
    </row>
    <row r="95" spans="1:19" s="2" customFormat="1" hidden="1" outlineLevel="1" x14ac:dyDescent="0.25">
      <c r="A95" s="2">
        <f t="shared" si="15"/>
        <v>77</v>
      </c>
      <c r="B95" s="4" t="s">
        <v>64</v>
      </c>
      <c r="C95" s="8">
        <v>3.0399999999999983E-2</v>
      </c>
      <c r="D95" s="8">
        <v>3.6000000000000032E-2</v>
      </c>
      <c r="E95" s="8">
        <v>2.8700000000000059E-2</v>
      </c>
      <c r="F95" s="8">
        <v>3.7700000000000067E-2</v>
      </c>
      <c r="G95" s="8">
        <v>3.9799999999999724E-2</v>
      </c>
      <c r="H95" s="8">
        <v>3.8699999999999957E-2</v>
      </c>
      <c r="I95" s="8">
        <v>3.7499999999999978E-2</v>
      </c>
      <c r="J95" s="8">
        <v>4.0999999999999925E-2</v>
      </c>
      <c r="L95"/>
      <c r="M95"/>
      <c r="N95"/>
      <c r="O95"/>
      <c r="P95"/>
      <c r="Q95"/>
      <c r="R95"/>
      <c r="S95"/>
    </row>
    <row r="96" spans="1:19" s="2" customFormat="1" hidden="1" outlineLevel="1" x14ac:dyDescent="0.25">
      <c r="A96" s="2">
        <f t="shared" si="15"/>
        <v>78</v>
      </c>
      <c r="B96" s="12" t="s">
        <v>68</v>
      </c>
      <c r="C96" s="13">
        <f t="shared" ref="C96:J96" si="16">SUM(C76:C95)</f>
        <v>1</v>
      </c>
      <c r="D96" s="13">
        <f t="shared" si="16"/>
        <v>1</v>
      </c>
      <c r="E96" s="13">
        <f t="shared" si="16"/>
        <v>1</v>
      </c>
      <c r="F96" s="13">
        <f t="shared" si="16"/>
        <v>1</v>
      </c>
      <c r="G96" s="13">
        <f t="shared" si="16"/>
        <v>1</v>
      </c>
      <c r="H96" s="13">
        <f t="shared" si="16"/>
        <v>1</v>
      </c>
      <c r="I96" s="13">
        <f t="shared" si="16"/>
        <v>1</v>
      </c>
      <c r="J96" s="13">
        <f t="shared" si="16"/>
        <v>1</v>
      </c>
      <c r="L96"/>
      <c r="M96"/>
      <c r="N96"/>
      <c r="O96"/>
      <c r="P96"/>
      <c r="Q96"/>
      <c r="R96"/>
      <c r="S96"/>
    </row>
    <row r="97" spans="1:19" s="2" customFormat="1" x14ac:dyDescent="0.25">
      <c r="A97" s="2">
        <f t="shared" si="15"/>
        <v>79</v>
      </c>
      <c r="B97" s="10" t="s">
        <v>67</v>
      </c>
      <c r="C97" s="11">
        <f>SUMPRODUCT('BOM &amp; cycles'!$E$3:$E$22,C76:C95)</f>
        <v>0.56405525559440395</v>
      </c>
      <c r="D97" s="11">
        <f>SUMPRODUCT('BOM &amp; cycles'!$E$3:$E$22,D76:D95)</f>
        <v>0.53819976597500729</v>
      </c>
      <c r="E97" s="11">
        <f>SUMPRODUCT('BOM &amp; cycles'!$E$3:$E$22,E76:E95)</f>
        <v>0.54159680792441756</v>
      </c>
      <c r="F97" s="11">
        <f>SUMPRODUCT('BOM &amp; cycles'!$E$3:$E$22,F76:F95)</f>
        <v>0.52976997638466283</v>
      </c>
      <c r="G97" s="11">
        <f>SUMPRODUCT('BOM &amp; cycles'!$E$3:$E$22,G76:G95)</f>
        <v>0.51913764004851648</v>
      </c>
      <c r="H97" s="11">
        <f>SUMPRODUCT('BOM &amp; cycles'!$E$3:$E$22,H76:H95)</f>
        <v>0.52605304810371911</v>
      </c>
      <c r="I97" s="11">
        <f>SUMPRODUCT('BOM &amp; cycles'!$E$3:$E$22,I76:I95)</f>
        <v>0.53154432581553246</v>
      </c>
      <c r="J97" s="11">
        <f>SUMPRODUCT('BOM &amp; cycles'!$E$3:$E$22,J76:J95)</f>
        <v>0.51569584907667265</v>
      </c>
      <c r="L97"/>
      <c r="M97"/>
      <c r="N97"/>
      <c r="O97"/>
      <c r="P97"/>
      <c r="Q97"/>
      <c r="R97"/>
      <c r="S97"/>
    </row>
    <row r="98" spans="1:19" s="2" customFormat="1" x14ac:dyDescent="0.25">
      <c r="A98" s="2">
        <f t="shared" si="15"/>
        <v>80</v>
      </c>
      <c r="B98" s="10" t="s">
        <v>70</v>
      </c>
      <c r="C98" s="11">
        <f>SUMPRODUCT('BOM &amp; cycles'!$F$3:$F$22,C76:C95)</f>
        <v>2.936400315725872E-2</v>
      </c>
      <c r="D98" s="11">
        <f>SUMPRODUCT('BOM &amp; cycles'!$F$3:$F$22,D76:D95)</f>
        <v>2.9162461764977051E-2</v>
      </c>
      <c r="E98" s="11">
        <f>SUMPRODUCT('BOM &amp; cycles'!$F$3:$F$22,E76:E95)</f>
        <v>2.9742212725874208E-2</v>
      </c>
      <c r="F98" s="11">
        <f>SUMPRODUCT('BOM &amp; cycles'!$F$3:$F$22,F76:F95)</f>
        <v>2.9302956251809245E-2</v>
      </c>
      <c r="G98" s="11">
        <f>SUMPRODUCT('BOM &amp; cycles'!$F$3:$F$22,G76:G95)</f>
        <v>2.9396563186563692E-2</v>
      </c>
      <c r="H98" s="11">
        <f>SUMPRODUCT('BOM &amp; cycles'!$F$3:$F$22,H76:H95)</f>
        <v>2.9198803623879728E-2</v>
      </c>
      <c r="I98" s="11">
        <f>SUMPRODUCT('BOM &amp; cycles'!$F$3:$F$22,I76:I95)</f>
        <v>2.9283923949659008E-2</v>
      </c>
      <c r="J98" s="11">
        <f>SUMPRODUCT('BOM &amp; cycles'!$F$3:$F$22,J76:J95)</f>
        <v>2.9438955180052274E-2</v>
      </c>
      <c r="L98"/>
      <c r="M98"/>
      <c r="N98"/>
      <c r="O98"/>
      <c r="P98"/>
      <c r="Q98"/>
      <c r="R98"/>
      <c r="S98"/>
    </row>
    <row r="99" spans="1:19" s="2" customFormat="1" x14ac:dyDescent="0.25">
      <c r="A99" s="2">
        <f t="shared" si="15"/>
        <v>81</v>
      </c>
      <c r="B99" s="10" t="s">
        <v>71</v>
      </c>
      <c r="C99" s="11">
        <f>SUMPRODUCT('BOM &amp; cycles'!$G$3:$G$22,C76:C95)</f>
        <v>0.40658074124833726</v>
      </c>
      <c r="D99" s="11">
        <f>SUMPRODUCT('BOM &amp; cycles'!$G$3:$G$22,D76:D95)</f>
        <v>0.4326377722600156</v>
      </c>
      <c r="E99" s="11">
        <f>SUMPRODUCT('BOM &amp; cycles'!$G$3:$G$22,E76:E95)</f>
        <v>0.4286609793497082</v>
      </c>
      <c r="F99" s="11">
        <f>SUMPRODUCT('BOM &amp; cycles'!$G$3:$G$22,F76:F95)</f>
        <v>0.44092706736352777</v>
      </c>
      <c r="G99" s="11">
        <f>SUMPRODUCT('BOM &amp; cycles'!$G$3:$G$22,G76:G95)</f>
        <v>0.45146579676491949</v>
      </c>
      <c r="H99" s="11">
        <f>SUMPRODUCT('BOM &amp; cycles'!$G$3:$G$22,H76:H95)</f>
        <v>0.44474814827240111</v>
      </c>
      <c r="I99" s="11">
        <f>SUMPRODUCT('BOM &amp; cycles'!$G$3:$G$22,I76:I95)</f>
        <v>0.43917175023480848</v>
      </c>
      <c r="J99" s="11">
        <f>SUMPRODUCT('BOM &amp; cycles'!$G$3:$G$22,J76:J95)</f>
        <v>0.45486519574327489</v>
      </c>
      <c r="L99"/>
      <c r="M99"/>
      <c r="N99"/>
      <c r="O99"/>
      <c r="P99"/>
      <c r="Q99"/>
      <c r="R99"/>
      <c r="S99"/>
    </row>
    <row r="100" spans="1:19" x14ac:dyDescent="0.25">
      <c r="A100" s="2">
        <f t="shared" si="15"/>
        <v>82</v>
      </c>
      <c r="B100" s="36" t="s">
        <v>237</v>
      </c>
      <c r="C100" s="35">
        <v>135.14999999999998</v>
      </c>
      <c r="D100" s="35">
        <v>159.79</v>
      </c>
      <c r="E100" s="35">
        <v>128.75</v>
      </c>
      <c r="F100" s="35">
        <v>167.82</v>
      </c>
      <c r="G100" s="35">
        <v>175.82999999999998</v>
      </c>
      <c r="H100" s="35">
        <v>171.79</v>
      </c>
      <c r="I100" s="35">
        <v>166.76</v>
      </c>
      <c r="J100" s="35">
        <v>182.06</v>
      </c>
    </row>
    <row r="101" spans="1:19" x14ac:dyDescent="0.25">
      <c r="A101" s="2">
        <f t="shared" si="15"/>
        <v>83</v>
      </c>
      <c r="B101" s="36" t="s">
        <v>236</v>
      </c>
      <c r="C101" s="69">
        <f>C100/C97</f>
        <v>239.6041853338966</v>
      </c>
      <c r="D101" s="69">
        <f t="shared" ref="D101" si="17">D100/D97</f>
        <v>296.89719338789206</v>
      </c>
      <c r="E101" s="69">
        <f t="shared" ref="E101" si="18">E100/E97</f>
        <v>237.7229668199368</v>
      </c>
      <c r="F101" s="69">
        <f t="shared" ref="F101" si="19">F100/F97</f>
        <v>316.77899367809187</v>
      </c>
      <c r="G101" s="69">
        <f t="shared" ref="G101" si="20">G100/G97</f>
        <v>338.69630409301016</v>
      </c>
      <c r="H101" s="69">
        <f t="shared" ref="H101" si="21">H100/H97</f>
        <v>326.56402356997478</v>
      </c>
      <c r="I101" s="69">
        <f t="shared" ref="I101" si="22">I100/I97</f>
        <v>313.72736364769793</v>
      </c>
      <c r="J101" s="69">
        <f t="shared" ref="J101" si="23">J100/J97</f>
        <v>353.03755173901288</v>
      </c>
    </row>
    <row r="102" spans="1:19" x14ac:dyDescent="0.25">
      <c r="A102" s="2">
        <f t="shared" si="15"/>
        <v>84</v>
      </c>
    </row>
    <row r="103" spans="1:19" s="2" customFormat="1" x14ac:dyDescent="0.25">
      <c r="A103" s="2">
        <f t="shared" si="15"/>
        <v>85</v>
      </c>
      <c r="B103" s="4" t="s">
        <v>84</v>
      </c>
      <c r="C103"/>
      <c r="D103"/>
      <c r="E103"/>
      <c r="F103"/>
      <c r="G103"/>
      <c r="H103"/>
      <c r="I103"/>
      <c r="J103"/>
      <c r="L103"/>
      <c r="M103"/>
      <c r="N103"/>
      <c r="O103"/>
      <c r="P103"/>
      <c r="Q103"/>
      <c r="R103"/>
      <c r="S103"/>
    </row>
    <row r="104" spans="1:19" s="2" customFormat="1" collapsed="1" x14ac:dyDescent="0.25">
      <c r="A104" s="2">
        <f t="shared" si="15"/>
        <v>86</v>
      </c>
      <c r="B104" s="1" t="s">
        <v>66</v>
      </c>
      <c r="C104" s="1" t="s">
        <v>6</v>
      </c>
      <c r="D104" s="1" t="s">
        <v>10</v>
      </c>
      <c r="E104" s="1" t="s">
        <v>81</v>
      </c>
      <c r="F104" s="1" t="s">
        <v>12</v>
      </c>
      <c r="G104" s="1" t="s">
        <v>13</v>
      </c>
      <c r="H104" s="1" t="s">
        <v>77</v>
      </c>
      <c r="I104" s="1" t="s">
        <v>11</v>
      </c>
      <c r="J104" s="1" t="s">
        <v>14</v>
      </c>
      <c r="L104"/>
      <c r="M104"/>
      <c r="N104"/>
      <c r="O104"/>
      <c r="P104"/>
      <c r="Q104"/>
      <c r="R104"/>
      <c r="S104"/>
    </row>
    <row r="105" spans="1:19" s="2" customFormat="1" hidden="1" outlineLevel="1" x14ac:dyDescent="0.25">
      <c r="A105" s="2">
        <f t="shared" si="15"/>
        <v>87</v>
      </c>
      <c r="B105" s="4" t="s">
        <v>18</v>
      </c>
      <c r="C105" s="8">
        <v>0.2777</v>
      </c>
      <c r="D105" s="8">
        <v>0.2399</v>
      </c>
      <c r="E105" s="8">
        <v>0.24409999999999998</v>
      </c>
      <c r="F105" s="8">
        <v>0.2258</v>
      </c>
      <c r="G105" s="8">
        <v>0.21159999999999998</v>
      </c>
      <c r="H105" s="8">
        <v>0.21939999999999998</v>
      </c>
      <c r="I105" s="8">
        <v>0.22869999999999999</v>
      </c>
      <c r="J105" s="8">
        <v>0.20219999999999999</v>
      </c>
      <c r="L105"/>
      <c r="M105"/>
      <c r="N105"/>
      <c r="O105"/>
      <c r="P105"/>
      <c r="Q105"/>
      <c r="R105"/>
      <c r="S105"/>
    </row>
    <row r="106" spans="1:19" s="2" customFormat="1" hidden="1" outlineLevel="1" x14ac:dyDescent="0.25">
      <c r="A106" s="2">
        <f t="shared" si="15"/>
        <v>88</v>
      </c>
      <c r="B106" s="4" t="s">
        <v>19</v>
      </c>
      <c r="C106" s="8">
        <v>0.11030000000000001</v>
      </c>
      <c r="D106" s="8">
        <v>0.13589999999999999</v>
      </c>
      <c r="E106" s="8">
        <v>0.12619999999999998</v>
      </c>
      <c r="F106" s="8">
        <v>0.14219999999999999</v>
      </c>
      <c r="G106" s="8">
        <v>0.14879999999999999</v>
      </c>
      <c r="H106" s="8">
        <v>0.14609999999999998</v>
      </c>
      <c r="I106" s="8">
        <v>0.14119999999999999</v>
      </c>
      <c r="J106" s="8">
        <v>0.15289999999999998</v>
      </c>
      <c r="L106"/>
      <c r="M106"/>
      <c r="N106"/>
      <c r="O106"/>
      <c r="P106"/>
      <c r="Q106"/>
      <c r="R106"/>
      <c r="S106"/>
    </row>
    <row r="107" spans="1:19" s="2" customFormat="1" hidden="1" outlineLevel="1" x14ac:dyDescent="0.25">
      <c r="A107" s="2">
        <f t="shared" si="15"/>
        <v>89</v>
      </c>
      <c r="B107" s="4" t="s">
        <v>20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L107"/>
      <c r="M107"/>
      <c r="N107"/>
      <c r="O107"/>
      <c r="P107"/>
      <c r="Q107"/>
      <c r="R107"/>
      <c r="S107"/>
    </row>
    <row r="108" spans="1:19" s="2" customFormat="1" hidden="1" outlineLevel="1" x14ac:dyDescent="0.25">
      <c r="A108" s="2">
        <f t="shared" si="15"/>
        <v>90</v>
      </c>
      <c r="B108" s="4" t="s">
        <v>21</v>
      </c>
      <c r="C108" s="8">
        <v>8.0000000000000002E-3</v>
      </c>
      <c r="D108" s="8">
        <v>7.7000000000000002E-3</v>
      </c>
      <c r="E108" s="8">
        <v>7.6E-3</v>
      </c>
      <c r="F108" s="8">
        <v>7.6E-3</v>
      </c>
      <c r="G108" s="8">
        <v>7.4000000000000003E-3</v>
      </c>
      <c r="H108" s="8">
        <v>7.5000000000000006E-3</v>
      </c>
      <c r="I108" s="8">
        <v>7.6E-3</v>
      </c>
      <c r="J108" s="8">
        <v>7.3000000000000001E-3</v>
      </c>
      <c r="L108"/>
      <c r="M108"/>
      <c r="N108"/>
      <c r="O108"/>
      <c r="P108"/>
      <c r="Q108"/>
      <c r="R108"/>
      <c r="S108"/>
    </row>
    <row r="109" spans="1:19" s="2" customFormat="1" hidden="1" outlineLevel="1" x14ac:dyDescent="0.25">
      <c r="A109" s="2">
        <f t="shared" si="15"/>
        <v>91</v>
      </c>
      <c r="B109" s="4" t="s">
        <v>23</v>
      </c>
      <c r="C109" s="8">
        <v>9.0999999999999998E-2</v>
      </c>
      <c r="D109" s="8">
        <v>8.2500000000000004E-2</v>
      </c>
      <c r="E109" s="8">
        <v>9.4700000000000006E-2</v>
      </c>
      <c r="F109" s="8">
        <v>8.2100000000000006E-2</v>
      </c>
      <c r="G109" s="8">
        <v>8.2000000000000003E-2</v>
      </c>
      <c r="H109" s="8">
        <v>8.1700000000000009E-2</v>
      </c>
      <c r="I109" s="8">
        <v>8.2100000000000006E-2</v>
      </c>
      <c r="J109" s="8">
        <v>8.2299999999999998E-2</v>
      </c>
      <c r="L109"/>
      <c r="M109"/>
      <c r="N109"/>
      <c r="O109"/>
      <c r="P109"/>
      <c r="Q109"/>
      <c r="R109"/>
      <c r="S109"/>
    </row>
    <row r="110" spans="1:19" s="2" customFormat="1" hidden="1" outlineLevel="1" x14ac:dyDescent="0.25">
      <c r="A110" s="2">
        <f t="shared" si="15"/>
        <v>92</v>
      </c>
      <c r="B110" s="4" t="s">
        <v>22</v>
      </c>
      <c r="C110" s="8">
        <v>0.12559999999999999</v>
      </c>
      <c r="D110" s="8">
        <v>0.12519999999999998</v>
      </c>
      <c r="E110" s="8">
        <v>0.12909999999999999</v>
      </c>
      <c r="F110" s="8">
        <v>0.12619999999999998</v>
      </c>
      <c r="G110" s="8">
        <v>0.127</v>
      </c>
      <c r="H110" s="8">
        <v>0.12619999999999998</v>
      </c>
      <c r="I110" s="8">
        <v>0.126</v>
      </c>
      <c r="J110" s="8">
        <v>0.1275</v>
      </c>
      <c r="L110"/>
      <c r="M110"/>
      <c r="N110"/>
      <c r="O110"/>
      <c r="P110"/>
      <c r="Q110"/>
      <c r="R110"/>
      <c r="S110"/>
    </row>
    <row r="111" spans="1:19" s="2" customFormat="1" hidden="1" outlineLevel="1" x14ac:dyDescent="0.25">
      <c r="A111" s="2">
        <f t="shared" si="15"/>
        <v>93</v>
      </c>
      <c r="B111" s="4" t="s">
        <v>55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L111"/>
      <c r="M111"/>
      <c r="N111"/>
      <c r="O111"/>
      <c r="P111"/>
      <c r="Q111"/>
      <c r="R111"/>
      <c r="S111"/>
    </row>
    <row r="112" spans="1:19" s="2" customFormat="1" hidden="1" outlineLevel="1" x14ac:dyDescent="0.25">
      <c r="A112" s="2">
        <f t="shared" si="15"/>
        <v>94</v>
      </c>
      <c r="B112" s="4" t="s">
        <v>24</v>
      </c>
      <c r="C112" s="8">
        <v>1.0199999999999999E-2</v>
      </c>
      <c r="D112" s="8">
        <v>9.3999999999999986E-3</v>
      </c>
      <c r="E112" s="8">
        <v>1.0999999999999999E-2</v>
      </c>
      <c r="F112" s="8">
        <v>9.2999999999999992E-3</v>
      </c>
      <c r="G112" s="8">
        <v>9.1999999999999998E-3</v>
      </c>
      <c r="H112" s="8">
        <v>9.1999999999999998E-3</v>
      </c>
      <c r="I112" s="8">
        <v>9.3999999999999986E-3</v>
      </c>
      <c r="J112" s="8">
        <v>9.0999999999999987E-3</v>
      </c>
      <c r="L112"/>
      <c r="M112"/>
      <c r="N112"/>
      <c r="O112"/>
      <c r="P112"/>
      <c r="Q112"/>
      <c r="R112"/>
      <c r="S112"/>
    </row>
    <row r="113" spans="1:19" s="2" customFormat="1" hidden="1" outlineLevel="1" x14ac:dyDescent="0.25">
      <c r="A113" s="2">
        <f t="shared" si="15"/>
        <v>95</v>
      </c>
      <c r="B113" s="4" t="s">
        <v>25</v>
      </c>
      <c r="C113" s="8">
        <v>2.8299999999999999E-2</v>
      </c>
      <c r="D113" s="8">
        <v>2.6200000000000001E-2</v>
      </c>
      <c r="E113" s="8">
        <v>3.0699999999999998E-2</v>
      </c>
      <c r="F113" s="8">
        <v>2.5899999999999999E-2</v>
      </c>
      <c r="G113" s="8">
        <v>2.5599999999999998E-2</v>
      </c>
      <c r="H113" s="8">
        <v>2.5499999999999998E-2</v>
      </c>
      <c r="I113" s="8">
        <v>2.5999999999999999E-2</v>
      </c>
      <c r="J113" s="8">
        <v>2.5399999999999999E-2</v>
      </c>
      <c r="L113"/>
      <c r="M113"/>
      <c r="N113"/>
      <c r="O113"/>
      <c r="P113"/>
      <c r="Q113"/>
      <c r="R113"/>
      <c r="S113"/>
    </row>
    <row r="114" spans="1:19" s="2" customFormat="1" hidden="1" outlineLevel="1" x14ac:dyDescent="0.25">
      <c r="A114" s="2">
        <f t="shared" si="15"/>
        <v>96</v>
      </c>
      <c r="B114" s="4" t="s">
        <v>26</v>
      </c>
      <c r="C114" s="8">
        <v>2.8299999999999999E-2</v>
      </c>
      <c r="D114" s="8">
        <v>2.6200000000000001E-2</v>
      </c>
      <c r="E114" s="8">
        <v>3.0699999999999998E-2</v>
      </c>
      <c r="F114" s="8">
        <v>2.5899999999999999E-2</v>
      </c>
      <c r="G114" s="8">
        <v>2.5599999999999998E-2</v>
      </c>
      <c r="H114" s="8">
        <v>2.5499999999999998E-2</v>
      </c>
      <c r="I114" s="8">
        <v>2.5999999999999999E-2</v>
      </c>
      <c r="J114" s="8">
        <v>2.5399999999999999E-2</v>
      </c>
      <c r="L114"/>
      <c r="M114"/>
      <c r="N114"/>
      <c r="O114"/>
      <c r="P114"/>
      <c r="Q114"/>
      <c r="R114"/>
      <c r="S114"/>
    </row>
    <row r="115" spans="1:19" s="2" customFormat="1" hidden="1" outlineLevel="1" x14ac:dyDescent="0.25">
      <c r="A115" s="2">
        <f t="shared" si="15"/>
        <v>97</v>
      </c>
      <c r="B115" s="4" t="s">
        <v>27</v>
      </c>
      <c r="C115" s="8">
        <v>8.0000000000000004E-4</v>
      </c>
      <c r="D115" s="8">
        <v>8.0000000000000004E-4</v>
      </c>
      <c r="E115" s="8">
        <v>8.0000000000000004E-4</v>
      </c>
      <c r="F115" s="8">
        <v>8.0000000000000004E-4</v>
      </c>
      <c r="G115" s="8">
        <v>8.0000000000000004E-4</v>
      </c>
      <c r="H115" s="8">
        <v>8.0000000000000004E-4</v>
      </c>
      <c r="I115" s="8">
        <v>8.0000000000000004E-4</v>
      </c>
      <c r="J115" s="8">
        <v>8.0000000000000004E-4</v>
      </c>
      <c r="L115"/>
      <c r="M115"/>
      <c r="N115"/>
      <c r="O115"/>
      <c r="P115"/>
      <c r="Q115"/>
      <c r="R115"/>
      <c r="S115"/>
    </row>
    <row r="116" spans="1:19" s="2" customFormat="1" hidden="1" outlineLevel="1" x14ac:dyDescent="0.25">
      <c r="A116" s="2">
        <f t="shared" si="15"/>
        <v>98</v>
      </c>
      <c r="B116" s="4" t="s">
        <v>56</v>
      </c>
      <c r="C116" s="8">
        <v>8.199999999999999E-3</v>
      </c>
      <c r="D116" s="8">
        <v>5.8999999999999999E-3</v>
      </c>
      <c r="E116" s="8">
        <v>8.3999999999999995E-3</v>
      </c>
      <c r="F116" s="8">
        <v>5.5999999999999999E-3</v>
      </c>
      <c r="G116" s="8">
        <v>5.2000000000000006E-3</v>
      </c>
      <c r="H116" s="8">
        <v>5.3E-3</v>
      </c>
      <c r="I116" s="8">
        <v>5.5999999999999999E-3</v>
      </c>
      <c r="J116" s="8">
        <v>5.0000000000000001E-3</v>
      </c>
      <c r="L116"/>
      <c r="M116"/>
      <c r="N116"/>
      <c r="O116"/>
      <c r="P116"/>
      <c r="Q116"/>
      <c r="R116"/>
      <c r="S116"/>
    </row>
    <row r="117" spans="1:19" s="2" customFormat="1" hidden="1" outlineLevel="1" x14ac:dyDescent="0.25">
      <c r="A117" s="2">
        <f t="shared" si="15"/>
        <v>99</v>
      </c>
      <c r="B117" s="4" t="s">
        <v>57</v>
      </c>
      <c r="C117" s="8">
        <v>8.9999999999999993E-3</v>
      </c>
      <c r="D117" s="8">
        <v>9.5999999999999992E-3</v>
      </c>
      <c r="E117" s="8">
        <v>9.1999999999999998E-3</v>
      </c>
      <c r="F117" s="8">
        <v>9.7999999999999997E-3</v>
      </c>
      <c r="G117" s="8">
        <v>0.01</v>
      </c>
      <c r="H117" s="8">
        <v>9.8999999999999991E-3</v>
      </c>
      <c r="I117" s="8">
        <v>9.7999999999999997E-3</v>
      </c>
      <c r="J117" s="8">
        <v>1.01E-2</v>
      </c>
      <c r="L117"/>
      <c r="M117"/>
      <c r="N117"/>
      <c r="O117"/>
      <c r="P117"/>
      <c r="Q117"/>
      <c r="R117"/>
      <c r="S117"/>
    </row>
    <row r="118" spans="1:19" s="2" customFormat="1" hidden="1" outlineLevel="1" x14ac:dyDescent="0.25">
      <c r="A118" s="2">
        <f t="shared" si="15"/>
        <v>100</v>
      </c>
      <c r="B118" s="4" t="s">
        <v>58</v>
      </c>
      <c r="C118" s="8">
        <v>1.6000000000000001E-3</v>
      </c>
      <c r="D118" s="8">
        <v>1.6000000000000001E-3</v>
      </c>
      <c r="E118" s="8">
        <v>1.7000000000000001E-3</v>
      </c>
      <c r="F118" s="8">
        <v>1.6000000000000001E-3</v>
      </c>
      <c r="G118" s="8">
        <v>1.6000000000000001E-3</v>
      </c>
      <c r="H118" s="8">
        <v>1.6000000000000001E-3</v>
      </c>
      <c r="I118" s="8">
        <v>1.6000000000000001E-3</v>
      </c>
      <c r="J118" s="8">
        <v>1.6000000000000001E-3</v>
      </c>
      <c r="L118"/>
      <c r="M118"/>
      <c r="N118"/>
      <c r="O118"/>
      <c r="P118"/>
      <c r="Q118"/>
      <c r="R118"/>
      <c r="S118"/>
    </row>
    <row r="119" spans="1:19" s="2" customFormat="1" hidden="1" outlineLevel="1" x14ac:dyDescent="0.25">
      <c r="A119" s="2">
        <f t="shared" si="15"/>
        <v>101</v>
      </c>
      <c r="B119" s="4" t="s">
        <v>59</v>
      </c>
      <c r="C119" s="8">
        <v>0.17359999999999998</v>
      </c>
      <c r="D119" s="8">
        <v>0.1905</v>
      </c>
      <c r="E119" s="8">
        <v>0.1757</v>
      </c>
      <c r="F119" s="8">
        <v>0.19549999999999998</v>
      </c>
      <c r="G119" s="8">
        <v>0.20039999999999999</v>
      </c>
      <c r="H119" s="8">
        <v>0.19839999999999999</v>
      </c>
      <c r="I119" s="8">
        <v>0.19419999999999998</v>
      </c>
      <c r="J119" s="8">
        <v>0.20379999999999998</v>
      </c>
      <c r="L119"/>
      <c r="M119"/>
      <c r="N119"/>
      <c r="O119"/>
      <c r="P119"/>
      <c r="Q119"/>
      <c r="R119"/>
      <c r="S119"/>
    </row>
    <row r="120" spans="1:19" s="2" customFormat="1" hidden="1" outlineLevel="1" x14ac:dyDescent="0.25">
      <c r="A120" s="2">
        <f t="shared" si="15"/>
        <v>102</v>
      </c>
      <c r="B120" s="4" t="s">
        <v>60</v>
      </c>
      <c r="C120" s="8">
        <v>6.5299999999999997E-2</v>
      </c>
      <c r="D120" s="8">
        <v>6.9699999999999998E-2</v>
      </c>
      <c r="E120" s="8">
        <v>6.6900000000000001E-2</v>
      </c>
      <c r="F120" s="8">
        <v>7.1000000000000008E-2</v>
      </c>
      <c r="G120" s="8">
        <v>7.22E-2</v>
      </c>
      <c r="H120" s="8">
        <v>7.1599999999999997E-2</v>
      </c>
      <c r="I120" s="8">
        <v>7.0699999999999999E-2</v>
      </c>
      <c r="J120" s="8">
        <v>7.3000000000000009E-2</v>
      </c>
      <c r="L120"/>
      <c r="M120"/>
      <c r="N120"/>
      <c r="O120"/>
      <c r="P120"/>
      <c r="Q120"/>
      <c r="R120"/>
      <c r="S120"/>
    </row>
    <row r="121" spans="1:19" s="2" customFormat="1" hidden="1" outlineLevel="1" x14ac:dyDescent="0.25">
      <c r="A121" s="2">
        <f t="shared" si="15"/>
        <v>103</v>
      </c>
      <c r="B121" s="4" t="s">
        <v>61</v>
      </c>
      <c r="C121" s="8">
        <v>5.0000000000000001E-4</v>
      </c>
      <c r="D121" s="8">
        <v>6.0000000000000006E-4</v>
      </c>
      <c r="E121" s="8">
        <v>5.0000000000000001E-4</v>
      </c>
      <c r="F121" s="8">
        <v>6.0000000000000006E-4</v>
      </c>
      <c r="G121" s="8">
        <v>6.0000000000000006E-4</v>
      </c>
      <c r="H121" s="8">
        <v>6.0000000000000006E-4</v>
      </c>
      <c r="I121" s="8">
        <v>6.0000000000000006E-4</v>
      </c>
      <c r="J121" s="8">
        <v>6.9999999999999999E-4</v>
      </c>
      <c r="L121"/>
      <c r="M121"/>
      <c r="N121"/>
      <c r="O121"/>
      <c r="P121"/>
      <c r="Q121"/>
      <c r="R121"/>
      <c r="S121"/>
    </row>
    <row r="122" spans="1:19" s="2" customFormat="1" hidden="1" outlineLevel="1" x14ac:dyDescent="0.25">
      <c r="A122" s="2">
        <f t="shared" si="15"/>
        <v>104</v>
      </c>
      <c r="B122" s="4" t="s">
        <v>62</v>
      </c>
      <c r="C122" s="8">
        <v>3.5999999999999999E-3</v>
      </c>
      <c r="D122" s="8">
        <v>4.0000000000000001E-3</v>
      </c>
      <c r="E122" s="8">
        <v>3.6999999999999997E-3</v>
      </c>
      <c r="F122" s="8">
        <v>4.1000000000000003E-3</v>
      </c>
      <c r="G122" s="8">
        <v>4.1000000000000003E-3</v>
      </c>
      <c r="H122" s="8">
        <v>4.1000000000000003E-3</v>
      </c>
      <c r="I122" s="8">
        <v>4.0000000000000001E-3</v>
      </c>
      <c r="J122" s="8">
        <v>4.2000000000000006E-3</v>
      </c>
      <c r="L122"/>
      <c r="M122"/>
      <c r="N122"/>
      <c r="O122"/>
      <c r="P122"/>
      <c r="Q122"/>
      <c r="R122"/>
      <c r="S122"/>
    </row>
    <row r="123" spans="1:19" s="2" customFormat="1" hidden="1" outlineLevel="1" x14ac:dyDescent="0.25">
      <c r="A123" s="2">
        <f t="shared" si="15"/>
        <v>105</v>
      </c>
      <c r="B123" s="4" t="s">
        <v>63</v>
      </c>
      <c r="C123" s="8">
        <v>4.2500000000000003E-2</v>
      </c>
      <c r="D123" s="8">
        <v>4.53E-2</v>
      </c>
      <c r="E123" s="8">
        <v>4.3500000000000004E-2</v>
      </c>
      <c r="F123" s="8">
        <v>4.6100000000000002E-2</v>
      </c>
      <c r="G123" s="8">
        <v>4.6900000000000004E-2</v>
      </c>
      <c r="H123" s="8">
        <v>4.6400000000000004E-2</v>
      </c>
      <c r="I123" s="8">
        <v>4.6000000000000006E-2</v>
      </c>
      <c r="J123" s="8">
        <v>4.7400000000000005E-2</v>
      </c>
      <c r="L123"/>
      <c r="M123"/>
      <c r="N123"/>
      <c r="O123"/>
      <c r="P123"/>
      <c r="Q123"/>
      <c r="R123"/>
      <c r="S123"/>
    </row>
    <row r="124" spans="1:19" s="2" customFormat="1" hidden="1" outlineLevel="1" x14ac:dyDescent="0.25">
      <c r="A124" s="2">
        <f t="shared" si="15"/>
        <v>106</v>
      </c>
      <c r="B124" s="4" t="s">
        <v>64</v>
      </c>
      <c r="C124" s="8">
        <v>1.5499999999999958E-2</v>
      </c>
      <c r="D124" s="8">
        <v>1.8999999999999906E-2</v>
      </c>
      <c r="E124" s="8">
        <v>1.5500000000000291E-2</v>
      </c>
      <c r="F124" s="8">
        <v>1.9899999999999696E-2</v>
      </c>
      <c r="G124" s="8">
        <v>2.0999999999999908E-2</v>
      </c>
      <c r="H124" s="8">
        <v>2.0199999999999996E-2</v>
      </c>
      <c r="I124" s="8">
        <v>1.9699999999999718E-2</v>
      </c>
      <c r="J124" s="8">
        <v>2.1300000000000097E-2</v>
      </c>
      <c r="L124"/>
      <c r="M124"/>
      <c r="N124"/>
      <c r="O124"/>
      <c r="P124"/>
      <c r="Q124"/>
      <c r="R124"/>
      <c r="S124"/>
    </row>
    <row r="125" spans="1:19" s="2" customFormat="1" hidden="1" outlineLevel="1" x14ac:dyDescent="0.25">
      <c r="A125" s="2">
        <f t="shared" si="15"/>
        <v>107</v>
      </c>
      <c r="B125" s="12" t="s">
        <v>68</v>
      </c>
      <c r="C125" s="13">
        <f t="shared" ref="C125:J125" si="24">SUM(C105:C124)</f>
        <v>1</v>
      </c>
      <c r="D125" s="13">
        <f t="shared" si="24"/>
        <v>1</v>
      </c>
      <c r="E125" s="13">
        <f t="shared" si="24"/>
        <v>1</v>
      </c>
      <c r="F125" s="13">
        <f t="shared" si="24"/>
        <v>1</v>
      </c>
      <c r="G125" s="13">
        <f t="shared" si="24"/>
        <v>1</v>
      </c>
      <c r="H125" s="13">
        <f t="shared" si="24"/>
        <v>1</v>
      </c>
      <c r="I125" s="13">
        <f t="shared" si="24"/>
        <v>1</v>
      </c>
      <c r="J125" s="13">
        <f t="shared" si="24"/>
        <v>1</v>
      </c>
      <c r="L125"/>
      <c r="M125"/>
      <c r="N125"/>
      <c r="O125"/>
      <c r="P125"/>
      <c r="Q125"/>
      <c r="R125"/>
      <c r="S125"/>
    </row>
    <row r="126" spans="1:19" s="2" customFormat="1" x14ac:dyDescent="0.25">
      <c r="A126" s="2">
        <f t="shared" si="15"/>
        <v>108</v>
      </c>
      <c r="B126" s="10" t="s">
        <v>67</v>
      </c>
      <c r="C126" s="11">
        <f>SUMPRODUCT('BOM &amp; cycles'!$E$3:$E$22,C105:C124)</f>
        <v>0.55161644347252492</v>
      </c>
      <c r="D126" s="11">
        <f>SUMPRODUCT('BOM &amp; cycles'!$E$3:$E$22,D105:D124)</f>
        <v>0.52696022150561761</v>
      </c>
      <c r="E126" s="11">
        <f>SUMPRODUCT('BOM &amp; cycles'!$E$3:$E$22,E105:E124)</f>
        <v>0.54254410797307706</v>
      </c>
      <c r="F126" s="11">
        <f>SUMPRODUCT('BOM &amp; cycles'!$E$3:$E$22,F105:F124)</f>
        <v>0.51811921841200437</v>
      </c>
      <c r="G126" s="11">
        <f>SUMPRODUCT('BOM &amp; cycles'!$E$3:$E$22,G105:G124)</f>
        <v>0.50961066271597721</v>
      </c>
      <c r="H126" s="11">
        <f>SUMPRODUCT('BOM &amp; cycles'!$E$3:$E$22,H105:H124)</f>
        <v>0.5142842242686162</v>
      </c>
      <c r="I126" s="11">
        <f>SUMPRODUCT('BOM &amp; cycles'!$E$3:$E$22,I105:I124)</f>
        <v>0.52030042020204947</v>
      </c>
      <c r="J126" s="11">
        <f>SUMPRODUCT('BOM &amp; cycles'!$E$3:$E$22,J105:J124)</f>
        <v>0.5040089038484058</v>
      </c>
      <c r="L126"/>
      <c r="M126"/>
      <c r="N126"/>
      <c r="O126"/>
      <c r="P126"/>
      <c r="Q126"/>
      <c r="R126"/>
      <c r="S126"/>
    </row>
    <row r="127" spans="1:19" s="2" customFormat="1" x14ac:dyDescent="0.25">
      <c r="A127" s="2">
        <f t="shared" si="15"/>
        <v>109</v>
      </c>
      <c r="B127" s="10" t="s">
        <v>70</v>
      </c>
      <c r="C127" s="11">
        <f>SUMPRODUCT('BOM &amp; cycles'!$F$3:$F$22,C105:C124)</f>
        <v>3.02747397958915E-2</v>
      </c>
      <c r="D127" s="11">
        <f>SUMPRODUCT('BOM &amp; cycles'!$F$3:$F$22,D105:D124)</f>
        <v>2.9936863136564684E-2</v>
      </c>
      <c r="E127" s="11">
        <f>SUMPRODUCT('BOM &amp; cycles'!$F$3:$F$22,E105:E124)</f>
        <v>3.1152621117804438E-2</v>
      </c>
      <c r="F127" s="11">
        <f>SUMPRODUCT('BOM &amp; cycles'!$F$3:$F$22,F105:F124)</f>
        <v>3.0144832053621614E-2</v>
      </c>
      <c r="G127" s="11">
        <f>SUMPRODUCT('BOM &amp; cycles'!$F$3:$F$22,G105:G124)</f>
        <v>3.0317677348970493E-2</v>
      </c>
      <c r="H127" s="11">
        <f>SUMPRODUCT('BOM &amp; cycles'!$F$3:$F$22,H105:H124)</f>
        <v>3.0133068123251911E-2</v>
      </c>
      <c r="I127" s="11">
        <f>SUMPRODUCT('BOM &amp; cycles'!$F$3:$F$22,I105:I124)</f>
        <v>3.0100885484136291E-2</v>
      </c>
      <c r="J127" s="11">
        <f>SUMPRODUCT('BOM &amp; cycles'!$F$3:$F$22,J105:J124)</f>
        <v>3.0436366720461086E-2</v>
      </c>
      <c r="L127"/>
      <c r="M127"/>
      <c r="N127"/>
      <c r="O127"/>
      <c r="P127"/>
      <c r="Q127"/>
      <c r="R127"/>
      <c r="S127"/>
    </row>
    <row r="128" spans="1:19" s="2" customFormat="1" x14ac:dyDescent="0.25">
      <c r="A128" s="2">
        <f t="shared" si="15"/>
        <v>110</v>
      </c>
      <c r="B128" s="10" t="s">
        <v>71</v>
      </c>
      <c r="C128" s="11">
        <f>SUMPRODUCT('BOM &amp; cycles'!$G$3:$G$22,C105:C124)</f>
        <v>0.41810881673158351</v>
      </c>
      <c r="D128" s="11">
        <f>SUMPRODUCT('BOM &amp; cycles'!$G$3:$G$22,D105:D124)</f>
        <v>0.44310291535781765</v>
      </c>
      <c r="E128" s="11">
        <f>SUMPRODUCT('BOM &amp; cycles'!$G$3:$G$22,E105:E124)</f>
        <v>0.42630327090911868</v>
      </c>
      <c r="F128" s="11">
        <f>SUMPRODUCT('BOM &amp; cycles'!$G$3:$G$22,F105:F124)</f>
        <v>0.45173594953437368</v>
      </c>
      <c r="G128" s="11">
        <f>SUMPRODUCT('BOM &amp; cycles'!$G$3:$G$22,G105:G124)</f>
        <v>0.46007165993505211</v>
      </c>
      <c r="H128" s="11">
        <f>SUMPRODUCT('BOM &amp; cycles'!$G$3:$G$22,H105:H124)</f>
        <v>0.4555827076081318</v>
      </c>
      <c r="I128" s="11">
        <f>SUMPRODUCT('BOM &amp; cycles'!$G$3:$G$22,I105:I124)</f>
        <v>0.44959869431381405</v>
      </c>
      <c r="J128" s="11">
        <f>SUMPRODUCT('BOM &amp; cycles'!$G$3:$G$22,J105:J124)</f>
        <v>0.46555472943113319</v>
      </c>
      <c r="L128"/>
      <c r="M128"/>
      <c r="N128"/>
      <c r="O128"/>
      <c r="P128"/>
      <c r="Q128"/>
      <c r="R128"/>
      <c r="S128"/>
    </row>
    <row r="129" spans="1:19" x14ac:dyDescent="0.25">
      <c r="A129" s="2">
        <f t="shared" si="15"/>
        <v>111</v>
      </c>
      <c r="B129" s="36" t="s">
        <v>237</v>
      </c>
      <c r="C129" s="35">
        <v>129.20999999999998</v>
      </c>
      <c r="D129" s="35">
        <v>153.41</v>
      </c>
      <c r="E129" s="35">
        <v>126.34</v>
      </c>
      <c r="F129" s="35">
        <v>160.54999999999998</v>
      </c>
      <c r="G129" s="35">
        <v>168.38</v>
      </c>
      <c r="H129" s="35">
        <v>163.84</v>
      </c>
      <c r="I129" s="35">
        <v>159.66999999999999</v>
      </c>
      <c r="J129" s="35">
        <v>172.92</v>
      </c>
    </row>
    <row r="130" spans="1:19" x14ac:dyDescent="0.25">
      <c r="A130" s="2">
        <f t="shared" si="15"/>
        <v>112</v>
      </c>
      <c r="B130" s="36" t="s">
        <v>236</v>
      </c>
      <c r="C130" s="69">
        <f>C129/C126</f>
        <v>234.23884753434785</v>
      </c>
      <c r="D130" s="69">
        <f t="shared" ref="D130" si="25">D129/D126</f>
        <v>291.12254348474494</v>
      </c>
      <c r="E130" s="69">
        <f t="shared" ref="E130" si="26">E129/E126</f>
        <v>232.86585946348427</v>
      </c>
      <c r="F130" s="69">
        <f t="shared" ref="F130" si="27">F129/F126</f>
        <v>309.8707677589598</v>
      </c>
      <c r="G130" s="69">
        <f t="shared" ref="G130" si="28">G129/G126</f>
        <v>330.40909917900149</v>
      </c>
      <c r="H130" s="69">
        <f t="shared" ref="H130" si="29">H129/H126</f>
        <v>318.57870078166076</v>
      </c>
      <c r="I130" s="69">
        <f t="shared" ref="I130" si="30">I129/I126</f>
        <v>306.88039794008807</v>
      </c>
      <c r="J130" s="69">
        <f t="shared" ref="J130" si="31">J129/J126</f>
        <v>343.08917695630691</v>
      </c>
    </row>
    <row r="131" spans="1:19" x14ac:dyDescent="0.25">
      <c r="A131" s="2">
        <f t="shared" si="15"/>
        <v>113</v>
      </c>
    </row>
    <row r="132" spans="1:19" s="2" customFormat="1" x14ac:dyDescent="0.25">
      <c r="A132" s="2">
        <f t="shared" si="15"/>
        <v>114</v>
      </c>
      <c r="B132" s="4" t="s">
        <v>86</v>
      </c>
      <c r="C132"/>
      <c r="D132"/>
      <c r="E132"/>
      <c r="F132"/>
      <c r="G132"/>
      <c r="H132"/>
      <c r="I132"/>
      <c r="J132"/>
      <c r="L132"/>
      <c r="M132"/>
      <c r="N132"/>
      <c r="O132"/>
      <c r="P132"/>
      <c r="Q132"/>
      <c r="R132"/>
      <c r="S132"/>
    </row>
    <row r="133" spans="1:19" s="2" customFormat="1" collapsed="1" x14ac:dyDescent="0.25">
      <c r="A133" s="2">
        <f t="shared" si="15"/>
        <v>115</v>
      </c>
      <c r="B133" s="1" t="s">
        <v>66</v>
      </c>
      <c r="C133" s="1" t="s">
        <v>6</v>
      </c>
      <c r="D133" s="1" t="s">
        <v>10</v>
      </c>
      <c r="E133" s="1" t="s">
        <v>81</v>
      </c>
      <c r="F133" s="1" t="s">
        <v>12</v>
      </c>
      <c r="G133" s="1" t="s">
        <v>13</v>
      </c>
      <c r="H133" s="1" t="s">
        <v>77</v>
      </c>
      <c r="I133" s="1" t="s">
        <v>11</v>
      </c>
      <c r="J133" s="1" t="s">
        <v>14</v>
      </c>
      <c r="L133"/>
      <c r="M133"/>
      <c r="N133"/>
      <c r="O133"/>
      <c r="P133"/>
      <c r="Q133"/>
      <c r="R133"/>
      <c r="S133"/>
    </row>
    <row r="134" spans="1:19" s="2" customFormat="1" hidden="1" outlineLevel="1" x14ac:dyDescent="0.25">
      <c r="A134" s="2">
        <f t="shared" si="15"/>
        <v>116</v>
      </c>
      <c r="B134" s="4" t="s">
        <v>18</v>
      </c>
      <c r="C134" s="8">
        <v>0.2944</v>
      </c>
      <c r="D134" s="8">
        <v>0.25700000000000001</v>
      </c>
      <c r="E134" s="8">
        <v>0.25900000000000001</v>
      </c>
      <c r="F134" s="8">
        <v>0.24329999999999999</v>
      </c>
      <c r="G134" s="8">
        <v>0.2286</v>
      </c>
      <c r="H134" s="8">
        <v>0.23669999999999999</v>
      </c>
      <c r="I134" s="8">
        <v>0.24629999999999999</v>
      </c>
      <c r="J134" s="8">
        <v>0.21879999999999999</v>
      </c>
      <c r="L134"/>
      <c r="M134"/>
      <c r="N134"/>
      <c r="O134"/>
      <c r="P134"/>
      <c r="Q134"/>
      <c r="R134"/>
      <c r="S134"/>
    </row>
    <row r="135" spans="1:19" s="2" customFormat="1" hidden="1" outlineLevel="1" x14ac:dyDescent="0.25">
      <c r="A135" s="2">
        <f t="shared" si="15"/>
        <v>117</v>
      </c>
      <c r="B135" s="4" t="s">
        <v>19</v>
      </c>
      <c r="C135" s="8">
        <v>0.11650000000000001</v>
      </c>
      <c r="D135" s="8">
        <v>0.1452</v>
      </c>
      <c r="E135" s="8">
        <v>0.13349999999999998</v>
      </c>
      <c r="F135" s="8">
        <v>0.1527</v>
      </c>
      <c r="G135" s="8">
        <v>0.16009999999999999</v>
      </c>
      <c r="H135" s="8">
        <v>0.15709999999999999</v>
      </c>
      <c r="I135" s="8">
        <v>0.15159999999999998</v>
      </c>
      <c r="J135" s="8">
        <v>0.16489999999999999</v>
      </c>
      <c r="L135"/>
      <c r="M135"/>
      <c r="N135"/>
      <c r="O135"/>
      <c r="P135"/>
      <c r="Q135"/>
      <c r="R135"/>
      <c r="S135"/>
    </row>
    <row r="136" spans="1:19" s="2" customFormat="1" hidden="1" outlineLevel="1" x14ac:dyDescent="0.25">
      <c r="A136" s="2">
        <f t="shared" si="15"/>
        <v>118</v>
      </c>
      <c r="B136" s="4" t="s">
        <v>20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L136"/>
      <c r="M136"/>
      <c r="N136"/>
      <c r="O136"/>
      <c r="P136"/>
      <c r="Q136"/>
      <c r="R136"/>
      <c r="S136"/>
    </row>
    <row r="137" spans="1:19" s="2" customFormat="1" hidden="1" outlineLevel="1" x14ac:dyDescent="0.25">
      <c r="A137" s="2">
        <f t="shared" si="15"/>
        <v>119</v>
      </c>
      <c r="B137" s="4" t="s">
        <v>21</v>
      </c>
      <c r="C137" s="8">
        <v>8.3999999999999995E-3</v>
      </c>
      <c r="D137" s="8">
        <v>8.3000000000000001E-3</v>
      </c>
      <c r="E137" s="8">
        <v>8.0999999999999996E-3</v>
      </c>
      <c r="F137" s="8">
        <v>8.0999999999999996E-3</v>
      </c>
      <c r="G137" s="8">
        <v>8.0000000000000002E-3</v>
      </c>
      <c r="H137" s="8">
        <v>8.0999999999999996E-3</v>
      </c>
      <c r="I137" s="8">
        <v>8.199999999999999E-3</v>
      </c>
      <c r="J137" s="8">
        <v>7.899999999999999E-3</v>
      </c>
      <c r="L137"/>
      <c r="M137"/>
      <c r="N137"/>
      <c r="O137"/>
      <c r="P137"/>
      <c r="Q137"/>
      <c r="R137"/>
      <c r="S137"/>
    </row>
    <row r="138" spans="1:19" s="2" customFormat="1" hidden="1" outlineLevel="1" x14ac:dyDescent="0.25">
      <c r="A138" s="2">
        <f t="shared" si="15"/>
        <v>120</v>
      </c>
      <c r="B138" s="4" t="s">
        <v>23</v>
      </c>
      <c r="C138" s="8">
        <v>9.06E-2</v>
      </c>
      <c r="D138" s="8">
        <v>7.9100000000000004E-2</v>
      </c>
      <c r="E138" s="8">
        <v>9.4200000000000006E-2</v>
      </c>
      <c r="F138" s="8">
        <v>7.7499999999999999E-2</v>
      </c>
      <c r="G138" s="8">
        <v>7.6899999999999996E-2</v>
      </c>
      <c r="H138" s="8">
        <v>7.6700000000000004E-2</v>
      </c>
      <c r="I138" s="8">
        <v>7.7700000000000005E-2</v>
      </c>
      <c r="J138" s="8">
        <v>7.6700000000000004E-2</v>
      </c>
      <c r="L138"/>
      <c r="M138"/>
      <c r="N138"/>
      <c r="O138"/>
      <c r="P138"/>
      <c r="Q138"/>
      <c r="R138"/>
      <c r="S138"/>
    </row>
    <row r="139" spans="1:19" s="2" customFormat="1" hidden="1" outlineLevel="1" x14ac:dyDescent="0.25">
      <c r="A139" s="2">
        <f t="shared" si="15"/>
        <v>121</v>
      </c>
      <c r="B139" s="4" t="s">
        <v>22</v>
      </c>
      <c r="C139" s="8">
        <v>0.1236</v>
      </c>
      <c r="D139" s="8">
        <v>0.1227</v>
      </c>
      <c r="E139" s="8">
        <v>0.12739999999999999</v>
      </c>
      <c r="F139" s="8">
        <v>0.12340000000000001</v>
      </c>
      <c r="G139" s="8">
        <v>0.12430000000000001</v>
      </c>
      <c r="H139" s="8">
        <v>0.12340000000000001</v>
      </c>
      <c r="I139" s="8">
        <v>0.1232</v>
      </c>
      <c r="J139" s="8">
        <v>0.1249</v>
      </c>
      <c r="L139"/>
      <c r="M139"/>
      <c r="N139"/>
      <c r="O139"/>
      <c r="P139"/>
      <c r="Q139"/>
      <c r="R139"/>
      <c r="S139"/>
    </row>
    <row r="140" spans="1:19" s="2" customFormat="1" hidden="1" outlineLevel="1" x14ac:dyDescent="0.25">
      <c r="A140" s="2">
        <f t="shared" si="15"/>
        <v>122</v>
      </c>
      <c r="B140" s="4" t="s">
        <v>55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L140"/>
      <c r="M140"/>
      <c r="N140"/>
      <c r="O140"/>
      <c r="P140"/>
      <c r="Q140"/>
      <c r="R140"/>
      <c r="S140"/>
    </row>
    <row r="141" spans="1:19" s="2" customFormat="1" hidden="1" outlineLevel="1" x14ac:dyDescent="0.25">
      <c r="A141" s="2">
        <f t="shared" si="15"/>
        <v>123</v>
      </c>
      <c r="B141" s="4" t="s">
        <v>24</v>
      </c>
      <c r="C141" s="8">
        <v>1.0799999999999999E-2</v>
      </c>
      <c r="D141" s="8">
        <v>1.01E-2</v>
      </c>
      <c r="E141" s="8">
        <v>1.18E-2</v>
      </c>
      <c r="F141" s="8">
        <v>0.01</v>
      </c>
      <c r="G141" s="8">
        <v>9.8999999999999991E-3</v>
      </c>
      <c r="H141" s="8">
        <v>9.8999999999999991E-3</v>
      </c>
      <c r="I141" s="8">
        <v>1.01E-2</v>
      </c>
      <c r="J141" s="8">
        <v>9.8999999999999991E-3</v>
      </c>
      <c r="L141"/>
      <c r="M141"/>
      <c r="N141"/>
      <c r="O141"/>
      <c r="P141"/>
      <c r="Q141"/>
      <c r="R141"/>
      <c r="S141"/>
    </row>
    <row r="142" spans="1:19" s="2" customFormat="1" hidden="1" outlineLevel="1" x14ac:dyDescent="0.25">
      <c r="A142" s="2">
        <f t="shared" si="15"/>
        <v>124</v>
      </c>
      <c r="B142" s="4" t="s">
        <v>25</v>
      </c>
      <c r="C142" s="8">
        <v>3.0099999999999998E-2</v>
      </c>
      <c r="D142" s="8">
        <v>2.81E-2</v>
      </c>
      <c r="E142" s="8">
        <v>3.2800000000000003E-2</v>
      </c>
      <c r="F142" s="8">
        <v>2.7899999999999998E-2</v>
      </c>
      <c r="G142" s="8">
        <v>2.76E-2</v>
      </c>
      <c r="H142" s="8">
        <v>2.75E-2</v>
      </c>
      <c r="I142" s="8">
        <v>2.7899999999999998E-2</v>
      </c>
      <c r="J142" s="8">
        <v>2.7400000000000001E-2</v>
      </c>
      <c r="L142"/>
      <c r="M142"/>
      <c r="N142"/>
      <c r="O142"/>
      <c r="P142"/>
      <c r="Q142"/>
      <c r="R142"/>
      <c r="S142"/>
    </row>
    <row r="143" spans="1:19" s="2" customFormat="1" hidden="1" outlineLevel="1" x14ac:dyDescent="0.25">
      <c r="A143" s="2">
        <f t="shared" si="15"/>
        <v>125</v>
      </c>
      <c r="B143" s="4" t="s">
        <v>26</v>
      </c>
      <c r="C143" s="8">
        <v>3.0099999999999998E-2</v>
      </c>
      <c r="D143" s="8">
        <v>2.81E-2</v>
      </c>
      <c r="E143" s="8">
        <v>3.2800000000000003E-2</v>
      </c>
      <c r="F143" s="8">
        <v>2.7899999999999998E-2</v>
      </c>
      <c r="G143" s="8">
        <v>2.76E-2</v>
      </c>
      <c r="H143" s="8">
        <v>2.75E-2</v>
      </c>
      <c r="I143" s="8">
        <v>2.7899999999999998E-2</v>
      </c>
      <c r="J143" s="8">
        <v>2.7400000000000001E-2</v>
      </c>
      <c r="L143"/>
      <c r="M143"/>
      <c r="N143"/>
      <c r="O143"/>
      <c r="P143"/>
      <c r="Q143"/>
      <c r="R143"/>
      <c r="S143"/>
    </row>
    <row r="144" spans="1:19" s="2" customFormat="1" hidden="1" outlineLevel="1" x14ac:dyDescent="0.25">
      <c r="A144" s="2">
        <f t="shared" si="15"/>
        <v>126</v>
      </c>
      <c r="B144" s="4" t="s">
        <v>27</v>
      </c>
      <c r="C144" s="8">
        <v>8.0000000000000004E-4</v>
      </c>
      <c r="D144" s="8">
        <v>8.0000000000000004E-4</v>
      </c>
      <c r="E144" s="8">
        <v>8.0000000000000004E-4</v>
      </c>
      <c r="F144" s="8">
        <v>8.0000000000000004E-4</v>
      </c>
      <c r="G144" s="8">
        <v>8.0000000000000004E-4</v>
      </c>
      <c r="H144" s="8">
        <v>8.0000000000000004E-4</v>
      </c>
      <c r="I144" s="8">
        <v>8.0000000000000004E-4</v>
      </c>
      <c r="J144" s="8">
        <v>8.0000000000000004E-4</v>
      </c>
      <c r="L144"/>
      <c r="M144"/>
      <c r="N144"/>
      <c r="O144"/>
      <c r="P144"/>
      <c r="Q144"/>
      <c r="R144"/>
      <c r="S144"/>
    </row>
    <row r="145" spans="1:19" s="2" customFormat="1" hidden="1" outlineLevel="1" x14ac:dyDescent="0.25">
      <c r="A145" s="2">
        <f t="shared" si="15"/>
        <v>127</v>
      </c>
      <c r="B145" s="4" t="s">
        <v>56</v>
      </c>
      <c r="C145" s="8">
        <v>8.9999999999999993E-3</v>
      </c>
      <c r="D145" s="8">
        <v>6.4000000000000003E-3</v>
      </c>
      <c r="E145" s="8">
        <v>9.2999999999999992E-3</v>
      </c>
      <c r="F145" s="8">
        <v>6.0000000000000001E-3</v>
      </c>
      <c r="G145" s="8">
        <v>5.5999999999999999E-3</v>
      </c>
      <c r="H145" s="8">
        <v>5.7000000000000002E-3</v>
      </c>
      <c r="I145" s="8">
        <v>6.1000000000000004E-3</v>
      </c>
      <c r="J145" s="8">
        <v>5.4000000000000003E-3</v>
      </c>
      <c r="L145"/>
      <c r="M145"/>
      <c r="N145"/>
      <c r="O145"/>
      <c r="P145"/>
      <c r="Q145"/>
      <c r="R145"/>
      <c r="S145"/>
    </row>
    <row r="146" spans="1:19" s="2" customFormat="1" hidden="1" outlineLevel="1" x14ac:dyDescent="0.25">
      <c r="A146" s="2">
        <f t="shared" si="15"/>
        <v>128</v>
      </c>
      <c r="B146" s="4" t="s">
        <v>57</v>
      </c>
      <c r="C146" s="8">
        <v>8.6E-3</v>
      </c>
      <c r="D146" s="8">
        <v>9.2999999999999992E-3</v>
      </c>
      <c r="E146" s="8">
        <v>8.7999999999999988E-3</v>
      </c>
      <c r="F146" s="8">
        <v>9.4999999999999998E-3</v>
      </c>
      <c r="G146" s="8">
        <v>9.6999999999999986E-3</v>
      </c>
      <c r="H146" s="8">
        <v>9.5999999999999992E-3</v>
      </c>
      <c r="I146" s="8">
        <v>9.3999999999999986E-3</v>
      </c>
      <c r="J146" s="8">
        <v>9.7999999999999997E-3</v>
      </c>
      <c r="L146"/>
      <c r="M146"/>
      <c r="N146"/>
      <c r="O146"/>
      <c r="P146"/>
      <c r="Q146"/>
      <c r="R146"/>
      <c r="S146"/>
    </row>
    <row r="147" spans="1:19" s="2" customFormat="1" hidden="1" outlineLevel="1" x14ac:dyDescent="0.25">
      <c r="A147" s="2">
        <f t="shared" si="15"/>
        <v>129</v>
      </c>
      <c r="B147" s="4" t="s">
        <v>58</v>
      </c>
      <c r="C147" s="8">
        <v>1.6000000000000001E-3</v>
      </c>
      <c r="D147" s="8">
        <v>1.6000000000000001E-3</v>
      </c>
      <c r="E147" s="8">
        <v>1.7000000000000001E-3</v>
      </c>
      <c r="F147" s="8">
        <v>1.6000000000000001E-3</v>
      </c>
      <c r="G147" s="8">
        <v>1.7000000000000001E-3</v>
      </c>
      <c r="H147" s="8">
        <v>1.6000000000000001E-3</v>
      </c>
      <c r="I147" s="8">
        <v>1.7000000000000001E-3</v>
      </c>
      <c r="J147" s="8">
        <v>1.7000000000000001E-3</v>
      </c>
      <c r="L147"/>
      <c r="M147"/>
      <c r="N147"/>
      <c r="O147"/>
      <c r="P147"/>
      <c r="Q147"/>
      <c r="R147"/>
      <c r="S147"/>
    </row>
    <row r="148" spans="1:19" s="2" customFormat="1" hidden="1" outlineLevel="1" x14ac:dyDescent="0.25">
      <c r="A148" s="2">
        <f t="shared" si="15"/>
        <v>130</v>
      </c>
      <c r="B148" s="4" t="s">
        <v>59</v>
      </c>
      <c r="C148" s="8">
        <v>0.1578</v>
      </c>
      <c r="D148" s="8">
        <v>0.1749</v>
      </c>
      <c r="E148" s="8">
        <v>0.15989999999999999</v>
      </c>
      <c r="F148" s="8">
        <v>0.17959999999999998</v>
      </c>
      <c r="G148" s="8">
        <v>0.1845</v>
      </c>
      <c r="H148" s="8">
        <v>0.18239999999999998</v>
      </c>
      <c r="I148" s="8">
        <v>0.17829999999999999</v>
      </c>
      <c r="J148" s="8">
        <v>0.18789999999999998</v>
      </c>
      <c r="L148"/>
      <c r="M148"/>
      <c r="N148"/>
      <c r="O148"/>
      <c r="P148"/>
      <c r="Q148"/>
      <c r="R148"/>
      <c r="S148"/>
    </row>
    <row r="149" spans="1:19" s="2" customFormat="1" hidden="1" outlineLevel="1" x14ac:dyDescent="0.25">
      <c r="A149" s="2">
        <f t="shared" si="15"/>
        <v>131</v>
      </c>
      <c r="B149" s="4" t="s">
        <v>60</v>
      </c>
      <c r="C149" s="8">
        <v>6.1900000000000004E-2</v>
      </c>
      <c r="D149" s="8">
        <v>6.6700000000000009E-2</v>
      </c>
      <c r="E149" s="8">
        <v>6.3399999999999998E-2</v>
      </c>
      <c r="F149" s="8">
        <v>6.8000000000000005E-2</v>
      </c>
      <c r="G149" s="8">
        <v>6.93E-2</v>
      </c>
      <c r="H149" s="8">
        <v>6.8699999999999997E-2</v>
      </c>
      <c r="I149" s="8">
        <v>6.7600000000000007E-2</v>
      </c>
      <c r="J149" s="8">
        <v>7.0199999999999999E-2</v>
      </c>
      <c r="L149"/>
      <c r="M149"/>
      <c r="N149"/>
      <c r="O149"/>
      <c r="P149"/>
      <c r="Q149"/>
      <c r="R149"/>
      <c r="S149"/>
    </row>
    <row r="150" spans="1:19" s="2" customFormat="1" hidden="1" outlineLevel="1" x14ac:dyDescent="0.25">
      <c r="A150" s="2">
        <f t="shared" ref="A150:A214" si="32">A149+1</f>
        <v>132</v>
      </c>
      <c r="B150" s="4" t="s">
        <v>61</v>
      </c>
      <c r="C150" s="8">
        <v>3.9999999999999996E-4</v>
      </c>
      <c r="D150" s="8">
        <v>3.9999999999999996E-4</v>
      </c>
      <c r="E150" s="8">
        <v>3.9999999999999996E-4</v>
      </c>
      <c r="F150" s="8">
        <v>5.0000000000000001E-4</v>
      </c>
      <c r="G150" s="8">
        <v>5.0000000000000001E-4</v>
      </c>
      <c r="H150" s="8">
        <v>5.0000000000000001E-4</v>
      </c>
      <c r="I150" s="8">
        <v>5.0000000000000001E-4</v>
      </c>
      <c r="J150" s="8">
        <v>5.0000000000000001E-4</v>
      </c>
      <c r="L150"/>
      <c r="M150"/>
      <c r="N150"/>
      <c r="O150"/>
      <c r="P150"/>
      <c r="Q150"/>
      <c r="R150"/>
      <c r="S150"/>
    </row>
    <row r="151" spans="1:19" s="2" customFormat="1" hidden="1" outlineLevel="1" x14ac:dyDescent="0.25">
      <c r="A151" s="2">
        <f t="shared" si="32"/>
        <v>133</v>
      </c>
      <c r="B151" s="4" t="s">
        <v>62</v>
      </c>
      <c r="C151" s="8">
        <v>3.3999999999999998E-3</v>
      </c>
      <c r="D151" s="8">
        <v>3.6999999999999997E-3</v>
      </c>
      <c r="E151" s="8">
        <v>3.3999999999999998E-3</v>
      </c>
      <c r="F151" s="8">
        <v>3.8E-3</v>
      </c>
      <c r="G151" s="8">
        <v>3.8999999999999998E-3</v>
      </c>
      <c r="H151" s="8">
        <v>3.8999999999999998E-3</v>
      </c>
      <c r="I151" s="8">
        <v>3.8E-3</v>
      </c>
      <c r="J151" s="8">
        <v>4.0000000000000001E-3</v>
      </c>
      <c r="L151"/>
      <c r="M151"/>
      <c r="N151"/>
      <c r="O151"/>
      <c r="P151"/>
      <c r="Q151"/>
      <c r="R151"/>
      <c r="S151"/>
    </row>
    <row r="152" spans="1:19" s="2" customFormat="1" hidden="1" outlineLevel="1" x14ac:dyDescent="0.25">
      <c r="A152" s="2">
        <f t="shared" si="32"/>
        <v>134</v>
      </c>
      <c r="B152" s="4" t="s">
        <v>63</v>
      </c>
      <c r="C152" s="8">
        <v>3.9900000000000005E-2</v>
      </c>
      <c r="D152" s="8">
        <v>4.3000000000000003E-2</v>
      </c>
      <c r="E152" s="8">
        <v>4.0900000000000006E-2</v>
      </c>
      <c r="F152" s="8">
        <v>4.3900000000000002E-2</v>
      </c>
      <c r="G152" s="8">
        <v>4.4700000000000004E-2</v>
      </c>
      <c r="H152" s="8">
        <v>4.4200000000000003E-2</v>
      </c>
      <c r="I152" s="8">
        <v>4.3700000000000003E-2</v>
      </c>
      <c r="J152" s="8">
        <v>4.5200000000000004E-2</v>
      </c>
      <c r="L152"/>
      <c r="M152"/>
      <c r="N152"/>
      <c r="O152"/>
      <c r="P152"/>
      <c r="Q152"/>
      <c r="R152"/>
      <c r="S152"/>
    </row>
    <row r="153" spans="1:19" s="2" customFormat="1" hidden="1" outlineLevel="1" x14ac:dyDescent="0.25">
      <c r="A153" s="2">
        <f t="shared" si="32"/>
        <v>135</v>
      </c>
      <c r="B153" s="4" t="s">
        <v>64</v>
      </c>
      <c r="C153" s="8">
        <v>1.2099999999999778E-2</v>
      </c>
      <c r="D153" s="8">
        <v>1.4600000000000057E-2</v>
      </c>
      <c r="E153" s="8">
        <v>1.1799999999999922E-2</v>
      </c>
      <c r="F153" s="8">
        <v>1.5499999999999847E-2</v>
      </c>
      <c r="G153" s="8">
        <v>1.6299999999999981E-2</v>
      </c>
      <c r="H153" s="8">
        <v>1.5699999999999936E-2</v>
      </c>
      <c r="I153" s="8">
        <v>1.5199999999999991E-2</v>
      </c>
      <c r="J153" s="8">
        <v>1.6600000000000059E-2</v>
      </c>
      <c r="L153"/>
      <c r="M153"/>
      <c r="N153"/>
      <c r="O153"/>
      <c r="P153"/>
      <c r="Q153"/>
      <c r="R153"/>
      <c r="S153"/>
    </row>
    <row r="154" spans="1:19" s="2" customFormat="1" hidden="1" outlineLevel="1" x14ac:dyDescent="0.25">
      <c r="A154" s="2">
        <f t="shared" si="32"/>
        <v>136</v>
      </c>
      <c r="B154" s="12" t="s">
        <v>68</v>
      </c>
      <c r="C154" s="13">
        <f t="shared" ref="C154:J154" si="33">SUM(C134:C153)</f>
        <v>1</v>
      </c>
      <c r="D154" s="13">
        <f t="shared" si="33"/>
        <v>1</v>
      </c>
      <c r="E154" s="13">
        <f t="shared" si="33"/>
        <v>1</v>
      </c>
      <c r="F154" s="13">
        <f t="shared" si="33"/>
        <v>1</v>
      </c>
      <c r="G154" s="13">
        <f t="shared" si="33"/>
        <v>1</v>
      </c>
      <c r="H154" s="13">
        <f t="shared" si="33"/>
        <v>1</v>
      </c>
      <c r="I154" s="13">
        <f t="shared" si="33"/>
        <v>1</v>
      </c>
      <c r="J154" s="13">
        <f t="shared" si="33"/>
        <v>1</v>
      </c>
      <c r="L154"/>
      <c r="M154"/>
      <c r="N154"/>
      <c r="O154"/>
      <c r="P154"/>
      <c r="Q154"/>
      <c r="R154"/>
      <c r="S154"/>
    </row>
    <row r="155" spans="1:19" s="2" customFormat="1" x14ac:dyDescent="0.25">
      <c r="A155" s="2">
        <f t="shared" si="32"/>
        <v>137</v>
      </c>
      <c r="B155" s="10" t="s">
        <v>67</v>
      </c>
      <c r="C155" s="11">
        <f>SUMPRODUCT('BOM &amp; cycles'!$E$3:$E$22,C134:C153)</f>
        <v>0.57859346722958704</v>
      </c>
      <c r="D155" s="11">
        <f>SUMPRODUCT('BOM &amp; cycles'!$E$3:$E$22,D134:D153)</f>
        <v>0.55537779366238127</v>
      </c>
      <c r="E155" s="11">
        <f>SUMPRODUCT('BOM &amp; cycles'!$E$3:$E$22,E134:E153)</f>
        <v>0.56966558050922478</v>
      </c>
      <c r="F155" s="11">
        <f>SUMPRODUCT('BOM &amp; cycles'!$E$3:$E$22,F134:F153)</f>
        <v>0.5472036108236713</v>
      </c>
      <c r="G155" s="11">
        <f>SUMPRODUCT('BOM &amp; cycles'!$E$3:$E$22,G134:G153)</f>
        <v>0.53868571155338651</v>
      </c>
      <c r="H155" s="11">
        <f>SUMPRODUCT('BOM &amp; cycles'!$E$3:$E$22,H134:H153)</f>
        <v>0.54343362253689509</v>
      </c>
      <c r="I155" s="11">
        <f>SUMPRODUCT('BOM &amp; cycles'!$E$3:$E$22,I134:I153)</f>
        <v>0.54945230968541037</v>
      </c>
      <c r="J155" s="11">
        <f>SUMPRODUCT('BOM &amp; cycles'!$E$3:$E$22,J134:J153)</f>
        <v>0.53307460911155746</v>
      </c>
      <c r="L155"/>
      <c r="M155"/>
      <c r="N155"/>
      <c r="O155"/>
      <c r="P155"/>
      <c r="Q155"/>
      <c r="R155"/>
      <c r="S155"/>
    </row>
    <row r="156" spans="1:19" s="2" customFormat="1" x14ac:dyDescent="0.25">
      <c r="A156" s="2">
        <f t="shared" si="32"/>
        <v>138</v>
      </c>
      <c r="B156" s="10" t="s">
        <v>70</v>
      </c>
      <c r="C156" s="11">
        <f>SUMPRODUCT('BOM &amp; cycles'!$F$3:$F$22,C134:C153)</f>
        <v>2.982351017066855E-2</v>
      </c>
      <c r="D156" s="11">
        <f>SUMPRODUCT('BOM &amp; cycles'!$F$3:$F$22,D134:D153)</f>
        <v>2.9287537609855658E-2</v>
      </c>
      <c r="E156" s="11">
        <f>SUMPRODUCT('BOM &amp; cycles'!$F$3:$F$22,E134:E153)</f>
        <v>3.0764370364217045E-2</v>
      </c>
      <c r="F156" s="11">
        <f>SUMPRODUCT('BOM &amp; cycles'!$F$3:$F$22,F134:F153)</f>
        <v>2.9394294881575491E-2</v>
      </c>
      <c r="G156" s="11">
        <f>SUMPRODUCT('BOM &amp; cycles'!$F$3:$F$22,G134:G153)</f>
        <v>2.9574408548704904E-2</v>
      </c>
      <c r="H156" s="11">
        <f>SUMPRODUCT('BOM &amp; cycles'!$F$3:$F$22,H134:H153)</f>
        <v>2.9370767020836089E-2</v>
      </c>
      <c r="I156" s="11">
        <f>SUMPRODUCT('BOM &amp; cycles'!$F$3:$F$22,I134:I153)</f>
        <v>2.9356230277275016E-2</v>
      </c>
      <c r="J156" s="11">
        <f>SUMPRODUCT('BOM &amp; cycles'!$F$3:$F$22,J134:J153)</f>
        <v>2.9700366291976026E-2</v>
      </c>
      <c r="L156"/>
      <c r="M156"/>
      <c r="N156"/>
      <c r="O156"/>
      <c r="P156"/>
      <c r="Q156"/>
      <c r="R156"/>
      <c r="S156"/>
    </row>
    <row r="157" spans="1:19" s="2" customFormat="1" x14ac:dyDescent="0.25">
      <c r="A157" s="2">
        <f t="shared" si="32"/>
        <v>139</v>
      </c>
      <c r="B157" s="10" t="s">
        <v>71</v>
      </c>
      <c r="C157" s="11">
        <f>SUMPRODUCT('BOM &amp; cycles'!$G$3:$G$22,C134:C153)</f>
        <v>0.39158302259974426</v>
      </c>
      <c r="D157" s="11">
        <f>SUMPRODUCT('BOM &amp; cycles'!$G$3:$G$22,D134:D153)</f>
        <v>0.41533466872776309</v>
      </c>
      <c r="E157" s="11">
        <f>SUMPRODUCT('BOM &amp; cycles'!$G$3:$G$22,E134:E153)</f>
        <v>0.39957004912655819</v>
      </c>
      <c r="F157" s="11">
        <f>SUMPRODUCT('BOM &amp; cycles'!$G$3:$G$22,F134:F153)</f>
        <v>0.42340209429475312</v>
      </c>
      <c r="G157" s="11">
        <f>SUMPRODUCT('BOM &amp; cycles'!$G$3:$G$22,G134:G153)</f>
        <v>0.43173987989790863</v>
      </c>
      <c r="H157" s="11">
        <f>SUMPRODUCT('BOM &amp; cycles'!$G$3:$G$22,H134:H153)</f>
        <v>0.42719561044226878</v>
      </c>
      <c r="I157" s="11">
        <f>SUMPRODUCT('BOM &amp; cycles'!$G$3:$G$22,I134:I153)</f>
        <v>0.42119146003731467</v>
      </c>
      <c r="J157" s="11">
        <f>SUMPRODUCT('BOM &amp; cycles'!$G$3:$G$22,J134:J153)</f>
        <v>0.43722502459646662</v>
      </c>
      <c r="L157"/>
      <c r="M157"/>
      <c r="N157"/>
      <c r="O157"/>
      <c r="P157"/>
      <c r="Q157"/>
      <c r="R157"/>
      <c r="S157"/>
    </row>
    <row r="158" spans="1:19" x14ac:dyDescent="0.25">
      <c r="A158" s="2">
        <f t="shared" si="32"/>
        <v>140</v>
      </c>
      <c r="B158" s="36" t="s">
        <v>237</v>
      </c>
      <c r="C158" s="35">
        <v>136.98999999999998</v>
      </c>
      <c r="D158" s="35">
        <v>164.37</v>
      </c>
      <c r="E158" s="35">
        <v>134.07999999999998</v>
      </c>
      <c r="F158" s="35">
        <v>172.98999999999998</v>
      </c>
      <c r="G158" s="35">
        <v>181.89</v>
      </c>
      <c r="H158" s="35">
        <v>176.79999999999998</v>
      </c>
      <c r="I158" s="35">
        <v>171.95999999999998</v>
      </c>
      <c r="J158" s="35">
        <v>187.14</v>
      </c>
    </row>
    <row r="159" spans="1:19" x14ac:dyDescent="0.25">
      <c r="A159" s="2">
        <f t="shared" si="32"/>
        <v>141</v>
      </c>
      <c r="B159" s="36" t="s">
        <v>236</v>
      </c>
      <c r="C159" s="69">
        <f>C158/C155</f>
        <v>236.7638208152151</v>
      </c>
      <c r="D159" s="69">
        <f t="shared" ref="D159" si="34">D158/D155</f>
        <v>295.96069896147463</v>
      </c>
      <c r="E159" s="69">
        <f t="shared" ref="E159" si="35">E158/E155</f>
        <v>235.36615970398933</v>
      </c>
      <c r="F159" s="69">
        <f t="shared" ref="F159" si="36">F158/F155</f>
        <v>316.13460982029886</v>
      </c>
      <c r="G159" s="69">
        <f t="shared" ref="G159" si="37">G158/G155</f>
        <v>337.65514120560397</v>
      </c>
      <c r="H159" s="69">
        <f t="shared" ref="H159" si="38">H158/H155</f>
        <v>325.33872154367219</v>
      </c>
      <c r="I159" s="69">
        <f t="shared" ref="I159" si="39">I158/I155</f>
        <v>312.96619737290013</v>
      </c>
      <c r="J159" s="69">
        <f t="shared" ref="J159" si="40">J158/J155</f>
        <v>351.05780091813915</v>
      </c>
    </row>
    <row r="160" spans="1:19" x14ac:dyDescent="0.25">
      <c r="A160" s="2">
        <f t="shared" si="32"/>
        <v>142</v>
      </c>
    </row>
    <row r="161" spans="1:19" s="2" customFormat="1" x14ac:dyDescent="0.25">
      <c r="A161" s="2">
        <f t="shared" si="32"/>
        <v>143</v>
      </c>
      <c r="B161" s="9" t="s">
        <v>87</v>
      </c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 spans="1:19" s="2" customFormat="1" collapsed="1" x14ac:dyDescent="0.25">
      <c r="A162" s="2">
        <f t="shared" si="32"/>
        <v>144</v>
      </c>
      <c r="B162" s="1" t="s">
        <v>66</v>
      </c>
      <c r="C162" s="1" t="s">
        <v>6</v>
      </c>
      <c r="D162" s="1" t="s">
        <v>10</v>
      </c>
      <c r="E162" s="1" t="s">
        <v>81</v>
      </c>
      <c r="F162" s="1" t="s">
        <v>12</v>
      </c>
      <c r="G162" s="1" t="s">
        <v>13</v>
      </c>
      <c r="H162" s="1" t="s">
        <v>77</v>
      </c>
      <c r="I162" s="1" t="s">
        <v>11</v>
      </c>
      <c r="J162" s="1" t="s">
        <v>14</v>
      </c>
      <c r="L162"/>
      <c r="M162"/>
      <c r="N162"/>
      <c r="O162"/>
      <c r="P162"/>
      <c r="Q162"/>
      <c r="R162"/>
      <c r="S162"/>
    </row>
    <row r="163" spans="1:19" s="2" customFormat="1" hidden="1" outlineLevel="1" x14ac:dyDescent="0.25">
      <c r="A163" s="2">
        <f t="shared" si="32"/>
        <v>145</v>
      </c>
      <c r="B163" s="4" t="s">
        <v>18</v>
      </c>
      <c r="C163" s="8">
        <v>0.30729999999999996</v>
      </c>
      <c r="D163" s="8">
        <v>0.26989999999999997</v>
      </c>
      <c r="E163" s="8">
        <v>0.26989999999999997</v>
      </c>
      <c r="F163" s="8">
        <v>0.25579999999999997</v>
      </c>
      <c r="G163" s="8">
        <v>0.24149999999999999</v>
      </c>
      <c r="H163" s="8">
        <v>0.25</v>
      </c>
      <c r="I163" s="8">
        <v>0.25900000000000001</v>
      </c>
      <c r="J163" s="8">
        <v>0.23139999999999999</v>
      </c>
      <c r="L163"/>
      <c r="M163"/>
      <c r="N163"/>
      <c r="O163"/>
      <c r="P163"/>
      <c r="Q163"/>
      <c r="R163"/>
      <c r="S163"/>
    </row>
    <row r="164" spans="1:19" s="2" customFormat="1" hidden="1" outlineLevel="1" x14ac:dyDescent="0.25">
      <c r="A164" s="2">
        <f t="shared" si="32"/>
        <v>146</v>
      </c>
      <c r="B164" s="4" t="s">
        <v>19</v>
      </c>
      <c r="C164" s="8">
        <v>0.1215</v>
      </c>
      <c r="D164" s="8">
        <v>0.1522</v>
      </c>
      <c r="E164" s="8">
        <v>0.13899999999999998</v>
      </c>
      <c r="F164" s="8">
        <v>0.16039999999999999</v>
      </c>
      <c r="G164" s="8">
        <v>0.16899999999999998</v>
      </c>
      <c r="H164" s="8">
        <v>0.16569999999999999</v>
      </c>
      <c r="I164" s="8">
        <v>0.15909999999999999</v>
      </c>
      <c r="J164" s="8">
        <v>0.17409999999999998</v>
      </c>
      <c r="L164"/>
      <c r="M164"/>
      <c r="N164"/>
      <c r="O164"/>
      <c r="P164"/>
      <c r="Q164"/>
      <c r="R164"/>
      <c r="S164"/>
    </row>
    <row r="165" spans="1:19" s="2" customFormat="1" hidden="1" outlineLevel="1" x14ac:dyDescent="0.25">
      <c r="A165" s="2">
        <f t="shared" si="32"/>
        <v>147</v>
      </c>
      <c r="B165" s="4" t="s">
        <v>20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L165"/>
      <c r="M165"/>
      <c r="N165"/>
      <c r="O165"/>
      <c r="P165"/>
      <c r="Q165"/>
      <c r="R165"/>
      <c r="S165"/>
    </row>
    <row r="166" spans="1:19" s="2" customFormat="1" hidden="1" outlineLevel="1" x14ac:dyDescent="0.25">
      <c r="A166" s="2">
        <f t="shared" si="32"/>
        <v>148</v>
      </c>
      <c r="B166" s="4" t="s">
        <v>21</v>
      </c>
      <c r="C166" s="8">
        <v>8.7999999999999988E-3</v>
      </c>
      <c r="D166" s="8">
        <v>8.6999999999999994E-3</v>
      </c>
      <c r="E166" s="8">
        <v>8.3999999999999995E-3</v>
      </c>
      <c r="F166" s="8">
        <v>8.4999999999999989E-3</v>
      </c>
      <c r="G166" s="8">
        <v>8.3999999999999995E-3</v>
      </c>
      <c r="H166" s="8">
        <v>8.4999999999999989E-3</v>
      </c>
      <c r="I166" s="8">
        <v>8.6E-3</v>
      </c>
      <c r="J166" s="8">
        <v>8.3000000000000001E-3</v>
      </c>
      <c r="L166"/>
      <c r="M166"/>
      <c r="N166"/>
      <c r="O166"/>
      <c r="P166"/>
      <c r="Q166"/>
      <c r="R166"/>
      <c r="S166"/>
    </row>
    <row r="167" spans="1:19" s="2" customFormat="1" hidden="1" outlineLevel="1" x14ac:dyDescent="0.25">
      <c r="A167" s="2">
        <f t="shared" si="32"/>
        <v>149</v>
      </c>
      <c r="B167" s="4" t="s">
        <v>23</v>
      </c>
      <c r="C167" s="8">
        <v>9.4E-2</v>
      </c>
      <c r="D167" s="8">
        <v>8.0799999999999997E-2</v>
      </c>
      <c r="E167" s="8">
        <v>9.7700000000000009E-2</v>
      </c>
      <c r="F167" s="8">
        <v>7.8899999999999998E-2</v>
      </c>
      <c r="G167" s="8">
        <v>7.7200000000000005E-2</v>
      </c>
      <c r="H167" s="8">
        <v>7.7200000000000005E-2</v>
      </c>
      <c r="I167" s="8">
        <v>7.9200000000000007E-2</v>
      </c>
      <c r="J167" s="8">
        <v>7.6700000000000004E-2</v>
      </c>
      <c r="L167"/>
      <c r="M167"/>
      <c r="N167"/>
      <c r="O167"/>
      <c r="P167"/>
      <c r="Q167"/>
      <c r="R167"/>
      <c r="S167"/>
    </row>
    <row r="168" spans="1:19" s="2" customFormat="1" hidden="1" outlineLevel="1" x14ac:dyDescent="0.25">
      <c r="A168" s="2">
        <f t="shared" si="32"/>
        <v>150</v>
      </c>
      <c r="B168" s="4" t="s">
        <v>22</v>
      </c>
      <c r="C168" s="8">
        <v>0.12280000000000001</v>
      </c>
      <c r="D168" s="8">
        <v>0.1217</v>
      </c>
      <c r="E168" s="8">
        <v>0.12689999999999999</v>
      </c>
      <c r="F168" s="8">
        <v>0.12240000000000001</v>
      </c>
      <c r="G168" s="8">
        <v>0.123</v>
      </c>
      <c r="H168" s="8">
        <v>0.1221</v>
      </c>
      <c r="I168" s="8">
        <v>0.1222</v>
      </c>
      <c r="J168" s="8">
        <v>0.1236</v>
      </c>
      <c r="L168"/>
      <c r="M168"/>
      <c r="N168"/>
      <c r="O168"/>
      <c r="P168"/>
      <c r="Q168"/>
      <c r="R168"/>
      <c r="S168"/>
    </row>
    <row r="169" spans="1:19" s="2" customFormat="1" hidden="1" outlineLevel="1" x14ac:dyDescent="0.25">
      <c r="A169" s="2">
        <f t="shared" si="32"/>
        <v>151</v>
      </c>
      <c r="B169" s="4" t="s">
        <v>55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L169"/>
      <c r="M169"/>
      <c r="N169"/>
      <c r="O169"/>
      <c r="P169"/>
      <c r="Q169"/>
      <c r="R169"/>
      <c r="S169"/>
    </row>
    <row r="170" spans="1:19" s="2" customFormat="1" hidden="1" outlineLevel="1" x14ac:dyDescent="0.25">
      <c r="A170" s="2">
        <f t="shared" si="32"/>
        <v>152</v>
      </c>
      <c r="B170" s="4" t="s">
        <v>24</v>
      </c>
      <c r="C170" s="8">
        <v>1.1399999999999999E-2</v>
      </c>
      <c r="D170" s="8">
        <v>1.0699999999999999E-2</v>
      </c>
      <c r="E170" s="8">
        <v>1.24E-2</v>
      </c>
      <c r="F170" s="8">
        <v>1.06E-2</v>
      </c>
      <c r="G170" s="8">
        <v>1.0499999999999999E-2</v>
      </c>
      <c r="H170" s="8">
        <v>1.04E-2</v>
      </c>
      <c r="I170" s="8">
        <v>1.06E-2</v>
      </c>
      <c r="J170" s="8">
        <v>1.04E-2</v>
      </c>
      <c r="L170"/>
      <c r="M170"/>
      <c r="N170"/>
      <c r="O170"/>
      <c r="P170"/>
      <c r="Q170"/>
      <c r="R170"/>
      <c r="S170"/>
    </row>
    <row r="171" spans="1:19" s="2" customFormat="1" hidden="1" outlineLevel="1" x14ac:dyDescent="0.25">
      <c r="A171" s="2">
        <f t="shared" si="32"/>
        <v>153</v>
      </c>
      <c r="B171" s="4" t="s">
        <v>25</v>
      </c>
      <c r="C171" s="8">
        <v>3.1600000000000003E-2</v>
      </c>
      <c r="D171" s="8">
        <v>2.9599999999999998E-2</v>
      </c>
      <c r="E171" s="8">
        <v>3.4300000000000004E-2</v>
      </c>
      <c r="F171" s="8">
        <v>2.93E-2</v>
      </c>
      <c r="G171" s="8">
        <v>2.9100000000000001E-2</v>
      </c>
      <c r="H171" s="8">
        <v>2.8999999999999998E-2</v>
      </c>
      <c r="I171" s="8">
        <v>2.9499999999999998E-2</v>
      </c>
      <c r="J171" s="8">
        <v>2.8899999999999999E-2</v>
      </c>
      <c r="L171"/>
      <c r="M171"/>
      <c r="N171"/>
      <c r="O171"/>
      <c r="P171"/>
      <c r="Q171"/>
      <c r="R171"/>
      <c r="S171"/>
    </row>
    <row r="172" spans="1:19" s="2" customFormat="1" hidden="1" outlineLevel="1" x14ac:dyDescent="0.25">
      <c r="A172" s="2">
        <f t="shared" si="32"/>
        <v>154</v>
      </c>
      <c r="B172" s="4" t="s">
        <v>26</v>
      </c>
      <c r="C172" s="8">
        <v>3.1600000000000003E-2</v>
      </c>
      <c r="D172" s="8">
        <v>2.9599999999999998E-2</v>
      </c>
      <c r="E172" s="8">
        <v>3.4300000000000004E-2</v>
      </c>
      <c r="F172" s="8">
        <v>2.93E-2</v>
      </c>
      <c r="G172" s="8">
        <v>2.9100000000000001E-2</v>
      </c>
      <c r="H172" s="8">
        <v>2.8999999999999998E-2</v>
      </c>
      <c r="I172" s="8">
        <v>2.9499999999999998E-2</v>
      </c>
      <c r="J172" s="8">
        <v>2.8899999999999999E-2</v>
      </c>
      <c r="L172"/>
      <c r="M172"/>
      <c r="N172"/>
      <c r="O172"/>
      <c r="P172"/>
      <c r="Q172"/>
      <c r="R172"/>
      <c r="S172"/>
    </row>
    <row r="173" spans="1:19" s="2" customFormat="1" hidden="1" outlineLevel="1" x14ac:dyDescent="0.25">
      <c r="A173" s="2">
        <f t="shared" si="32"/>
        <v>155</v>
      </c>
      <c r="B173" s="4" t="s">
        <v>27</v>
      </c>
      <c r="C173" s="8">
        <v>8.0000000000000004E-4</v>
      </c>
      <c r="D173" s="8">
        <v>8.0000000000000004E-4</v>
      </c>
      <c r="E173" s="8">
        <v>8.0000000000000004E-4</v>
      </c>
      <c r="F173" s="8">
        <v>8.0000000000000004E-4</v>
      </c>
      <c r="G173" s="8">
        <v>8.0000000000000004E-4</v>
      </c>
      <c r="H173" s="8">
        <v>8.0000000000000004E-4</v>
      </c>
      <c r="I173" s="8">
        <v>8.0000000000000004E-4</v>
      </c>
      <c r="J173" s="8">
        <v>8.0000000000000004E-4</v>
      </c>
      <c r="L173"/>
      <c r="M173"/>
      <c r="N173"/>
      <c r="O173"/>
      <c r="P173"/>
      <c r="Q173"/>
      <c r="R173"/>
      <c r="S173"/>
    </row>
    <row r="174" spans="1:19" s="2" customFormat="1" hidden="1" outlineLevel="1" x14ac:dyDescent="0.25">
      <c r="A174" s="2">
        <f t="shared" si="32"/>
        <v>156</v>
      </c>
      <c r="B174" s="4" t="s">
        <v>56</v>
      </c>
      <c r="C174" s="8">
        <v>9.6999999999999986E-3</v>
      </c>
      <c r="D174" s="8">
        <v>6.8999999999999999E-3</v>
      </c>
      <c r="E174" s="8">
        <v>1.01E-2</v>
      </c>
      <c r="F174" s="8">
        <v>6.4000000000000003E-3</v>
      </c>
      <c r="G174" s="8">
        <v>5.8999999999999999E-3</v>
      </c>
      <c r="H174" s="8">
        <v>6.0000000000000001E-3</v>
      </c>
      <c r="I174" s="8">
        <v>6.5000000000000006E-3</v>
      </c>
      <c r="J174" s="8">
        <v>5.7000000000000002E-3</v>
      </c>
      <c r="L174"/>
      <c r="M174"/>
      <c r="N174"/>
      <c r="O174"/>
      <c r="P174"/>
      <c r="Q174"/>
      <c r="R174"/>
      <c r="S174"/>
    </row>
    <row r="175" spans="1:19" s="2" customFormat="1" hidden="1" outlineLevel="1" x14ac:dyDescent="0.25">
      <c r="A175" s="2">
        <f t="shared" si="32"/>
        <v>157</v>
      </c>
      <c r="B175" s="4" t="s">
        <v>57</v>
      </c>
      <c r="C175" s="8">
        <v>8.3999999999999995E-3</v>
      </c>
      <c r="D175" s="8">
        <v>9.0999999999999987E-3</v>
      </c>
      <c r="E175" s="8">
        <v>8.6999999999999994E-3</v>
      </c>
      <c r="F175" s="8">
        <v>9.2999999999999992E-3</v>
      </c>
      <c r="G175" s="8">
        <v>9.4999999999999998E-3</v>
      </c>
      <c r="H175" s="8">
        <v>9.3999999999999986E-3</v>
      </c>
      <c r="I175" s="8">
        <v>9.2999999999999992E-3</v>
      </c>
      <c r="J175" s="8">
        <v>9.6999999999999986E-3</v>
      </c>
      <c r="L175"/>
      <c r="M175"/>
      <c r="N175"/>
      <c r="O175"/>
      <c r="P175"/>
      <c r="Q175"/>
      <c r="R175"/>
      <c r="S175"/>
    </row>
    <row r="176" spans="1:19" s="2" customFormat="1" hidden="1" outlineLevel="1" x14ac:dyDescent="0.25">
      <c r="A176" s="2">
        <f t="shared" si="32"/>
        <v>158</v>
      </c>
      <c r="B176" s="4" t="s">
        <v>58</v>
      </c>
      <c r="C176" s="8">
        <v>1.7000000000000001E-3</v>
      </c>
      <c r="D176" s="8">
        <v>1.7000000000000001E-3</v>
      </c>
      <c r="E176" s="8">
        <v>1.8E-3</v>
      </c>
      <c r="F176" s="8">
        <v>1.7000000000000001E-3</v>
      </c>
      <c r="G176" s="8">
        <v>1.7000000000000001E-3</v>
      </c>
      <c r="H176" s="8">
        <v>1.7000000000000001E-3</v>
      </c>
      <c r="I176" s="8">
        <v>1.7000000000000001E-3</v>
      </c>
      <c r="J176" s="8">
        <v>1.7000000000000001E-3</v>
      </c>
      <c r="L176"/>
      <c r="M176"/>
      <c r="N176"/>
      <c r="O176"/>
      <c r="P176"/>
      <c r="Q176"/>
      <c r="R176"/>
      <c r="S176"/>
    </row>
    <row r="177" spans="1:19" s="2" customFormat="1" hidden="1" outlineLevel="1" x14ac:dyDescent="0.25">
      <c r="A177" s="2">
        <f t="shared" si="32"/>
        <v>159</v>
      </c>
      <c r="B177" s="4" t="s">
        <v>59</v>
      </c>
      <c r="C177" s="8">
        <v>0.14259999999999998</v>
      </c>
      <c r="D177" s="8">
        <v>0.15989999999999999</v>
      </c>
      <c r="E177" s="8">
        <v>0.14529999999999998</v>
      </c>
      <c r="F177" s="8">
        <v>0.16489999999999999</v>
      </c>
      <c r="G177" s="8">
        <v>0.1696</v>
      </c>
      <c r="H177" s="8">
        <v>0.16719999999999999</v>
      </c>
      <c r="I177" s="8">
        <v>0.1633</v>
      </c>
      <c r="J177" s="8">
        <v>0.17319999999999999</v>
      </c>
      <c r="L177"/>
      <c r="M177"/>
      <c r="N177"/>
      <c r="O177"/>
      <c r="P177"/>
      <c r="Q177"/>
      <c r="R177"/>
      <c r="S177"/>
    </row>
    <row r="178" spans="1:19" s="2" customFormat="1" hidden="1" outlineLevel="1" x14ac:dyDescent="0.25">
      <c r="A178" s="2">
        <f t="shared" si="32"/>
        <v>160</v>
      </c>
      <c r="B178" s="4" t="s">
        <v>60</v>
      </c>
      <c r="C178" s="8">
        <v>5.91E-2</v>
      </c>
      <c r="D178" s="8">
        <v>6.4299999999999996E-2</v>
      </c>
      <c r="E178" s="8">
        <v>6.08E-2</v>
      </c>
      <c r="F178" s="8">
        <v>6.59E-2</v>
      </c>
      <c r="G178" s="8">
        <v>6.720000000000001E-2</v>
      </c>
      <c r="H178" s="8">
        <v>6.6500000000000004E-2</v>
      </c>
      <c r="I178" s="8">
        <v>6.54E-2</v>
      </c>
      <c r="J178" s="8">
        <v>6.8199999999999997E-2</v>
      </c>
      <c r="L178"/>
      <c r="M178"/>
      <c r="N178"/>
      <c r="O178"/>
      <c r="P178"/>
      <c r="Q178"/>
      <c r="R178"/>
      <c r="S178"/>
    </row>
    <row r="179" spans="1:19" s="2" customFormat="1" hidden="1" outlineLevel="1" x14ac:dyDescent="0.25">
      <c r="A179" s="2">
        <f t="shared" si="32"/>
        <v>161</v>
      </c>
      <c r="B179" s="4" t="s">
        <v>61</v>
      </c>
      <c r="C179" s="8">
        <v>3.0000000000000003E-4</v>
      </c>
      <c r="D179" s="8">
        <v>3.0000000000000003E-4</v>
      </c>
      <c r="E179" s="8">
        <v>3.0000000000000003E-4</v>
      </c>
      <c r="F179" s="8">
        <v>3.0000000000000003E-4</v>
      </c>
      <c r="G179" s="8">
        <v>3.0000000000000003E-4</v>
      </c>
      <c r="H179" s="8">
        <v>3.0000000000000003E-4</v>
      </c>
      <c r="I179" s="8">
        <v>3.0000000000000003E-4</v>
      </c>
      <c r="J179" s="8">
        <v>3.9999999999999996E-4</v>
      </c>
      <c r="L179"/>
      <c r="M179"/>
      <c r="N179"/>
      <c r="O179"/>
      <c r="P179"/>
      <c r="Q179"/>
      <c r="R179"/>
      <c r="S179"/>
    </row>
    <row r="180" spans="1:19" s="2" customFormat="1" hidden="1" outlineLevel="1" x14ac:dyDescent="0.25">
      <c r="A180" s="2">
        <f t="shared" si="32"/>
        <v>162</v>
      </c>
      <c r="B180" s="4" t="s">
        <v>62</v>
      </c>
      <c r="C180" s="8">
        <v>3.1999999999999997E-3</v>
      </c>
      <c r="D180" s="8">
        <v>3.5999999999999999E-3</v>
      </c>
      <c r="E180" s="8">
        <v>3.3E-3</v>
      </c>
      <c r="F180" s="8">
        <v>3.6999999999999997E-3</v>
      </c>
      <c r="G180" s="8">
        <v>3.8E-3</v>
      </c>
      <c r="H180" s="8">
        <v>3.8E-3</v>
      </c>
      <c r="I180" s="8">
        <v>3.6999999999999997E-3</v>
      </c>
      <c r="J180" s="8">
        <v>3.8999999999999998E-3</v>
      </c>
      <c r="L180"/>
      <c r="M180"/>
      <c r="N180"/>
      <c r="O180"/>
      <c r="P180"/>
      <c r="Q180"/>
      <c r="R180"/>
      <c r="S180"/>
    </row>
    <row r="181" spans="1:19" s="2" customFormat="1" hidden="1" outlineLevel="1" x14ac:dyDescent="0.25">
      <c r="A181" s="2">
        <f t="shared" si="32"/>
        <v>163</v>
      </c>
      <c r="B181" s="4" t="s">
        <v>63</v>
      </c>
      <c r="C181" s="8">
        <v>3.7700000000000004E-2</v>
      </c>
      <c r="D181" s="8">
        <v>4.0800000000000003E-2</v>
      </c>
      <c r="E181" s="8">
        <v>3.8800000000000001E-2</v>
      </c>
      <c r="F181" s="8">
        <v>4.1700000000000001E-2</v>
      </c>
      <c r="G181" s="8">
        <v>4.2600000000000006E-2</v>
      </c>
      <c r="H181" s="8">
        <v>4.2100000000000005E-2</v>
      </c>
      <c r="I181" s="8">
        <v>4.1500000000000002E-2</v>
      </c>
      <c r="J181" s="8">
        <v>4.3200000000000002E-2</v>
      </c>
      <c r="L181"/>
      <c r="M181"/>
      <c r="N181"/>
      <c r="O181"/>
      <c r="P181"/>
      <c r="Q181"/>
      <c r="R181"/>
      <c r="S181"/>
    </row>
    <row r="182" spans="1:19" s="2" customFormat="1" hidden="1" outlineLevel="1" x14ac:dyDescent="0.25">
      <c r="A182" s="2">
        <f t="shared" si="32"/>
        <v>164</v>
      </c>
      <c r="B182" s="4" t="s">
        <v>64</v>
      </c>
      <c r="C182" s="8">
        <v>7.5000000000001732E-3</v>
      </c>
      <c r="D182" s="8">
        <v>9.400000000000075E-3</v>
      </c>
      <c r="E182" s="8">
        <v>7.2000000000000952E-3</v>
      </c>
      <c r="F182" s="8">
        <v>1.010000000000022E-2</v>
      </c>
      <c r="G182" s="8">
        <v>1.0800000000000032E-2</v>
      </c>
      <c r="H182" s="8">
        <v>1.0299999999999976E-2</v>
      </c>
      <c r="I182" s="8">
        <v>9.8000000000000309E-3</v>
      </c>
      <c r="J182" s="8">
        <v>1.0899999999999799E-2</v>
      </c>
      <c r="L182"/>
      <c r="M182"/>
      <c r="N182"/>
      <c r="O182"/>
      <c r="P182"/>
      <c r="Q182"/>
      <c r="R182"/>
      <c r="S182"/>
    </row>
    <row r="183" spans="1:19" s="2" customFormat="1" hidden="1" outlineLevel="1" x14ac:dyDescent="0.25">
      <c r="A183" s="2">
        <f t="shared" si="32"/>
        <v>165</v>
      </c>
      <c r="B183" s="12" t="s">
        <v>68</v>
      </c>
      <c r="C183" s="13">
        <f t="shared" ref="C183:J183" si="41">SUM(C163:C182)</f>
        <v>1</v>
      </c>
      <c r="D183" s="13">
        <f t="shared" si="41"/>
        <v>1</v>
      </c>
      <c r="E183" s="13">
        <f t="shared" si="41"/>
        <v>1</v>
      </c>
      <c r="F183" s="13">
        <f t="shared" si="41"/>
        <v>1</v>
      </c>
      <c r="G183" s="13">
        <f t="shared" si="41"/>
        <v>1</v>
      </c>
      <c r="H183" s="13">
        <f t="shared" si="41"/>
        <v>1</v>
      </c>
      <c r="I183" s="13">
        <f t="shared" si="41"/>
        <v>1</v>
      </c>
      <c r="J183" s="13">
        <f t="shared" si="41"/>
        <v>1</v>
      </c>
      <c r="L183"/>
      <c r="M183"/>
      <c r="N183"/>
      <c r="O183"/>
      <c r="P183"/>
      <c r="Q183"/>
      <c r="R183"/>
      <c r="S183"/>
    </row>
    <row r="184" spans="1:19" s="2" customFormat="1" x14ac:dyDescent="0.25">
      <c r="A184" s="2">
        <f t="shared" si="32"/>
        <v>166</v>
      </c>
      <c r="B184" s="10" t="s">
        <v>67</v>
      </c>
      <c r="C184" s="11">
        <f>SUMPRODUCT('BOM &amp; cycles'!$E$3:$E$22,C163:C182)</f>
        <v>0.60326572460856587</v>
      </c>
      <c r="D184" s="11">
        <f>SUMPRODUCT('BOM &amp; cycles'!$E$3:$E$22,D163:D182)</f>
        <v>0.58060752772200586</v>
      </c>
      <c r="E184" s="11">
        <f>SUMPRODUCT('BOM &amp; cycles'!$E$3:$E$22,E163:E182)</f>
        <v>0.59284978373898312</v>
      </c>
      <c r="F184" s="11">
        <f>SUMPRODUCT('BOM &amp; cycles'!$E$3:$E$22,F163:F182)</f>
        <v>0.5722820992757548</v>
      </c>
      <c r="G184" s="11">
        <f>SUMPRODUCT('BOM &amp; cycles'!$E$3:$E$22,G163:G182)</f>
        <v>0.5646147687962203</v>
      </c>
      <c r="H184" s="11">
        <f>SUMPRODUCT('BOM &amp; cycles'!$E$3:$E$22,H163:H182)</f>
        <v>0.56953017685142282</v>
      </c>
      <c r="I184" s="11">
        <f>SUMPRODUCT('BOM &amp; cycles'!$E$3:$E$22,I163:I182)</f>
        <v>0.57491454667334096</v>
      </c>
      <c r="J184" s="11">
        <f>SUMPRODUCT('BOM &amp; cycles'!$E$3:$E$22,J163:J182)</f>
        <v>0.55865242074685006</v>
      </c>
      <c r="L184"/>
      <c r="M184"/>
      <c r="N184"/>
      <c r="O184"/>
      <c r="P184"/>
      <c r="Q184"/>
      <c r="R184"/>
      <c r="S184"/>
    </row>
    <row r="185" spans="1:19" s="2" customFormat="1" x14ac:dyDescent="0.25">
      <c r="A185" s="2">
        <f t="shared" si="32"/>
        <v>167</v>
      </c>
      <c r="B185" s="10" t="s">
        <v>70</v>
      </c>
      <c r="C185" s="11">
        <f>SUMPRODUCT('BOM &amp; cycles'!$F$3:$F$22,C163:C182)</f>
        <v>2.9747717300869714E-2</v>
      </c>
      <c r="D185" s="11">
        <f>SUMPRODUCT('BOM &amp; cycles'!$F$3:$F$22,D163:D182)</f>
        <v>2.9117801466500264E-2</v>
      </c>
      <c r="E185" s="11">
        <f>SUMPRODUCT('BOM &amp; cycles'!$F$3:$F$22,E163:E182)</f>
        <v>3.0757438331238621E-2</v>
      </c>
      <c r="F185" s="11">
        <f>SUMPRODUCT('BOM &amp; cycles'!$F$3:$F$22,F163:F182)</f>
        <v>2.9215735790442822E-2</v>
      </c>
      <c r="G185" s="11">
        <f>SUMPRODUCT('BOM &amp; cycles'!$F$3:$F$22,G163:G182)</f>
        <v>2.9297578794827563E-2</v>
      </c>
      <c r="H185" s="11">
        <f>SUMPRODUCT('BOM &amp; cycles'!$F$3:$F$22,H163:H182)</f>
        <v>2.9099819232143598E-2</v>
      </c>
      <c r="I185" s="11">
        <f>SUMPRODUCT('BOM &amp; cycles'!$F$3:$F$22,I163:I182)</f>
        <v>2.9180612168734771E-2</v>
      </c>
      <c r="J185" s="11">
        <f>SUMPRODUCT('BOM &amp; cycles'!$F$3:$F$22,J163:J182)</f>
        <v>2.9414713590321412E-2</v>
      </c>
      <c r="L185"/>
      <c r="M185"/>
      <c r="N185"/>
      <c r="O185"/>
      <c r="P185"/>
      <c r="Q185"/>
      <c r="R185"/>
      <c r="S185"/>
    </row>
    <row r="186" spans="1:19" s="2" customFormat="1" x14ac:dyDescent="0.25">
      <c r="A186" s="2">
        <f t="shared" si="32"/>
        <v>168</v>
      </c>
      <c r="B186" s="10" t="s">
        <v>71</v>
      </c>
      <c r="C186" s="11">
        <f>SUMPRODUCT('BOM &amp; cycles'!$G$3:$G$22,C163:C182)</f>
        <v>0.36698655809056441</v>
      </c>
      <c r="D186" s="11">
        <f>SUMPRODUCT('BOM &amp; cycles'!$G$3:$G$22,D163:D182)</f>
        <v>0.39027467081149397</v>
      </c>
      <c r="E186" s="11">
        <f>SUMPRODUCT('BOM &amp; cycles'!$G$3:$G$22,E163:E182)</f>
        <v>0.37639277792977832</v>
      </c>
      <c r="F186" s="11">
        <f>SUMPRODUCT('BOM &amp; cycles'!$G$3:$G$22,F163:F182)</f>
        <v>0.39850216493380264</v>
      </c>
      <c r="G186" s="11">
        <f>SUMPRODUCT('BOM &amp; cycles'!$G$3:$G$22,G163:G182)</f>
        <v>0.40608765240895239</v>
      </c>
      <c r="H186" s="11">
        <f>SUMPRODUCT('BOM &amp; cycles'!$G$3:$G$22,H163:H182)</f>
        <v>0.40137000391643368</v>
      </c>
      <c r="I186" s="11">
        <f>SUMPRODUCT('BOM &amp; cycles'!$G$3:$G$22,I163:I182)</f>
        <v>0.3959048411579244</v>
      </c>
      <c r="J186" s="11">
        <f>SUMPRODUCT('BOM &amp; cycles'!$G$3:$G$22,J163:J182)</f>
        <v>0.41193286566282838</v>
      </c>
      <c r="L186"/>
      <c r="M186"/>
      <c r="N186"/>
      <c r="O186"/>
      <c r="P186"/>
      <c r="Q186"/>
      <c r="R186"/>
      <c r="S186"/>
    </row>
    <row r="187" spans="1:19" x14ac:dyDescent="0.25">
      <c r="A187" s="2">
        <f t="shared" si="32"/>
        <v>169</v>
      </c>
      <c r="B187" s="36" t="s">
        <v>237</v>
      </c>
      <c r="C187" s="35">
        <v>143.04999999999998</v>
      </c>
      <c r="D187" s="35">
        <v>172.62</v>
      </c>
      <c r="E187" s="35">
        <v>139.72999999999999</v>
      </c>
      <c r="F187" s="35">
        <v>181.89</v>
      </c>
      <c r="G187" s="35">
        <v>192.19</v>
      </c>
      <c r="H187" s="35">
        <v>186.76</v>
      </c>
      <c r="I187" s="35">
        <v>180.82</v>
      </c>
      <c r="J187" s="35">
        <v>197.89</v>
      </c>
    </row>
    <row r="188" spans="1:19" x14ac:dyDescent="0.25">
      <c r="A188" s="2">
        <f t="shared" si="32"/>
        <v>170</v>
      </c>
      <c r="B188" s="36" t="s">
        <v>236</v>
      </c>
      <c r="C188" s="69">
        <f>C187/C184</f>
        <v>237.12601953777369</v>
      </c>
      <c r="D188" s="69">
        <f t="shared" ref="D188" si="42">D187/D184</f>
        <v>297.30926961499927</v>
      </c>
      <c r="E188" s="69">
        <f t="shared" ref="E188" si="43">E187/E184</f>
        <v>235.69208226534431</v>
      </c>
      <c r="F188" s="69">
        <f t="shared" ref="F188" si="44">F187/F184</f>
        <v>317.83276155271824</v>
      </c>
      <c r="G188" s="69">
        <f t="shared" ref="G188" si="45">G187/G184</f>
        <v>340.39137943514339</v>
      </c>
      <c r="H188" s="69">
        <f t="shared" ref="H188" si="46">H187/H184</f>
        <v>327.91941075445652</v>
      </c>
      <c r="I188" s="69">
        <f t="shared" ref="I188" si="47">I187/I184</f>
        <v>314.51630689515252</v>
      </c>
      <c r="J188" s="69">
        <f t="shared" ref="J188" si="48">J187/J184</f>
        <v>354.22740983641535</v>
      </c>
    </row>
    <row r="189" spans="1:19" x14ac:dyDescent="0.25">
      <c r="A189" s="2">
        <f t="shared" si="32"/>
        <v>171</v>
      </c>
    </row>
    <row r="190" spans="1:19" s="2" customFormat="1" x14ac:dyDescent="0.25">
      <c r="A190" s="2">
        <f t="shared" si="32"/>
        <v>172</v>
      </c>
      <c r="B190" s="9" t="s">
        <v>93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 spans="1:19" s="2" customFormat="1" collapsed="1" x14ac:dyDescent="0.25">
      <c r="A191" s="2">
        <f t="shared" si="32"/>
        <v>173</v>
      </c>
      <c r="B191" s="1" t="s">
        <v>66</v>
      </c>
      <c r="C191" s="1" t="s">
        <v>6</v>
      </c>
      <c r="D191" s="1" t="s">
        <v>10</v>
      </c>
      <c r="E191" s="1" t="s">
        <v>81</v>
      </c>
      <c r="F191" s="1" t="s">
        <v>12</v>
      </c>
      <c r="G191" s="1" t="s">
        <v>13</v>
      </c>
      <c r="H191" s="1" t="s">
        <v>77</v>
      </c>
      <c r="I191" s="1" t="s">
        <v>11</v>
      </c>
      <c r="J191" s="1" t="s">
        <v>14</v>
      </c>
      <c r="L191"/>
      <c r="M191"/>
      <c r="N191"/>
      <c r="O191"/>
      <c r="P191"/>
      <c r="Q191"/>
      <c r="R191"/>
      <c r="S191"/>
    </row>
    <row r="192" spans="1:19" s="2" customFormat="1" hidden="1" outlineLevel="1" x14ac:dyDescent="0.25">
      <c r="A192" s="2">
        <f t="shared" si="32"/>
        <v>174</v>
      </c>
      <c r="B192" s="4" t="s">
        <v>18</v>
      </c>
      <c r="C192" s="8">
        <v>0.31619999999999998</v>
      </c>
      <c r="D192" s="8">
        <v>0.27979999999999999</v>
      </c>
      <c r="E192" s="8">
        <v>0.27789999999999998</v>
      </c>
      <c r="F192" s="8">
        <v>0.26439999999999997</v>
      </c>
      <c r="G192" s="8">
        <v>0.25009999999999999</v>
      </c>
      <c r="H192" s="8">
        <v>0.25869999999999999</v>
      </c>
      <c r="I192" s="8">
        <v>0.2676</v>
      </c>
      <c r="J192" s="8">
        <v>0.2412</v>
      </c>
      <c r="L192"/>
      <c r="M192"/>
      <c r="N192"/>
      <c r="O192"/>
      <c r="P192"/>
      <c r="Q192"/>
      <c r="R192"/>
      <c r="S192"/>
    </row>
    <row r="193" spans="1:19" s="2" customFormat="1" hidden="1" outlineLevel="1" x14ac:dyDescent="0.25">
      <c r="A193" s="2">
        <f t="shared" si="32"/>
        <v>175</v>
      </c>
      <c r="B193" s="4" t="s">
        <v>19</v>
      </c>
      <c r="C193" s="8">
        <v>0.1249</v>
      </c>
      <c r="D193" s="8">
        <v>0.15769999999999998</v>
      </c>
      <c r="E193" s="8">
        <v>0.14299999999999999</v>
      </c>
      <c r="F193" s="8">
        <v>0.16569999999999999</v>
      </c>
      <c r="G193" s="8">
        <v>0.1749</v>
      </c>
      <c r="H193" s="8">
        <v>0.17129999999999998</v>
      </c>
      <c r="I193" s="8">
        <v>0.16439999999999999</v>
      </c>
      <c r="J193" s="8">
        <v>0.18129999999999999</v>
      </c>
      <c r="L193"/>
      <c r="M193"/>
      <c r="N193"/>
      <c r="O193"/>
      <c r="P193"/>
      <c r="Q193"/>
      <c r="R193"/>
      <c r="S193"/>
    </row>
    <row r="194" spans="1:19" s="2" customFormat="1" hidden="1" outlineLevel="1" x14ac:dyDescent="0.25">
      <c r="A194" s="2">
        <f t="shared" si="32"/>
        <v>176</v>
      </c>
      <c r="B194" s="4" t="s">
        <v>20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L194"/>
      <c r="M194"/>
      <c r="N194"/>
      <c r="O194"/>
      <c r="P194"/>
      <c r="Q194"/>
      <c r="R194"/>
      <c r="S194"/>
    </row>
    <row r="195" spans="1:19" s="2" customFormat="1" hidden="1" outlineLevel="1" x14ac:dyDescent="0.25">
      <c r="A195" s="2">
        <f t="shared" si="32"/>
        <v>177</v>
      </c>
      <c r="B195" s="4" t="s">
        <v>21</v>
      </c>
      <c r="C195" s="8">
        <v>9.0999999999999987E-3</v>
      </c>
      <c r="D195" s="8">
        <v>8.9999999999999993E-3</v>
      </c>
      <c r="E195" s="8">
        <v>8.6E-3</v>
      </c>
      <c r="F195" s="8">
        <v>8.7999999999999988E-3</v>
      </c>
      <c r="G195" s="8">
        <v>8.6999999999999994E-3</v>
      </c>
      <c r="H195" s="8">
        <v>8.7999999999999988E-3</v>
      </c>
      <c r="I195" s="8">
        <v>8.8999999999999999E-3</v>
      </c>
      <c r="J195" s="8">
        <v>8.6999999999999994E-3</v>
      </c>
      <c r="L195"/>
      <c r="M195"/>
      <c r="N195"/>
      <c r="O195"/>
      <c r="P195"/>
      <c r="Q195"/>
      <c r="R195"/>
      <c r="S195"/>
    </row>
    <row r="196" spans="1:19" s="2" customFormat="1" hidden="1" outlineLevel="1" x14ac:dyDescent="0.25">
      <c r="A196" s="2">
        <f t="shared" si="32"/>
        <v>178</v>
      </c>
      <c r="B196" s="4" t="s">
        <v>23</v>
      </c>
      <c r="C196" s="8">
        <v>9.2800000000000007E-2</v>
      </c>
      <c r="D196" s="8">
        <v>7.7800000000000008E-2</v>
      </c>
      <c r="E196" s="8">
        <v>9.6500000000000002E-2</v>
      </c>
      <c r="F196" s="8">
        <v>7.5499999999999998E-2</v>
      </c>
      <c r="G196" s="8">
        <v>7.3400000000000007E-2</v>
      </c>
      <c r="H196" s="8">
        <v>7.350000000000001E-2</v>
      </c>
      <c r="I196" s="8">
        <v>7.5900000000000009E-2</v>
      </c>
      <c r="J196" s="8">
        <v>7.2099999999999997E-2</v>
      </c>
      <c r="L196"/>
      <c r="M196"/>
      <c r="N196"/>
      <c r="O196"/>
      <c r="P196"/>
      <c r="Q196"/>
      <c r="R196"/>
      <c r="S196"/>
    </row>
    <row r="197" spans="1:19" s="2" customFormat="1" hidden="1" outlineLevel="1" x14ac:dyDescent="0.25">
      <c r="A197" s="2">
        <f t="shared" si="32"/>
        <v>179</v>
      </c>
      <c r="B197" s="4" t="s">
        <v>22</v>
      </c>
      <c r="C197" s="8">
        <v>0.1235</v>
      </c>
      <c r="D197" s="8">
        <v>0.1222</v>
      </c>
      <c r="E197" s="8">
        <v>0.12789999999999999</v>
      </c>
      <c r="F197" s="8">
        <v>0.1231</v>
      </c>
      <c r="G197" s="8">
        <v>0.12380000000000001</v>
      </c>
      <c r="H197" s="8">
        <v>0.12280000000000001</v>
      </c>
      <c r="I197" s="8">
        <v>0.123</v>
      </c>
      <c r="J197" s="8">
        <v>0.1241</v>
      </c>
      <c r="L197"/>
      <c r="M197"/>
      <c r="N197"/>
      <c r="O197"/>
      <c r="P197"/>
      <c r="Q197"/>
      <c r="R197"/>
      <c r="S197"/>
    </row>
    <row r="198" spans="1:19" s="2" customFormat="1" hidden="1" outlineLevel="1" x14ac:dyDescent="0.25">
      <c r="A198" s="2">
        <f t="shared" si="32"/>
        <v>180</v>
      </c>
      <c r="B198" s="4" t="s">
        <v>55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L198"/>
      <c r="M198"/>
      <c r="N198"/>
      <c r="O198"/>
      <c r="P198"/>
      <c r="Q198"/>
      <c r="R198"/>
      <c r="S198"/>
    </row>
    <row r="199" spans="1:19" s="2" customFormat="1" hidden="1" outlineLevel="1" x14ac:dyDescent="0.25">
      <c r="A199" s="2">
        <f t="shared" si="32"/>
        <v>181</v>
      </c>
      <c r="B199" s="4" t="s">
        <v>24</v>
      </c>
      <c r="C199" s="8">
        <v>1.18E-2</v>
      </c>
      <c r="D199" s="8">
        <v>1.1099999999999999E-2</v>
      </c>
      <c r="E199" s="8">
        <v>1.2799999999999999E-2</v>
      </c>
      <c r="F199" s="8">
        <v>1.09E-2</v>
      </c>
      <c r="G199" s="8">
        <v>1.09E-2</v>
      </c>
      <c r="H199" s="8">
        <v>1.0799999999999999E-2</v>
      </c>
      <c r="I199" s="8">
        <v>1.0999999999999999E-2</v>
      </c>
      <c r="J199" s="8">
        <v>1.09E-2</v>
      </c>
      <c r="L199"/>
      <c r="M199"/>
      <c r="N199"/>
      <c r="O199"/>
      <c r="P199"/>
      <c r="Q199"/>
      <c r="R199"/>
      <c r="S199"/>
    </row>
    <row r="200" spans="1:19" s="2" customFormat="1" hidden="1" outlineLevel="1" x14ac:dyDescent="0.25">
      <c r="A200" s="2">
        <f t="shared" si="32"/>
        <v>182</v>
      </c>
      <c r="B200" s="4" t="s">
        <v>25</v>
      </c>
      <c r="C200" s="8">
        <v>3.27E-2</v>
      </c>
      <c r="D200" s="8">
        <v>3.0800000000000001E-2</v>
      </c>
      <c r="E200" s="8">
        <v>3.5500000000000004E-2</v>
      </c>
      <c r="F200" s="8">
        <v>3.04E-2</v>
      </c>
      <c r="G200" s="8">
        <v>3.0199999999999998E-2</v>
      </c>
      <c r="H200" s="8">
        <v>3.0099999999999998E-2</v>
      </c>
      <c r="I200" s="8">
        <v>3.0499999999999999E-2</v>
      </c>
      <c r="J200" s="8">
        <v>3.0199999999999998E-2</v>
      </c>
      <c r="L200"/>
      <c r="M200"/>
      <c r="N200"/>
      <c r="O200"/>
      <c r="P200"/>
      <c r="Q200"/>
      <c r="R200"/>
      <c r="S200"/>
    </row>
    <row r="201" spans="1:19" s="2" customFormat="1" hidden="1" outlineLevel="1" x14ac:dyDescent="0.25">
      <c r="A201" s="2">
        <f t="shared" si="32"/>
        <v>183</v>
      </c>
      <c r="B201" s="4" t="s">
        <v>26</v>
      </c>
      <c r="C201" s="8">
        <v>3.27E-2</v>
      </c>
      <c r="D201" s="8">
        <v>3.0800000000000001E-2</v>
      </c>
      <c r="E201" s="8">
        <v>3.5500000000000004E-2</v>
      </c>
      <c r="F201" s="8">
        <v>3.04E-2</v>
      </c>
      <c r="G201" s="8">
        <v>3.0199999999999998E-2</v>
      </c>
      <c r="H201" s="8">
        <v>3.0099999999999998E-2</v>
      </c>
      <c r="I201" s="8">
        <v>3.0499999999999999E-2</v>
      </c>
      <c r="J201" s="8">
        <v>3.0199999999999998E-2</v>
      </c>
      <c r="L201"/>
      <c r="M201"/>
      <c r="N201"/>
      <c r="O201"/>
      <c r="P201"/>
      <c r="Q201"/>
      <c r="R201"/>
      <c r="S201"/>
    </row>
    <row r="202" spans="1:19" s="2" customFormat="1" hidden="1" outlineLevel="1" x14ac:dyDescent="0.25">
      <c r="A202" s="2">
        <f t="shared" si="32"/>
        <v>184</v>
      </c>
      <c r="B202" s="4" t="s">
        <v>27</v>
      </c>
      <c r="C202" s="8">
        <v>8.0000000000000004E-4</v>
      </c>
      <c r="D202" s="8">
        <v>8.0000000000000004E-4</v>
      </c>
      <c r="E202" s="8">
        <v>9.0000000000000008E-4</v>
      </c>
      <c r="F202" s="8">
        <v>8.0000000000000004E-4</v>
      </c>
      <c r="G202" s="8">
        <v>9.0000000000000008E-4</v>
      </c>
      <c r="H202" s="8">
        <v>8.0000000000000004E-4</v>
      </c>
      <c r="I202" s="8">
        <v>9.0000000000000008E-4</v>
      </c>
      <c r="J202" s="8">
        <v>9.0000000000000008E-4</v>
      </c>
      <c r="L202"/>
      <c r="M202"/>
      <c r="N202"/>
      <c r="O202"/>
      <c r="P202"/>
      <c r="Q202"/>
      <c r="R202"/>
      <c r="S202"/>
    </row>
    <row r="203" spans="1:19" s="2" customFormat="1" hidden="1" outlineLevel="1" x14ac:dyDescent="0.25">
      <c r="A203" s="2">
        <f t="shared" si="32"/>
        <v>185</v>
      </c>
      <c r="B203" s="4" t="s">
        <v>56</v>
      </c>
      <c r="C203" s="8">
        <v>1.0199999999999999E-2</v>
      </c>
      <c r="D203" s="8">
        <v>7.3000000000000001E-3</v>
      </c>
      <c r="E203" s="8">
        <v>1.0699999999999999E-2</v>
      </c>
      <c r="F203" s="8">
        <v>6.8000000000000005E-3</v>
      </c>
      <c r="G203" s="8">
        <v>6.3E-3</v>
      </c>
      <c r="H203" s="8">
        <v>6.4000000000000003E-3</v>
      </c>
      <c r="I203" s="8">
        <v>6.8999999999999999E-3</v>
      </c>
      <c r="J203" s="8">
        <v>6.0000000000000001E-3</v>
      </c>
      <c r="L203"/>
      <c r="M203"/>
      <c r="N203"/>
      <c r="O203"/>
      <c r="P203"/>
      <c r="Q203"/>
      <c r="R203"/>
      <c r="S203"/>
    </row>
    <row r="204" spans="1:19" s="2" customFormat="1" hidden="1" outlineLevel="1" x14ac:dyDescent="0.25">
      <c r="A204" s="2">
        <f t="shared" si="32"/>
        <v>186</v>
      </c>
      <c r="B204" s="4" t="s">
        <v>57</v>
      </c>
      <c r="C204" s="8">
        <v>8.3000000000000001E-3</v>
      </c>
      <c r="D204" s="8">
        <v>9.0999999999999987E-3</v>
      </c>
      <c r="E204" s="8">
        <v>8.6E-3</v>
      </c>
      <c r="F204" s="8">
        <v>9.2999999999999992E-3</v>
      </c>
      <c r="G204" s="8">
        <v>9.4999999999999998E-3</v>
      </c>
      <c r="H204" s="8">
        <v>9.3999999999999986E-3</v>
      </c>
      <c r="I204" s="8">
        <v>9.2999999999999992E-3</v>
      </c>
      <c r="J204" s="8">
        <v>9.5999999999999992E-3</v>
      </c>
      <c r="L204"/>
      <c r="M204"/>
      <c r="N204"/>
      <c r="O204"/>
      <c r="P204"/>
      <c r="Q204"/>
      <c r="R204"/>
      <c r="S204"/>
    </row>
    <row r="205" spans="1:19" s="2" customFormat="1" hidden="1" outlineLevel="1" x14ac:dyDescent="0.25">
      <c r="A205" s="2">
        <f t="shared" si="32"/>
        <v>187</v>
      </c>
      <c r="B205" s="4" t="s">
        <v>58</v>
      </c>
      <c r="C205" s="8">
        <v>1.8E-3</v>
      </c>
      <c r="D205" s="8">
        <v>1.8E-3</v>
      </c>
      <c r="E205" s="8">
        <v>1.9E-3</v>
      </c>
      <c r="F205" s="8">
        <v>1.8E-3</v>
      </c>
      <c r="G205" s="8">
        <v>1.8E-3</v>
      </c>
      <c r="H205" s="8">
        <v>1.8E-3</v>
      </c>
      <c r="I205" s="8">
        <v>1.8E-3</v>
      </c>
      <c r="J205" s="8">
        <v>1.8E-3</v>
      </c>
      <c r="L205"/>
      <c r="M205"/>
      <c r="N205"/>
      <c r="O205"/>
      <c r="P205"/>
      <c r="Q205"/>
      <c r="R205"/>
      <c r="S205"/>
    </row>
    <row r="206" spans="1:19" s="2" customFormat="1" hidden="1" outlineLevel="1" x14ac:dyDescent="0.25">
      <c r="A206" s="2">
        <f t="shared" si="32"/>
        <v>188</v>
      </c>
      <c r="B206" s="4" t="s">
        <v>59</v>
      </c>
      <c r="C206" s="8">
        <v>0.13299999999999998</v>
      </c>
      <c r="D206" s="8">
        <v>0.14959999999999998</v>
      </c>
      <c r="E206" s="8">
        <v>0.13539999999999999</v>
      </c>
      <c r="F206" s="8">
        <v>0.156</v>
      </c>
      <c r="G206" s="8">
        <v>0.16049999999999998</v>
      </c>
      <c r="H206" s="8">
        <v>0.15819999999999998</v>
      </c>
      <c r="I206" s="8">
        <v>0.15439999999999998</v>
      </c>
      <c r="J206" s="8">
        <v>0.1628</v>
      </c>
      <c r="L206"/>
      <c r="M206"/>
      <c r="N206"/>
      <c r="O206"/>
      <c r="P206"/>
      <c r="Q206"/>
      <c r="R206"/>
      <c r="S206"/>
    </row>
    <row r="207" spans="1:19" s="2" customFormat="1" hidden="1" outlineLevel="1" x14ac:dyDescent="0.25">
      <c r="A207" s="2">
        <f t="shared" si="32"/>
        <v>189</v>
      </c>
      <c r="B207" s="4" t="s">
        <v>60</v>
      </c>
      <c r="C207" s="8">
        <v>5.7500000000000002E-2</v>
      </c>
      <c r="D207" s="8">
        <v>6.2800000000000009E-2</v>
      </c>
      <c r="E207" s="8">
        <v>5.91E-2</v>
      </c>
      <c r="F207" s="8">
        <v>6.4799999999999996E-2</v>
      </c>
      <c r="G207" s="8">
        <v>6.6200000000000009E-2</v>
      </c>
      <c r="H207" s="8">
        <v>6.54E-2</v>
      </c>
      <c r="I207" s="8">
        <v>6.4299999999999996E-2</v>
      </c>
      <c r="J207" s="8">
        <v>6.6900000000000001E-2</v>
      </c>
      <c r="L207"/>
      <c r="M207"/>
      <c r="N207"/>
      <c r="O207"/>
      <c r="P207"/>
      <c r="Q207"/>
      <c r="R207"/>
      <c r="S207"/>
    </row>
    <row r="208" spans="1:19" s="2" customFormat="1" hidden="1" outlineLevel="1" x14ac:dyDescent="0.25">
      <c r="A208" s="2">
        <f t="shared" si="32"/>
        <v>190</v>
      </c>
      <c r="B208" s="4" t="s">
        <v>61</v>
      </c>
      <c r="C208" s="8">
        <v>2.0000000000000001E-4</v>
      </c>
      <c r="D208" s="8">
        <v>2.0000000000000001E-4</v>
      </c>
      <c r="E208" s="8">
        <v>2.0000000000000001E-4</v>
      </c>
      <c r="F208" s="8">
        <v>2.0000000000000001E-4</v>
      </c>
      <c r="G208" s="8">
        <v>3.0000000000000003E-4</v>
      </c>
      <c r="H208" s="8">
        <v>2.0000000000000001E-4</v>
      </c>
      <c r="I208" s="8">
        <v>2.0000000000000001E-4</v>
      </c>
      <c r="J208" s="8">
        <v>3.0000000000000003E-4</v>
      </c>
      <c r="L208"/>
      <c r="M208"/>
      <c r="N208"/>
      <c r="O208"/>
      <c r="P208"/>
      <c r="Q208"/>
      <c r="R208"/>
      <c r="S208"/>
    </row>
    <row r="209" spans="1:19" s="2" customFormat="1" hidden="1" outlineLevel="1" x14ac:dyDescent="0.25">
      <c r="A209" s="2">
        <f t="shared" si="32"/>
        <v>191</v>
      </c>
      <c r="B209" s="4" t="s">
        <v>62</v>
      </c>
      <c r="C209" s="8">
        <v>3.0999999999999999E-3</v>
      </c>
      <c r="D209" s="8">
        <v>3.4999999999999996E-3</v>
      </c>
      <c r="E209" s="8">
        <v>3.1999999999999997E-3</v>
      </c>
      <c r="F209" s="8">
        <v>3.5999999999999999E-3</v>
      </c>
      <c r="G209" s="8">
        <v>3.6999999999999997E-3</v>
      </c>
      <c r="H209" s="8">
        <v>3.6999999999999997E-3</v>
      </c>
      <c r="I209" s="8">
        <v>3.5999999999999999E-3</v>
      </c>
      <c r="J209" s="8">
        <v>3.8E-3</v>
      </c>
      <c r="L209"/>
      <c r="M209"/>
      <c r="N209"/>
      <c r="O209"/>
      <c r="P209"/>
      <c r="Q209"/>
      <c r="R209"/>
      <c r="S209"/>
    </row>
    <row r="210" spans="1:19" s="2" customFormat="1" hidden="1" outlineLevel="1" x14ac:dyDescent="0.25">
      <c r="A210" s="2">
        <f t="shared" si="32"/>
        <v>192</v>
      </c>
      <c r="B210" s="4" t="s">
        <v>63</v>
      </c>
      <c r="C210" s="8">
        <v>3.6400000000000002E-2</v>
      </c>
      <c r="D210" s="8">
        <v>3.9600000000000003E-2</v>
      </c>
      <c r="E210" s="8">
        <v>3.7500000000000006E-2</v>
      </c>
      <c r="F210" s="8">
        <v>4.07E-2</v>
      </c>
      <c r="G210" s="8">
        <v>4.1600000000000005E-2</v>
      </c>
      <c r="H210" s="8">
        <v>4.1100000000000005E-2</v>
      </c>
      <c r="I210" s="8">
        <v>4.0500000000000001E-2</v>
      </c>
      <c r="J210" s="8">
        <v>4.2000000000000003E-2</v>
      </c>
      <c r="L210"/>
      <c r="M210"/>
      <c r="N210"/>
      <c r="O210"/>
      <c r="P210"/>
      <c r="Q210"/>
      <c r="R210"/>
      <c r="S210"/>
    </row>
    <row r="211" spans="1:19" s="2" customFormat="1" hidden="1" outlineLevel="1" x14ac:dyDescent="0.25">
      <c r="A211" s="2">
        <f t="shared" si="32"/>
        <v>193</v>
      </c>
      <c r="B211" s="4" t="s">
        <v>64</v>
      </c>
      <c r="C211" s="8">
        <v>5.0000000000000044E-3</v>
      </c>
      <c r="D211" s="8">
        <v>6.1000000000001053E-3</v>
      </c>
      <c r="E211" s="8">
        <v>4.8000000000000265E-3</v>
      </c>
      <c r="F211" s="8">
        <v>6.8000000000001393E-3</v>
      </c>
      <c r="G211" s="8">
        <v>7.0000000000000062E-3</v>
      </c>
      <c r="H211" s="8">
        <v>6.8999999999999062E-3</v>
      </c>
      <c r="I211" s="8">
        <v>6.2999999999999723E-3</v>
      </c>
      <c r="J211" s="8">
        <v>7.1999999999998732E-3</v>
      </c>
      <c r="L211"/>
      <c r="M211"/>
      <c r="N211"/>
      <c r="O211"/>
      <c r="P211"/>
      <c r="Q211"/>
      <c r="R211"/>
      <c r="S211"/>
    </row>
    <row r="212" spans="1:19" s="2" customFormat="1" hidden="1" outlineLevel="1" x14ac:dyDescent="0.25">
      <c r="A212" s="2">
        <f t="shared" si="32"/>
        <v>194</v>
      </c>
      <c r="B212" s="12" t="s">
        <v>68</v>
      </c>
      <c r="C212" s="13">
        <f t="shared" ref="C212:J212" si="49">SUM(C192:C211)</f>
        <v>1</v>
      </c>
      <c r="D212" s="13">
        <f t="shared" si="49"/>
        <v>1</v>
      </c>
      <c r="E212" s="13">
        <f t="shared" si="49"/>
        <v>1</v>
      </c>
      <c r="F212" s="13">
        <f t="shared" si="49"/>
        <v>1</v>
      </c>
      <c r="G212" s="13">
        <f t="shared" si="49"/>
        <v>1</v>
      </c>
      <c r="H212" s="13">
        <f t="shared" si="49"/>
        <v>1</v>
      </c>
      <c r="I212" s="13">
        <f t="shared" si="49"/>
        <v>1</v>
      </c>
      <c r="J212" s="13">
        <f t="shared" si="49"/>
        <v>1</v>
      </c>
      <c r="L212"/>
      <c r="M212"/>
      <c r="N212"/>
      <c r="O212"/>
      <c r="P212"/>
      <c r="Q212"/>
      <c r="R212"/>
      <c r="S212"/>
    </row>
    <row r="213" spans="1:19" s="2" customFormat="1" x14ac:dyDescent="0.25">
      <c r="A213" s="2">
        <f t="shared" si="32"/>
        <v>195</v>
      </c>
      <c r="B213" s="10" t="s">
        <v>67</v>
      </c>
      <c r="C213" s="11">
        <f>SUMPRODUCT('BOM &amp; cycles'!$E$3:$E$22,C192:C211)</f>
        <v>0.61752653591324402</v>
      </c>
      <c r="D213" s="11">
        <f>SUMPRODUCT('BOM &amp; cycles'!$E$3:$E$22,D192:D211)</f>
        <v>0.5966420671714826</v>
      </c>
      <c r="E213" s="11">
        <f>SUMPRODUCT('BOM &amp; cycles'!$E$3:$E$22,E192:E211)</f>
        <v>0.6070387923585937</v>
      </c>
      <c r="F213" s="11">
        <f>SUMPRODUCT('BOM &amp; cycles'!$E$3:$E$22,F192:F211)</f>
        <v>0.58620044279179817</v>
      </c>
      <c r="G213" s="11">
        <f>SUMPRODUCT('BOM &amp; cycles'!$E$3:$E$22,G192:G211)</f>
        <v>0.57900751727385313</v>
      </c>
      <c r="H213" s="11">
        <f>SUMPRODUCT('BOM &amp; cycles'!$E$3:$E$22,H192:H211)</f>
        <v>0.58369727475992528</v>
      </c>
      <c r="I213" s="11">
        <f>SUMPRODUCT('BOM &amp; cycles'!$E$3:$E$22,I192:I211)</f>
        <v>0.58892603783020891</v>
      </c>
      <c r="J213" s="11">
        <f>SUMPRODUCT('BOM &amp; cycles'!$E$3:$E$22,J192:J211)</f>
        <v>0.57544698362277424</v>
      </c>
      <c r="L213"/>
      <c r="M213"/>
      <c r="N213"/>
      <c r="O213"/>
      <c r="P213"/>
      <c r="Q213"/>
      <c r="R213"/>
      <c r="S213"/>
    </row>
    <row r="214" spans="1:19" s="2" customFormat="1" x14ac:dyDescent="0.25">
      <c r="A214" s="2">
        <f t="shared" si="32"/>
        <v>196</v>
      </c>
      <c r="B214" s="10" t="s">
        <v>70</v>
      </c>
      <c r="C214" s="11">
        <f>SUMPRODUCT('BOM &amp; cycles'!$F$3:$F$22,C192:C211)</f>
        <v>2.9866238502959247E-2</v>
      </c>
      <c r="D214" s="11">
        <f>SUMPRODUCT('BOM &amp; cycles'!$F$3:$F$22,D192:D211)</f>
        <v>2.9139438412440814E-2</v>
      </c>
      <c r="E214" s="11">
        <f>SUMPRODUCT('BOM &amp; cycles'!$F$3:$F$22,E192:E211)</f>
        <v>3.0941879387556145E-2</v>
      </c>
      <c r="F214" s="11">
        <f>SUMPRODUCT('BOM &amp; cycles'!$F$3:$F$22,F192:F211)</f>
        <v>2.9269555375498996E-2</v>
      </c>
      <c r="G214" s="11">
        <f>SUMPRODUCT('BOM &amp; cycles'!$F$3:$F$22,G192:G211)</f>
        <v>2.9361607734256698E-2</v>
      </c>
      <c r="H214" s="11">
        <f>SUMPRODUCT('BOM &amp; cycles'!$F$3:$F$22,H192:H211)</f>
        <v>2.9144815869422497E-2</v>
      </c>
      <c r="I214" s="11">
        <f>SUMPRODUCT('BOM &amp; cycles'!$F$3:$F$22,I192:I211)</f>
        <v>2.925934602112603E-2</v>
      </c>
      <c r="J214" s="11">
        <f>SUMPRODUCT('BOM &amp; cycles'!$F$3:$F$22,J192:J211)</f>
        <v>2.9389294814783154E-2</v>
      </c>
      <c r="L214"/>
      <c r="M214"/>
      <c r="N214"/>
      <c r="O214"/>
      <c r="P214"/>
      <c r="Q214"/>
      <c r="R214"/>
      <c r="S214"/>
    </row>
    <row r="215" spans="1:19" s="2" customFormat="1" x14ac:dyDescent="0.25">
      <c r="A215" s="2">
        <f t="shared" ref="A215:A217" si="50">A214+1</f>
        <v>197</v>
      </c>
      <c r="B215" s="10" t="s">
        <v>71</v>
      </c>
      <c r="C215" s="11">
        <f>SUMPRODUCT('BOM &amp; cycles'!$G$3:$G$22,C192:C211)</f>
        <v>0.35260722558379659</v>
      </c>
      <c r="D215" s="11">
        <f>SUMPRODUCT('BOM &amp; cycles'!$G$3:$G$22,D192:D211)</f>
        <v>0.37421849441607685</v>
      </c>
      <c r="E215" s="11">
        <f>SUMPRODUCT('BOM &amp; cycles'!$G$3:$G$22,E192:E211)</f>
        <v>0.36201932825385008</v>
      </c>
      <c r="F215" s="11">
        <f>SUMPRODUCT('BOM &amp; cycles'!$G$3:$G$22,F192:F211)</f>
        <v>0.38453000183270292</v>
      </c>
      <c r="G215" s="11">
        <f>SUMPRODUCT('BOM &amp; cycles'!$G$3:$G$22,G192:G211)</f>
        <v>0.39163087499189025</v>
      </c>
      <c r="H215" s="11">
        <f>SUMPRODUCT('BOM &amp; cycles'!$G$3:$G$22,H192:H211)</f>
        <v>0.3871579093706522</v>
      </c>
      <c r="I215" s="11">
        <f>SUMPRODUCT('BOM &amp; cycles'!$G$3:$G$22,I192:I211)</f>
        <v>0.38181461614866502</v>
      </c>
      <c r="J215" s="11">
        <f>SUMPRODUCT('BOM &amp; cycles'!$G$3:$G$22,J192:J211)</f>
        <v>0.39516372156244256</v>
      </c>
      <c r="L215"/>
      <c r="M215"/>
      <c r="N215"/>
      <c r="O215"/>
      <c r="P215"/>
      <c r="Q215"/>
      <c r="R215"/>
      <c r="S215"/>
    </row>
    <row r="216" spans="1:19" x14ac:dyDescent="0.25">
      <c r="A216" s="2">
        <f t="shared" si="50"/>
        <v>198</v>
      </c>
      <c r="B216" s="36" t="s">
        <v>237</v>
      </c>
      <c r="C216" s="35">
        <v>147.19999999999999</v>
      </c>
      <c r="D216" s="35">
        <v>179</v>
      </c>
      <c r="E216" s="35">
        <v>143.92999999999998</v>
      </c>
      <c r="F216" s="35">
        <v>188.04</v>
      </c>
      <c r="G216" s="35">
        <v>199.04999999999998</v>
      </c>
      <c r="H216" s="35">
        <v>193.26999999999998</v>
      </c>
      <c r="I216" s="35">
        <v>186.89</v>
      </c>
      <c r="J216" s="35">
        <v>206.25</v>
      </c>
    </row>
    <row r="217" spans="1:19" x14ac:dyDescent="0.25">
      <c r="A217" s="2">
        <f t="shared" si="50"/>
        <v>199</v>
      </c>
      <c r="B217" s="36" t="s">
        <v>236</v>
      </c>
      <c r="C217" s="69">
        <f>C216/C213</f>
        <v>238.37032328061775</v>
      </c>
      <c r="D217" s="69">
        <f t="shared" ref="D217" si="51">D216/D213</f>
        <v>300.01236897121618</v>
      </c>
      <c r="E217" s="69">
        <f t="shared" ref="E217" si="52">E216/E213</f>
        <v>237.10181591653003</v>
      </c>
      <c r="F217" s="69">
        <f t="shared" ref="F217" si="53">F216/F213</f>
        <v>320.77764920212877</v>
      </c>
      <c r="G217" s="69">
        <f t="shared" ref="G217" si="54">G216/G213</f>
        <v>343.77792008157178</v>
      </c>
      <c r="H217" s="69">
        <f t="shared" ref="H217" si="55">H216/H213</f>
        <v>331.11341847448568</v>
      </c>
      <c r="I217" s="69">
        <f t="shared" ref="I217" si="56">I216/I213</f>
        <v>317.34035854241097</v>
      </c>
      <c r="J217" s="69">
        <f t="shared" ref="J217" si="57">J216/J213</f>
        <v>358.41703209831081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E3E6A6BDB3245A9E7243627F43754" ma:contentTypeVersion="20" ma:contentTypeDescription="Crée un document." ma:contentTypeScope="" ma:versionID="646c53570d6f78ceab76cf3a109e7b9d">
  <xsd:schema xmlns:xsd="http://www.w3.org/2001/XMLSchema" xmlns:xs="http://www.w3.org/2001/XMLSchema" xmlns:p="http://schemas.microsoft.com/office/2006/metadata/properties" xmlns:ns2="ec268e60-9ba6-49a7-857a-07929746f2b0" xmlns:ns3="8a5b8b8d-337d-400e-bf33-e07634618a7c" targetNamespace="http://schemas.microsoft.com/office/2006/metadata/properties" ma:root="true" ma:fieldsID="639c7485ec3ed151ca779b3155276e60" ns2:_="" ns3:_="">
    <xsd:import namespace="ec268e60-9ba6-49a7-857a-07929746f2b0"/>
    <xsd:import namespace="8a5b8b8d-337d-400e-bf33-e0763461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68e60-9ba6-49a7-857a-07929746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43bb70c2-fa86-432e-835f-c9286240f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b8b8d-337d-400e-bf33-e07634618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fe32aef-a942-4df3-a6b7-aae466dab212}" ma:internalName="TaxCatchAll" ma:showField="CatchAllData" ma:web="8a5b8b8d-337d-400e-bf33-e0763461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268e60-9ba6-49a7-857a-07929746f2b0">
      <Terms xmlns="http://schemas.microsoft.com/office/infopath/2007/PartnerControls"/>
    </lcf76f155ced4ddcb4097134ff3c332f>
    <TaxCatchAll xmlns="8a5b8b8d-337d-400e-bf33-e07634618a7c" xsi:nil="true"/>
  </documentManagement>
</p:properties>
</file>

<file path=customXml/itemProps1.xml><?xml version="1.0" encoding="utf-8"?>
<ds:datastoreItem xmlns:ds="http://schemas.openxmlformats.org/officeDocument/2006/customXml" ds:itemID="{F61970ED-95BC-4B58-9567-EE12F6BDB1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ABE7DD-2FF8-4521-AEBB-BDA6E17D91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268e60-9ba6-49a7-857a-07929746f2b0"/>
    <ds:schemaRef ds:uri="8a5b8b8d-337d-400e-bf33-e0763461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082823-151D-4301-BFF4-5EFE03CC67B9}">
  <ds:schemaRefs>
    <ds:schemaRef ds:uri="http://purl.org/dc/terms/"/>
    <ds:schemaRef ds:uri="8a5b8b8d-337d-400e-bf33-e07634618a7c"/>
    <ds:schemaRef ds:uri="ec268e60-9ba6-49a7-857a-07929746f2b0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ReadMe</vt:lpstr>
      <vt:lpstr>EV Battery</vt:lpstr>
      <vt:lpstr>Cell &amp; CAM</vt:lpstr>
      <vt:lpstr>&lt;1kWh battery</vt:lpstr>
      <vt:lpstr>cell recycling</vt:lpstr>
      <vt:lpstr>BOM EOL - DA</vt:lpstr>
      <vt:lpstr>Background data</vt:lpstr>
      <vt:lpstr>BOM &amp; cycles</vt:lpstr>
      <vt:lpstr>GREET input data</vt:lpstr>
      <vt:lpstr>Battery_Chemistry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Planchenault</dc:creator>
  <cp:lastModifiedBy>Nicolas Planchenault</cp:lastModifiedBy>
  <dcterms:created xsi:type="dcterms:W3CDTF">2026-03-13T20:32:53Z</dcterms:created>
  <dcterms:modified xsi:type="dcterms:W3CDTF">2026-07-06T15:24:21Z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0x0101001F4E3E6A6BDB3245A9E7243627F43754</vt:lpwstr>
  </property>
  <property fmtid="{D5CDD505-2E9C-101B-9397-08002B2CF9AE}" pid="3" name="MediaServiceImageTags">
    <vt:lpwstr/>
  </property>
</Properties>
</file>