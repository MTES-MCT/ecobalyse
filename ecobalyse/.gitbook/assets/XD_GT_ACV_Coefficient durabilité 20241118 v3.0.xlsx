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andeelco.sharepoint.com/sites/KandeelConseil/Shared Documents/General/C-Climat-En/C129 Ecobalyse/3_Mission/Vehicules/Déploiement/Docs durabilité velis/"/>
    </mc:Choice>
  </mc:AlternateContent>
  <xr:revisionPtr revIDLastSave="894" documentId="8_{A9DBE46B-E045-4925-B148-C85EF391763F}" xr6:coauthVersionLast="47" xr6:coauthVersionMax="47" xr10:uidLastSave="{383378C2-1398-45B6-AB1E-9668EFA4ED60}"/>
  <bookViews>
    <workbookView xWindow="25974" yWindow="-68" windowWidth="26301" windowHeight="14169" activeTab="1" xr2:uid="{C97B7321-4489-4B42-AFDE-F23D709B74D2}"/>
  </bookViews>
  <sheets>
    <sheet name="Commentaires" sheetId="2" r:id="rId1"/>
    <sheet name="Grille d'analy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1" l="1"/>
  <c r="O16" i="1"/>
  <c r="O7" i="1"/>
  <c r="O3" i="1"/>
  <c r="M4" i="1" l="1"/>
  <c r="M5" i="1"/>
  <c r="M6" i="1"/>
  <c r="M8" i="1"/>
  <c r="M9" i="1"/>
  <c r="M10" i="1"/>
  <c r="M11" i="1"/>
  <c r="M12" i="1"/>
  <c r="M13" i="1"/>
  <c r="M14" i="1"/>
  <c r="M15" i="1"/>
  <c r="M7" i="1"/>
  <c r="C49" i="2" l="1"/>
  <c r="C51" i="2" s="1"/>
  <c r="M3" i="1" l="1"/>
  <c r="K16" i="1"/>
  <c r="M19" i="1" s="1"/>
  <c r="M17" i="1" l="1"/>
  <c r="M20" i="1"/>
  <c r="M21" i="1"/>
  <c r="M16" i="1"/>
  <c r="M18" i="1"/>
</calcChain>
</file>

<file path=xl/sharedStrings.xml><?xml version="1.0" encoding="utf-8"?>
<sst xmlns="http://schemas.openxmlformats.org/spreadsheetml/2006/main" count="186" uniqueCount="179">
  <si>
    <t>Compteur kilométrique véhicule / moteur</t>
  </si>
  <si>
    <t>Etre capable de connaitre le nombre de kilomètres parcourus par le véhicule (moteur)</t>
  </si>
  <si>
    <t>Passeport digital</t>
  </si>
  <si>
    <t>Le passeport digital inclut des informations sur les véhicules, dont une identification unique, des données sur les composants, son historique de maintenance…</t>
  </si>
  <si>
    <t>Accès à l'état de santé de la batterie (à définir)</t>
  </si>
  <si>
    <t>Permet de valoriser la batterie et d'identifier sa durée de vie restante</t>
  </si>
  <si>
    <t>Pouvoir enlever facilement la batterie et la remplacer par une autre identique</t>
  </si>
  <si>
    <t xml:space="preserve">Chimie de la batterie indiquée sur le pack </t>
  </si>
  <si>
    <t>Permet d'identifier visuellement un problème et d'accéder aux composants.</t>
  </si>
  <si>
    <t>Remplacement de cellules possible</t>
  </si>
  <si>
    <t>Remplacement des cellules à l'intérieur d'un module</t>
  </si>
  <si>
    <t>MTL: 18/02/2027 par un professionnel indépendant</t>
  </si>
  <si>
    <t>Réseau de garages habilités pour la réparation de la batterie</t>
  </si>
  <si>
    <t>Permettre le démontage / montage du véhicule dans la durée</t>
  </si>
  <si>
    <t xml:space="preserve">J'installe un compteur kilométrique sur mon véhicule </t>
  </si>
  <si>
    <t xml:space="preserve">Je permets le retrait de la batterie </t>
  </si>
  <si>
    <t xml:space="preserve">Je permets le remplacement des cellules à l'intérieur d'un module </t>
  </si>
  <si>
    <t xml:space="preserve">Je dispose d'un réseau de garages habiltés pour la réparation des batteries </t>
  </si>
  <si>
    <t xml:space="preserve">Je permets le remplacement des pièces endommagées sur mes véhicules </t>
  </si>
  <si>
    <t>Leviers pour améliorer la réparabilité des produits</t>
  </si>
  <si>
    <t>Je favorise la réparabilité globale de mon véhicule</t>
  </si>
  <si>
    <t xml:space="preserve">Pourquoi ce critère ? </t>
  </si>
  <si>
    <t>A</t>
  </si>
  <si>
    <t>B</t>
  </si>
  <si>
    <t>C</t>
  </si>
  <si>
    <t>D</t>
  </si>
  <si>
    <t>Oui</t>
  </si>
  <si>
    <t>Non</t>
  </si>
  <si>
    <t>Oui, par tout utilisateur</t>
  </si>
  <si>
    <t>Professionnel indépendant</t>
  </si>
  <si>
    <t>Professionnel qualifié pour la réparation du type de véhicule concerné, sans qu'il ait à posséder des outils ou habilitations spécifiques au constructeur</t>
  </si>
  <si>
    <t>Oui, par un professionel indépendant</t>
  </si>
  <si>
    <t>Pas de garage en UE</t>
  </si>
  <si>
    <t>Au moins un garage en UE</t>
  </si>
  <si>
    <t>Au moins un garage en France</t>
  </si>
  <si>
    <t>A1</t>
  </si>
  <si>
    <t>A2</t>
  </si>
  <si>
    <t>A3</t>
  </si>
  <si>
    <t>B1</t>
  </si>
  <si>
    <t>B2</t>
  </si>
  <si>
    <t>B3</t>
  </si>
  <si>
    <t>B5</t>
  </si>
  <si>
    <t>B6</t>
  </si>
  <si>
    <t xml:space="preserve">Je favorise la réparabilité et le remplacement de la batterie </t>
  </si>
  <si>
    <t>B7</t>
  </si>
  <si>
    <t>Capable de fournir des pièces spécifiques constructeur, dispose d'outils et d'une expertise spécifique sur le véhicule qui est nécessaire à sa réparation</t>
  </si>
  <si>
    <t>Méthode indice de réparabilité FR</t>
  </si>
  <si>
    <t xml:space="preserve">Je dispose d'un réseau de garages habilité pour la réparation du véhicule </t>
  </si>
  <si>
    <t>Garage habilité</t>
  </si>
  <si>
    <t>Véhicule démontable par l'utilisateur avec des outils du commerce</t>
  </si>
  <si>
    <t>C1</t>
  </si>
  <si>
    <t>C3</t>
  </si>
  <si>
    <t>C5</t>
  </si>
  <si>
    <t>Commentaires / compléments</t>
  </si>
  <si>
    <t xml:space="preserve">Votre note </t>
  </si>
  <si>
    <t xml:space="preserve">Je mets à disposition des consommateurs des informations permettant de jauger l'état de santé de mes batteries </t>
  </si>
  <si>
    <t xml:space="preserve">Non </t>
  </si>
  <si>
    <t xml:space="preserve">Je peux intégrer une batterie d'un autre constructeur </t>
  </si>
  <si>
    <t>Obligation réglementaire prévue 
VE: 18/08/2026 ; MTL: 18/02/2027</t>
  </si>
  <si>
    <t>Obligation réglementaire prévue, pour les MTL: 18/02/2027
Voir définitions sur l'onglet 2</t>
  </si>
  <si>
    <t xml:space="preserve">Oui par un professionnel indépendant </t>
  </si>
  <si>
    <t xml:space="preserve">Oui par un garage agréé </t>
  </si>
  <si>
    <t xml:space="preserve">Permet d'améliorer la réparabilité globale du véhicule </t>
  </si>
  <si>
    <t xml:space="preserve">je favorise une longue durée de vie et la confiance dans la 2ème main </t>
  </si>
  <si>
    <t>A4</t>
  </si>
  <si>
    <t>Durée de garantie de la batterie</t>
  </si>
  <si>
    <t>Augmente les chance d'une longue durée de vie de la batterie</t>
  </si>
  <si>
    <t>Je mets à disposition un passeport digital de mes produits, intégrant : 
- documentation technique du véhicule
- carnet d'entretien et maintenance
- empreinte environnementale</t>
  </si>
  <si>
    <t xml:space="preserve">Critères </t>
  </si>
  <si>
    <t>Pondération</t>
  </si>
  <si>
    <t>Du sujet</t>
  </si>
  <si>
    <t>Votre commentaire</t>
  </si>
  <si>
    <t>Oui, par le propriétaire, sans outil</t>
  </si>
  <si>
    <t>Oui, par le propriétaire, avec des outils standards, sans perte de garantie</t>
  </si>
  <si>
    <t>Oui, par un professionnel indépendant</t>
  </si>
  <si>
    <t>Non, ou par un garage agréé</t>
  </si>
  <si>
    <t>Du critère,
finale</t>
  </si>
  <si>
    <t>Du critère,
dans le sujet</t>
  </si>
  <si>
    <t xml:space="preserve">J'affiche des informations sur la chimie des batteries </t>
  </si>
  <si>
    <t>Retrait de la batterie et remplacement par une batterie identique possible</t>
  </si>
  <si>
    <t>Je  facilite le démontage du couvercle de la batterie, et le remplacement de ses composants</t>
  </si>
  <si>
    <t>Démontage du couvercle facile, et remplacement possible des composants (BMS, modules, câbles), sans endommagement de pièce</t>
  </si>
  <si>
    <t>Oui, par un garage agréé</t>
  </si>
  <si>
    <t>12 ans et plus</t>
  </si>
  <si>
    <t>11 ans</t>
  </si>
  <si>
    <t>10 ans</t>
  </si>
  <si>
    <t>9 ans ou moins</t>
  </si>
  <si>
    <t>Durée de disponibilité garantie de la documentation technique, y compris disponibilité des plans pour impression 3D le cas échéant</t>
  </si>
  <si>
    <t>7 ans ou plus</t>
  </si>
  <si>
    <t>5 ou 6 ans</t>
  </si>
  <si>
    <t>3 ou 4 ans</t>
  </si>
  <si>
    <t>2 ans ou moins</t>
  </si>
  <si>
    <t>Autre situation</t>
  </si>
  <si>
    <t>Ajouter l'état de santé du moteur ?</t>
  </si>
  <si>
    <t>Permet de remplacer uniquement les pièces endommagées en cas d'accident</t>
  </si>
  <si>
    <t>Permet au recycleur de mettre en œuvre les bonnes procédures</t>
  </si>
  <si>
    <t>MTL : possibilité de retrait par l'utilisateur final obligatoire en 2027</t>
  </si>
  <si>
    <t>Inférieur à 150kgCO2e</t>
  </si>
  <si>
    <t>Supérieur à 150kgCO2e</t>
  </si>
  <si>
    <t>Inférieur à 100kgCO2e</t>
  </si>
  <si>
    <t>Inférieur à 50kgCO2e</t>
  </si>
  <si>
    <t xml:space="preserve">Je facilite la démontabilité du véhicule </t>
  </si>
  <si>
    <t>Outillage et compétences nécessaires à la démontabilité du véhicule (pièces identifiées en C2)</t>
  </si>
  <si>
    <t xml:space="preserve">Véhicule non démontable </t>
  </si>
  <si>
    <t>Je garantie une longue durée de vie pour la batterie, pour une capacité restante de 70% ou plus</t>
  </si>
  <si>
    <t>Oui, éventuellement via un QRCode</t>
  </si>
  <si>
    <t>Non (soudures, (thermal interface material...)</t>
  </si>
  <si>
    <t>Plus de 10 garages en France, ou absence de recours à un garage agréé (cf critères B1, B5, B6)</t>
  </si>
  <si>
    <t>Plus de 10 garages, ou absence de recours à un garage agréé (cf critère C3)</t>
  </si>
  <si>
    <t xml:space="preserve">Oui, lisible mais réinitialisable avec un outil constructeur </t>
  </si>
  <si>
    <t>Oui, lisible et non réinitialisable</t>
  </si>
  <si>
    <t>Oui, lisible mais réinitialisable par un professionnel indépendant</t>
  </si>
  <si>
    <t xml:space="preserve">Non lisible ou réinitialisable </t>
  </si>
  <si>
    <t xml:space="preserve">Sujets liés à la durabilité </t>
  </si>
  <si>
    <t>Autres critères possibles :</t>
  </si>
  <si>
    <t>Mise en place de fonds de garantie en cas de faillite d’un constructeur</t>
  </si>
  <si>
    <t>Obligation légale de fournir un support logiciel pendant une durée minimale</t>
  </si>
  <si>
    <t>Création de standards ouverts pour les systèmes embarqués</t>
  </si>
  <si>
    <t>OS Européen pour les fonctions de sécurité du véhicule</t>
  </si>
  <si>
    <t>Informations sur l'état de santé de la batterie</t>
  </si>
  <si>
    <t>Définitions :</t>
  </si>
  <si>
    <t>Véhicule démontable par un garage agréé</t>
  </si>
  <si>
    <t>capacité (en kWh)</t>
  </si>
  <si>
    <t>durée de vie (en kWh)</t>
  </si>
  <si>
    <t>calculette nb de cycles batterie</t>
  </si>
  <si>
    <t>durée de vie (en nb de cycles)</t>
  </si>
  <si>
    <t>conso. (en kWh/100km)</t>
  </si>
  <si>
    <t>durée de vie (en km)</t>
  </si>
  <si>
    <t>Véhicule démontable par un professionnel indépendant</t>
  </si>
  <si>
    <t>Grille de notation</t>
  </si>
  <si>
    <t>Minimum :</t>
  </si>
  <si>
    <t>C6</t>
  </si>
  <si>
    <t xml:space="preserve">J'assure la disponibilité des pièces détachées dans le temps (hors batterie) </t>
  </si>
  <si>
    <t xml:space="preserve">Je facilite la disponibilité des pièces détachées (hors batterie) </t>
  </si>
  <si>
    <t>Une part significative des composants (en % des émissions, hors batterie) est disponible facilement ou a une garantie de disponibilité importante</t>
  </si>
  <si>
    <t>plus de 75% de pièces non propriétaires</t>
  </si>
  <si>
    <t>plus de 50% de pièces non propriétaires</t>
  </si>
  <si>
    <t>plus de 25% de pièces non propriétaires</t>
  </si>
  <si>
    <t>Permet d'assurer la réparabilité du véhicule dans la durée</t>
  </si>
  <si>
    <t xml:space="preserve">Assure la disponibilité des pièces détachées, sans dépendance au constructeur </t>
  </si>
  <si>
    <t>C2</t>
  </si>
  <si>
    <t>Impact environnemental maximal d'une pièce non démontable ou non remplacable, hors batterie, moteur et chassis (= structure hors essieu, suspension et roulement)</t>
  </si>
  <si>
    <t>Echelle de durée à caler selon les retours constructeurs</t>
  </si>
  <si>
    <t>garantie à 15 ans ou 2000 cycles</t>
  </si>
  <si>
    <t>garantie à 10 ans ou 1000 cycles</t>
  </si>
  <si>
    <t>Garanti à 8 ans ou 500 cycles</t>
  </si>
  <si>
    <t>Non garanti à 8 ans et 500 cycles</t>
  </si>
  <si>
    <t>Batterie fixée sur le chassis, non intégrée</t>
  </si>
  <si>
    <t>Batterie intégrée dans le chassis</t>
  </si>
  <si>
    <t>Connectique batterie-véhicule propriétaire</t>
  </si>
  <si>
    <t>Protocole de communication batterie-véhicule propriétaire</t>
  </si>
  <si>
    <t>Possibilité d'intégrer une batterie d'un autre constructeur, dans le futur - mécanique</t>
  </si>
  <si>
    <t>Possibilité d'intégrer une batterie d'un autre constructeur, dans le futur - connectique électrique</t>
  </si>
  <si>
    <t>Possibilité d'intégrer une batterie d'un autre constructeur, dans le futur - communication</t>
  </si>
  <si>
    <t>Protocole de communication batterie-véhicule non spécifique et open source</t>
  </si>
  <si>
    <t>Protocole de communication batterie-véhicule non spécifique</t>
  </si>
  <si>
    <t>Protocole de communication batterie-véhicule spécifique, mais en libre usage</t>
  </si>
  <si>
    <t>Connectique batterie-véhicule non spécifique et open source</t>
  </si>
  <si>
    <t>Connectique batterie-véhicule non spécifique</t>
  </si>
  <si>
    <t>Connectique batterie-véhicule spécifique, mais en libre usage</t>
  </si>
  <si>
    <t>Assure la capacité à maintenir le véhicule en fonctionnement en cas de défaillance de la batterie (et de son fabricant)</t>
  </si>
  <si>
    <t>Durée de disponibilité garantie de la documentation technique (capacité, tension, cellules, protocole le cas échéant)</t>
  </si>
  <si>
    <t>Facilite le remplacement de la batterie en cas de défaillance</t>
  </si>
  <si>
    <t>10 ans et plus</t>
  </si>
  <si>
    <t>8 ans et plus</t>
  </si>
  <si>
    <t>moins de 8 ans</t>
  </si>
  <si>
    <t>B4a</t>
  </si>
  <si>
    <t>B4b</t>
  </si>
  <si>
    <t>B4c</t>
  </si>
  <si>
    <t>C4</t>
  </si>
  <si>
    <t>Note</t>
  </si>
  <si>
    <t>coefficient de durabilité</t>
  </si>
  <si>
    <t>Maximum :</t>
  </si>
  <si>
    <t>moyenne par sujet</t>
  </si>
  <si>
    <t>Coefficient de durabilité :</t>
  </si>
  <si>
    <t>J'assure la disponibilité de la documentation technique, y compris en cas de disparition de ma structure</t>
  </si>
  <si>
    <t>J'assure la disponibilité de la documentation technique, y compris en cas de disparition du fabricant</t>
  </si>
  <si>
    <t>Durée de disponibilité garantie des pièces détachées (hors batterie) (10/10 si pas de pièce propriétaire)</t>
  </si>
  <si>
    <t>Réseau de garages habilités pour la réparation du véhicule (10/10 si pas de pièce propriétaire et pas d'outillage spécifique)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</si>
</sst>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 /10&quot;"/>
    <numFmt numFmtId="165" formatCode="0&quot; /10&quot;"/>
    <numFmt numFmtId="166" formatCode="0.0%"/>
    <numFmt numFmtId="167" formatCode="#,##0.0"/>
  </numFmts>
  <fonts count="1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4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4"/>
      <name val="Calibri"/>
      <family val="2"/>
    </font>
    <font>
      <b/>
      <sz val="14"/>
      <color theme="4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u/>
      <sz val="11"/>
      <color theme="1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b/>
      <sz val="16"/>
      <color theme="0"/>
      <name val="Calibri"/>
      <family val="2"/>
    </font>
    <font>
      <b/>
      <sz val="20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11" fillId="5" borderId="2" xfId="0" applyFont="1" applyFill="1" applyBorder="1" applyAlignment="1">
      <alignment horizontal="center" vertical="center" wrapText="1" readingOrder="1"/>
    </xf>
    <xf numFmtId="0" fontId="11" fillId="6" borderId="2" xfId="0" applyFont="1" applyFill="1" applyBorder="1" applyAlignment="1">
      <alignment horizontal="center" vertical="center" wrapText="1" readingOrder="1"/>
    </xf>
    <xf numFmtId="0" fontId="11" fillId="7" borderId="2" xfId="0" applyFont="1" applyFill="1" applyBorder="1" applyAlignment="1">
      <alignment horizontal="center" vertical="center" wrapText="1" readingOrder="1"/>
    </xf>
    <xf numFmtId="0" fontId="11" fillId="8" borderId="2" xfId="0" applyFont="1" applyFill="1" applyBorder="1" applyAlignment="1">
      <alignment horizontal="center" vertical="center" wrapText="1" readingOrder="1"/>
    </xf>
    <xf numFmtId="0" fontId="11" fillId="5" borderId="3" xfId="0" applyFont="1" applyFill="1" applyBorder="1" applyAlignment="1">
      <alignment horizontal="center" vertical="center" wrapText="1" readingOrder="1"/>
    </xf>
    <xf numFmtId="0" fontId="11" fillId="6" borderId="3" xfId="0" applyFont="1" applyFill="1" applyBorder="1" applyAlignment="1">
      <alignment horizontal="center" vertical="center" wrapText="1" readingOrder="1"/>
    </xf>
    <xf numFmtId="0" fontId="11" fillId="7" borderId="3" xfId="0" applyFont="1" applyFill="1" applyBorder="1" applyAlignment="1">
      <alignment horizontal="center" vertical="center" wrapText="1" readingOrder="1"/>
    </xf>
    <xf numFmtId="0" fontId="11" fillId="8" borderId="3" xfId="0" applyFont="1" applyFill="1" applyBorder="1" applyAlignment="1">
      <alignment horizontal="center" vertical="center" wrapText="1" readingOrder="1"/>
    </xf>
    <xf numFmtId="165" fontId="12" fillId="9" borderId="1" xfId="0" applyNumberFormat="1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 readingOrder="1"/>
    </xf>
    <xf numFmtId="0" fontId="3" fillId="0" borderId="0" xfId="0" applyFont="1" applyAlignment="1">
      <alignment vertical="center" wrapText="1"/>
    </xf>
    <xf numFmtId="166" fontId="7" fillId="0" borderId="1" xfId="0" applyNumberFormat="1" applyFont="1" applyBorder="1" applyAlignment="1">
      <alignment horizontal="center" vertical="center" wrapText="1" readingOrder="1"/>
    </xf>
    <xf numFmtId="166" fontId="7" fillId="3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 readingOrder="1"/>
    </xf>
    <xf numFmtId="0" fontId="15" fillId="3" borderId="1" xfId="0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vertical="center" wrapText="1" readingOrder="1"/>
    </xf>
    <xf numFmtId="0" fontId="8" fillId="0" borderId="0" xfId="0" applyFont="1" applyAlignment="1">
      <alignment horizontal="center" vertical="center" wrapText="1"/>
    </xf>
    <xf numFmtId="3" fontId="0" fillId="9" borderId="0" xfId="0" applyNumberFormat="1" applyFill="1" applyAlignment="1">
      <alignment horizontal="right" vertical="center" indent="1"/>
    </xf>
    <xf numFmtId="3" fontId="0" fillId="0" borderId="0" xfId="0" applyNumberFormat="1" applyAlignment="1">
      <alignment horizontal="right" vertical="center" indent="1"/>
    </xf>
    <xf numFmtId="167" fontId="0" fillId="9" borderId="0" xfId="0" applyNumberFormat="1" applyFill="1" applyAlignment="1">
      <alignment horizontal="right" vertical="center" inden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2" fontId="17" fillId="11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9" fontId="6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164" fontId="10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 readingOrder="1"/>
    </xf>
    <xf numFmtId="0" fontId="7" fillId="3" borderId="4" xfId="0" applyFont="1" applyFill="1" applyBorder="1" applyAlignment="1">
      <alignment horizontal="left" vertical="center" wrapText="1" readingOrder="1"/>
    </xf>
    <xf numFmtId="0" fontId="7" fillId="3" borderId="3" xfId="0" applyFont="1" applyFill="1" applyBorder="1" applyAlignment="1">
      <alignment horizontal="left" vertical="center" wrapText="1" readingOrder="1"/>
    </xf>
    <xf numFmtId="0" fontId="5" fillId="4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 readingOrder="1"/>
    </xf>
    <xf numFmtId="0" fontId="14" fillId="2" borderId="3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1" xfId="0" applyFont="1" applyFill="1" applyBorder="1" applyAlignment="1">
      <alignment vertical="center" wrapText="1" readingOrder="1"/>
    </xf>
    <xf numFmtId="0" fontId="5" fillId="4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14</xdr:row>
      <xdr:rowOff>44450</xdr:rowOff>
    </xdr:from>
    <xdr:to>
      <xdr:col>4</xdr:col>
      <xdr:colOff>732554</xdr:colOff>
      <xdr:row>37</xdr:row>
      <xdr:rowOff>133350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A86A627-F915-0035-A394-C9CBFCAFA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3187700"/>
          <a:ext cx="4374279" cy="4251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6CFF-E438-4F50-B2BB-FEA8655D18AD}">
  <dimension ref="B1:E52"/>
  <sheetViews>
    <sheetView topLeftCell="A18" workbookViewId="0">
      <selection activeCell="E46" sqref="E46"/>
    </sheetView>
  </sheetViews>
  <sheetFormatPr baseColWidth="10" defaultColWidth="10.875" defaultRowHeight="14.3" x14ac:dyDescent="0.25"/>
  <cols>
    <col min="1" max="1" width="10.875" style="3"/>
    <col min="2" max="2" width="26" style="3" customWidth="1"/>
    <col min="3" max="4" width="13.5" style="3" customWidth="1"/>
    <col min="5" max="5" width="36.125" style="3" customWidth="1"/>
    <col min="6" max="16384" width="10.875" style="3"/>
  </cols>
  <sheetData>
    <row r="1" spans="2:5" x14ac:dyDescent="0.25">
      <c r="B1" s="35" t="s">
        <v>120</v>
      </c>
      <c r="C1" s="35"/>
    </row>
    <row r="2" spans="2:5" ht="38.549999999999997" customHeight="1" x14ac:dyDescent="0.25">
      <c r="B2" s="1" t="s">
        <v>29</v>
      </c>
      <c r="C2" s="76" t="s">
        <v>30</v>
      </c>
      <c r="D2" s="77"/>
      <c r="E2" s="77"/>
    </row>
    <row r="3" spans="2:5" ht="38.549999999999997" customHeight="1" x14ac:dyDescent="0.25">
      <c r="B3" s="1" t="s">
        <v>48</v>
      </c>
      <c r="C3" s="76" t="s">
        <v>45</v>
      </c>
      <c r="D3" s="77"/>
      <c r="E3" s="77"/>
    </row>
    <row r="6" spans="2:5" x14ac:dyDescent="0.25">
      <c r="B6" s="35" t="s">
        <v>114</v>
      </c>
      <c r="C6" s="35"/>
    </row>
    <row r="7" spans="2:5" x14ac:dyDescent="0.25">
      <c r="B7" s="33" t="s">
        <v>115</v>
      </c>
      <c r="C7" s="33"/>
    </row>
    <row r="8" spans="2:5" x14ac:dyDescent="0.25">
      <c r="B8" s="33" t="s">
        <v>116</v>
      </c>
      <c r="C8" s="33"/>
    </row>
    <row r="9" spans="2:5" x14ac:dyDescent="0.25">
      <c r="B9" s="33" t="s">
        <v>117</v>
      </c>
      <c r="C9" s="33"/>
    </row>
    <row r="10" spans="2:5" x14ac:dyDescent="0.25">
      <c r="B10" s="34" t="s">
        <v>118</v>
      </c>
      <c r="C10" s="34"/>
    </row>
    <row r="11" spans="2:5" x14ac:dyDescent="0.25">
      <c r="B11" s="34" t="s">
        <v>119</v>
      </c>
      <c r="C11" s="34"/>
    </row>
    <row r="14" spans="2:5" x14ac:dyDescent="0.25">
      <c r="B14" s="35" t="s">
        <v>46</v>
      </c>
      <c r="C14" s="35"/>
    </row>
    <row r="41" spans="2:4" ht="28.55" x14ac:dyDescent="0.25">
      <c r="B41" s="51" t="s">
        <v>129</v>
      </c>
      <c r="C41" s="52" t="s">
        <v>170</v>
      </c>
      <c r="D41" s="52" t="s">
        <v>171</v>
      </c>
    </row>
    <row r="42" spans="2:4" x14ac:dyDescent="0.25">
      <c r="B42" s="2" t="s">
        <v>130</v>
      </c>
      <c r="C42" s="2">
        <v>0</v>
      </c>
      <c r="D42" s="2">
        <v>0.5</v>
      </c>
    </row>
    <row r="43" spans="2:4" x14ac:dyDescent="0.25">
      <c r="B43" s="2" t="s">
        <v>172</v>
      </c>
      <c r="C43" s="2">
        <v>10</v>
      </c>
      <c r="D43" s="2">
        <v>1.5</v>
      </c>
    </row>
    <row r="46" spans="2:4" x14ac:dyDescent="0.25">
      <c r="B46" s="35" t="s">
        <v>124</v>
      </c>
      <c r="C46" s="35"/>
    </row>
    <row r="47" spans="2:4" x14ac:dyDescent="0.25">
      <c r="B47" t="s">
        <v>125</v>
      </c>
      <c r="C47" s="48">
        <v>1000</v>
      </c>
    </row>
    <row r="48" spans="2:4" x14ac:dyDescent="0.25">
      <c r="B48" t="s">
        <v>122</v>
      </c>
      <c r="C48" s="48">
        <v>60</v>
      </c>
    </row>
    <row r="49" spans="2:3" x14ac:dyDescent="0.25">
      <c r="B49" t="s">
        <v>123</v>
      </c>
      <c r="C49" s="49">
        <f>C47*C48</f>
        <v>60000</v>
      </c>
    </row>
    <row r="50" spans="2:3" x14ac:dyDescent="0.25">
      <c r="B50" t="s">
        <v>126</v>
      </c>
      <c r="C50" s="50">
        <v>17</v>
      </c>
    </row>
    <row r="51" spans="2:3" x14ac:dyDescent="0.25">
      <c r="B51" t="s">
        <v>127</v>
      </c>
      <c r="C51" s="49">
        <f>C49*100/C50</f>
        <v>352941.17647058825</v>
      </c>
    </row>
    <row r="52" spans="2:3" x14ac:dyDescent="0.25">
      <c r="B52"/>
      <c r="C52"/>
    </row>
  </sheetData>
  <mergeCells count="2">
    <mergeCell ref="C2:E2"/>
    <mergeCell ref="C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A2D9-D84F-41A4-9D91-FD966286049E}">
  <sheetPr>
    <outlinePr summaryRight="0"/>
  </sheetPr>
  <dimension ref="A1:P27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G15" sqref="G15"/>
    </sheetView>
  </sheetViews>
  <sheetFormatPr baseColWidth="10" defaultColWidth="11.5" defaultRowHeight="16.3" outlineLevelCol="1" x14ac:dyDescent="0.25"/>
  <cols>
    <col min="1" max="1" width="16.125" style="4" customWidth="1"/>
    <col min="2" max="2" width="5.875" style="4" bestFit="1" customWidth="1"/>
    <col min="3" max="3" width="35" style="30" customWidth="1"/>
    <col min="4" max="4" width="42.25" style="30" customWidth="1" collapsed="1"/>
    <col min="5" max="5" width="44.125" style="42" hidden="1" customWidth="1" outlineLevel="1"/>
    <col min="6" max="6" width="32.75" style="47" hidden="1" customWidth="1" outlineLevel="1"/>
    <col min="7" max="9" width="24.125" style="4" customWidth="1"/>
    <col min="10" max="10" width="24.125" style="4" customWidth="1" collapsed="1"/>
    <col min="11" max="13" width="13.25" style="4" hidden="1" customWidth="1" outlineLevel="1"/>
    <col min="14" max="14" width="18.5" style="4" customWidth="1"/>
    <col min="15" max="15" width="14.125" style="10" customWidth="1"/>
    <col min="16" max="16" width="33.25" style="4" customWidth="1" collapsed="1"/>
    <col min="17" max="16384" width="11.5" style="4"/>
  </cols>
  <sheetData>
    <row r="1" spans="1:16" ht="63.2" x14ac:dyDescent="0.25">
      <c r="A1" s="69" t="s">
        <v>113</v>
      </c>
      <c r="B1" s="69"/>
      <c r="C1" s="74" t="s">
        <v>19</v>
      </c>
      <c r="D1" s="73" t="s">
        <v>68</v>
      </c>
      <c r="E1" s="72" t="s">
        <v>21</v>
      </c>
      <c r="F1" s="70" t="s">
        <v>53</v>
      </c>
      <c r="G1" s="13" t="s">
        <v>22</v>
      </c>
      <c r="H1" s="14" t="s">
        <v>23</v>
      </c>
      <c r="I1" s="15" t="s">
        <v>24</v>
      </c>
      <c r="J1" s="16" t="s">
        <v>25</v>
      </c>
      <c r="K1" s="75" t="s">
        <v>69</v>
      </c>
      <c r="L1" s="75"/>
      <c r="M1" s="75"/>
      <c r="N1" s="53" t="s">
        <v>174</v>
      </c>
      <c r="O1" s="54">
        <f>SUMPRODUCT(K3:K21,O3:O21)/10+0.5</f>
        <v>0.5</v>
      </c>
      <c r="P1" s="55" t="s">
        <v>71</v>
      </c>
    </row>
    <row r="2" spans="1:16" ht="32.6" x14ac:dyDescent="0.25">
      <c r="A2" s="69"/>
      <c r="B2" s="69"/>
      <c r="C2" s="74"/>
      <c r="D2" s="73"/>
      <c r="E2" s="72"/>
      <c r="F2" s="71"/>
      <c r="G2" s="17">
        <v>10</v>
      </c>
      <c r="H2" s="18">
        <v>6</v>
      </c>
      <c r="I2" s="19">
        <v>3</v>
      </c>
      <c r="J2" s="20">
        <v>0</v>
      </c>
      <c r="K2" s="25" t="s">
        <v>70</v>
      </c>
      <c r="L2" s="25" t="s">
        <v>77</v>
      </c>
      <c r="M2" s="25" t="s">
        <v>76</v>
      </c>
      <c r="N2" s="12" t="s">
        <v>54</v>
      </c>
      <c r="O2" s="12" t="s">
        <v>173</v>
      </c>
      <c r="P2" s="55"/>
    </row>
    <row r="3" spans="1:16" ht="65.25" x14ac:dyDescent="0.25">
      <c r="A3" s="60" t="s">
        <v>63</v>
      </c>
      <c r="B3" s="5" t="s">
        <v>35</v>
      </c>
      <c r="C3" s="26" t="s">
        <v>14</v>
      </c>
      <c r="D3" s="27" t="s">
        <v>0</v>
      </c>
      <c r="E3" s="38" t="s">
        <v>1</v>
      </c>
      <c r="F3" s="43"/>
      <c r="G3" s="22" t="s">
        <v>110</v>
      </c>
      <c r="H3" s="22" t="s">
        <v>109</v>
      </c>
      <c r="I3" s="22" t="s">
        <v>111</v>
      </c>
      <c r="J3" s="22" t="s">
        <v>112</v>
      </c>
      <c r="K3" s="61">
        <v>0.25</v>
      </c>
      <c r="L3" s="31">
        <v>0.3</v>
      </c>
      <c r="M3" s="31">
        <f>$K$3*L3</f>
        <v>7.4999999999999997E-2</v>
      </c>
      <c r="N3" s="21"/>
      <c r="O3" s="59">
        <f>SUMPRODUCT(L3:L6,N3:N6)</f>
        <v>0</v>
      </c>
      <c r="P3" s="6"/>
    </row>
    <row r="4" spans="1:16" ht="97.85" x14ac:dyDescent="0.25">
      <c r="A4" s="60"/>
      <c r="B4" s="5" t="s">
        <v>36</v>
      </c>
      <c r="C4" s="26" t="s">
        <v>67</v>
      </c>
      <c r="D4" s="27" t="s">
        <v>2</v>
      </c>
      <c r="E4" s="38" t="s">
        <v>3</v>
      </c>
      <c r="F4" s="22" t="s">
        <v>93</v>
      </c>
      <c r="G4" s="22" t="s">
        <v>26</v>
      </c>
      <c r="H4" s="22"/>
      <c r="I4" s="22" t="s">
        <v>56</v>
      </c>
      <c r="J4" s="22"/>
      <c r="K4" s="62"/>
      <c r="L4" s="31">
        <v>0.1</v>
      </c>
      <c r="M4" s="31">
        <f t="shared" ref="M4:M6" si="0">$K$3*L4</f>
        <v>2.5000000000000001E-2</v>
      </c>
      <c r="N4" s="21"/>
      <c r="O4" s="59"/>
      <c r="P4" s="6"/>
    </row>
    <row r="5" spans="1:16" ht="65.25" x14ac:dyDescent="0.25">
      <c r="A5" s="60"/>
      <c r="B5" s="5" t="s">
        <v>37</v>
      </c>
      <c r="C5" s="26" t="s">
        <v>55</v>
      </c>
      <c r="D5" s="27" t="s">
        <v>4</v>
      </c>
      <c r="E5" s="38" t="s">
        <v>5</v>
      </c>
      <c r="F5" s="43"/>
      <c r="G5" s="22" t="s">
        <v>28</v>
      </c>
      <c r="H5" s="22"/>
      <c r="I5" s="22" t="s">
        <v>31</v>
      </c>
      <c r="J5" s="22" t="s">
        <v>27</v>
      </c>
      <c r="K5" s="62"/>
      <c r="L5" s="31">
        <v>0.3</v>
      </c>
      <c r="M5" s="31">
        <f t="shared" si="0"/>
        <v>7.4999999999999997E-2</v>
      </c>
      <c r="N5" s="21"/>
      <c r="O5" s="59"/>
      <c r="P5" s="6"/>
    </row>
    <row r="6" spans="1:16" ht="48.9" x14ac:dyDescent="0.25">
      <c r="A6" s="60"/>
      <c r="B6" s="5" t="s">
        <v>64</v>
      </c>
      <c r="C6" s="26" t="s">
        <v>104</v>
      </c>
      <c r="D6" s="27" t="s">
        <v>65</v>
      </c>
      <c r="E6" s="38" t="s">
        <v>66</v>
      </c>
      <c r="F6" s="22"/>
      <c r="G6" s="22" t="s">
        <v>143</v>
      </c>
      <c r="H6" s="22" t="s">
        <v>144</v>
      </c>
      <c r="I6" s="22" t="s">
        <v>145</v>
      </c>
      <c r="J6" s="22" t="s">
        <v>146</v>
      </c>
      <c r="K6" s="62"/>
      <c r="L6" s="31">
        <v>0.3</v>
      </c>
      <c r="M6" s="31">
        <f t="shared" si="0"/>
        <v>7.4999999999999997E-2</v>
      </c>
      <c r="N6" s="21"/>
      <c r="O6" s="59"/>
      <c r="P6" s="6"/>
    </row>
    <row r="7" spans="1:16" ht="48.9" x14ac:dyDescent="0.25">
      <c r="A7" s="60" t="s">
        <v>43</v>
      </c>
      <c r="B7" s="5" t="s">
        <v>38</v>
      </c>
      <c r="C7" s="26" t="s">
        <v>78</v>
      </c>
      <c r="D7" s="11" t="s">
        <v>7</v>
      </c>
      <c r="E7" s="39" t="s">
        <v>95</v>
      </c>
      <c r="F7" s="23" t="s">
        <v>58</v>
      </c>
      <c r="G7" s="23" t="s">
        <v>105</v>
      </c>
      <c r="H7" s="23"/>
      <c r="I7" s="23"/>
      <c r="J7" s="23" t="s">
        <v>27</v>
      </c>
      <c r="K7" s="57">
        <v>0.25</v>
      </c>
      <c r="L7" s="32">
        <v>0.08</v>
      </c>
      <c r="M7" s="32">
        <f t="shared" ref="M7:M15" si="1">$K$7*L7</f>
        <v>0.02</v>
      </c>
      <c r="N7" s="21"/>
      <c r="O7" s="59">
        <f>SUMPRODUCT(L7:L15,N7:N15)</f>
        <v>0</v>
      </c>
      <c r="P7" s="6"/>
    </row>
    <row r="8" spans="1:16" ht="48.9" x14ac:dyDescent="0.25">
      <c r="A8" s="60"/>
      <c r="B8" s="5" t="s">
        <v>39</v>
      </c>
      <c r="C8" s="26" t="s">
        <v>176</v>
      </c>
      <c r="D8" s="11" t="s">
        <v>161</v>
      </c>
      <c r="E8" s="39" t="s">
        <v>162</v>
      </c>
      <c r="F8" s="44"/>
      <c r="G8" s="23" t="s">
        <v>83</v>
      </c>
      <c r="H8" s="23" t="s">
        <v>163</v>
      </c>
      <c r="I8" s="23" t="s">
        <v>164</v>
      </c>
      <c r="J8" s="23" t="s">
        <v>165</v>
      </c>
      <c r="K8" s="57"/>
      <c r="L8" s="32">
        <v>0.08</v>
      </c>
      <c r="M8" s="32">
        <f t="shared" si="1"/>
        <v>0.02</v>
      </c>
      <c r="N8" s="21"/>
      <c r="O8" s="59"/>
      <c r="P8" s="6"/>
    </row>
    <row r="9" spans="1:16" ht="65.25" x14ac:dyDescent="0.25">
      <c r="A9" s="60"/>
      <c r="B9" s="5" t="s">
        <v>40</v>
      </c>
      <c r="C9" s="26" t="s">
        <v>15</v>
      </c>
      <c r="D9" s="11" t="s">
        <v>79</v>
      </c>
      <c r="E9" s="39" t="s">
        <v>6</v>
      </c>
      <c r="F9" s="23" t="s">
        <v>96</v>
      </c>
      <c r="G9" s="23" t="s">
        <v>72</v>
      </c>
      <c r="H9" s="23" t="s">
        <v>73</v>
      </c>
      <c r="I9" s="23" t="s">
        <v>74</v>
      </c>
      <c r="J9" s="23" t="s">
        <v>75</v>
      </c>
      <c r="K9" s="57"/>
      <c r="L9" s="32">
        <v>0.16</v>
      </c>
      <c r="M9" s="32">
        <f t="shared" si="1"/>
        <v>0.04</v>
      </c>
      <c r="N9" s="21"/>
      <c r="O9" s="59"/>
      <c r="P9" s="6"/>
    </row>
    <row r="10" spans="1:16" ht="46.55" customHeight="1" x14ac:dyDescent="0.25">
      <c r="A10" s="60"/>
      <c r="B10" s="5" t="s">
        <v>166</v>
      </c>
      <c r="C10" s="63" t="s">
        <v>57</v>
      </c>
      <c r="D10" s="11" t="s">
        <v>151</v>
      </c>
      <c r="E10" s="66" t="s">
        <v>160</v>
      </c>
      <c r="F10" s="45"/>
      <c r="G10" s="23" t="s">
        <v>147</v>
      </c>
      <c r="H10" s="23"/>
      <c r="I10" s="23" t="s">
        <v>148</v>
      </c>
      <c r="J10" s="23"/>
      <c r="K10" s="57"/>
      <c r="L10" s="32">
        <v>0.08</v>
      </c>
      <c r="M10" s="32">
        <f t="shared" si="1"/>
        <v>0.02</v>
      </c>
      <c r="N10" s="21"/>
      <c r="O10" s="59"/>
      <c r="P10" s="6"/>
    </row>
    <row r="11" spans="1:16" ht="48.9" x14ac:dyDescent="0.25">
      <c r="A11" s="60"/>
      <c r="B11" s="5" t="s">
        <v>167</v>
      </c>
      <c r="C11" s="64"/>
      <c r="D11" s="11" t="s">
        <v>152</v>
      </c>
      <c r="E11" s="67"/>
      <c r="F11" s="45"/>
      <c r="G11" s="23" t="s">
        <v>157</v>
      </c>
      <c r="H11" s="23" t="s">
        <v>158</v>
      </c>
      <c r="I11" s="23" t="s">
        <v>159</v>
      </c>
      <c r="J11" s="23" t="s">
        <v>149</v>
      </c>
      <c r="K11" s="57"/>
      <c r="L11" s="32">
        <v>0.08</v>
      </c>
      <c r="M11" s="32">
        <f t="shared" si="1"/>
        <v>0.02</v>
      </c>
      <c r="N11" s="21"/>
      <c r="O11" s="59"/>
      <c r="P11" s="6"/>
    </row>
    <row r="12" spans="1:16" ht="65.25" x14ac:dyDescent="0.25">
      <c r="A12" s="60"/>
      <c r="B12" s="5" t="s">
        <v>168</v>
      </c>
      <c r="C12" s="65"/>
      <c r="D12" s="11" t="s">
        <v>153</v>
      </c>
      <c r="E12" s="68"/>
      <c r="F12" s="45"/>
      <c r="G12" s="23" t="s">
        <v>154</v>
      </c>
      <c r="H12" s="23" t="s">
        <v>155</v>
      </c>
      <c r="I12" s="23" t="s">
        <v>156</v>
      </c>
      <c r="J12" s="23" t="s">
        <v>150</v>
      </c>
      <c r="K12" s="57"/>
      <c r="L12" s="32">
        <v>0.08</v>
      </c>
      <c r="M12" s="32">
        <f t="shared" si="1"/>
        <v>0.02</v>
      </c>
      <c r="N12" s="21"/>
      <c r="O12" s="59"/>
      <c r="P12" s="6"/>
    </row>
    <row r="13" spans="1:16" ht="65.25" x14ac:dyDescent="0.25">
      <c r="A13" s="60"/>
      <c r="B13" s="24" t="s">
        <v>41</v>
      </c>
      <c r="C13" s="28" t="s">
        <v>80</v>
      </c>
      <c r="D13" s="29" t="s">
        <v>81</v>
      </c>
      <c r="E13" s="40" t="s">
        <v>8</v>
      </c>
      <c r="F13" s="23" t="s">
        <v>59</v>
      </c>
      <c r="G13" s="23" t="s">
        <v>74</v>
      </c>
      <c r="H13" s="23"/>
      <c r="I13" s="23" t="s">
        <v>82</v>
      </c>
      <c r="J13" s="23" t="s">
        <v>106</v>
      </c>
      <c r="K13" s="57"/>
      <c r="L13" s="32">
        <v>0.16</v>
      </c>
      <c r="M13" s="32">
        <f t="shared" si="1"/>
        <v>0.04</v>
      </c>
      <c r="N13" s="21"/>
      <c r="O13" s="59"/>
      <c r="P13" s="6"/>
    </row>
    <row r="14" spans="1:16" ht="32.6" x14ac:dyDescent="0.25">
      <c r="A14" s="60"/>
      <c r="B14" s="24" t="s">
        <v>42</v>
      </c>
      <c r="C14" s="26" t="s">
        <v>16</v>
      </c>
      <c r="D14" s="11" t="s">
        <v>9</v>
      </c>
      <c r="E14" s="39" t="s">
        <v>10</v>
      </c>
      <c r="F14" s="23" t="s">
        <v>11</v>
      </c>
      <c r="G14" s="23" t="s">
        <v>60</v>
      </c>
      <c r="H14" s="23" t="s">
        <v>61</v>
      </c>
      <c r="I14" s="23"/>
      <c r="J14" s="23" t="s">
        <v>27</v>
      </c>
      <c r="K14" s="57"/>
      <c r="L14" s="32">
        <v>0.16</v>
      </c>
      <c r="M14" s="32">
        <f t="shared" si="1"/>
        <v>0.04</v>
      </c>
      <c r="N14" s="21"/>
      <c r="O14" s="59"/>
      <c r="P14" s="6"/>
    </row>
    <row r="15" spans="1:16" ht="81.55" x14ac:dyDescent="0.25">
      <c r="A15" s="60"/>
      <c r="B15" s="24" t="s">
        <v>44</v>
      </c>
      <c r="C15" s="26" t="s">
        <v>17</v>
      </c>
      <c r="D15" s="11" t="s">
        <v>12</v>
      </c>
      <c r="E15" s="41"/>
      <c r="F15" s="23"/>
      <c r="G15" s="8" t="s">
        <v>107</v>
      </c>
      <c r="H15" s="8" t="s">
        <v>34</v>
      </c>
      <c r="I15" s="8" t="s">
        <v>33</v>
      </c>
      <c r="J15" s="8" t="s">
        <v>32</v>
      </c>
      <c r="K15" s="57"/>
      <c r="L15" s="32">
        <v>0.12</v>
      </c>
      <c r="M15" s="32">
        <f t="shared" si="1"/>
        <v>0.03</v>
      </c>
      <c r="N15" s="21"/>
      <c r="O15" s="59"/>
      <c r="P15" s="6"/>
    </row>
    <row r="16" spans="1:16" ht="65.25" x14ac:dyDescent="0.25">
      <c r="A16" s="60" t="s">
        <v>20</v>
      </c>
      <c r="B16" s="5" t="s">
        <v>50</v>
      </c>
      <c r="C16" s="26" t="s">
        <v>175</v>
      </c>
      <c r="D16" s="11" t="s">
        <v>87</v>
      </c>
      <c r="E16" s="39" t="s">
        <v>13</v>
      </c>
      <c r="F16" s="44"/>
      <c r="G16" s="23" t="s">
        <v>83</v>
      </c>
      <c r="H16" s="23" t="s">
        <v>84</v>
      </c>
      <c r="I16" s="23" t="s">
        <v>85</v>
      </c>
      <c r="J16" s="23" t="s">
        <v>86</v>
      </c>
      <c r="K16" s="57">
        <f>1-K3-K7</f>
        <v>0.5</v>
      </c>
      <c r="L16" s="32">
        <v>0.4</v>
      </c>
      <c r="M16" s="32">
        <f t="shared" ref="M16:M21" si="2">$K$16*L16</f>
        <v>0.2</v>
      </c>
      <c r="N16" s="21"/>
      <c r="O16" s="59">
        <f>SUMPRODUCT(L16:L21,N16:N21)</f>
        <v>0</v>
      </c>
      <c r="P16" s="6"/>
    </row>
    <row r="17" spans="1:16" ht="65.25" x14ac:dyDescent="0.25">
      <c r="A17" s="60"/>
      <c r="B17" s="5" t="s">
        <v>140</v>
      </c>
      <c r="C17" s="36" t="s">
        <v>18</v>
      </c>
      <c r="D17" s="11" t="s">
        <v>141</v>
      </c>
      <c r="E17" s="37" t="s">
        <v>94</v>
      </c>
      <c r="F17" s="46"/>
      <c r="G17" s="24" t="s">
        <v>100</v>
      </c>
      <c r="H17" s="24" t="s">
        <v>99</v>
      </c>
      <c r="I17" s="24" t="s">
        <v>97</v>
      </c>
      <c r="J17" s="24" t="s">
        <v>98</v>
      </c>
      <c r="K17" s="58"/>
      <c r="L17" s="32">
        <v>0.15</v>
      </c>
      <c r="M17" s="32">
        <f t="shared" si="2"/>
        <v>7.4999999999999997E-2</v>
      </c>
      <c r="N17" s="21"/>
      <c r="O17" s="59"/>
      <c r="P17" s="6"/>
    </row>
    <row r="18" spans="1:16" ht="48.9" x14ac:dyDescent="0.25">
      <c r="A18" s="60"/>
      <c r="B18" s="5" t="s">
        <v>51</v>
      </c>
      <c r="C18" s="26" t="s">
        <v>101</v>
      </c>
      <c r="D18" s="11" t="s">
        <v>102</v>
      </c>
      <c r="E18" s="39"/>
      <c r="F18" s="44"/>
      <c r="G18" s="23" t="s">
        <v>49</v>
      </c>
      <c r="H18" s="23" t="s">
        <v>128</v>
      </c>
      <c r="I18" s="23" t="s">
        <v>121</v>
      </c>
      <c r="J18" s="23" t="s">
        <v>103</v>
      </c>
      <c r="K18" s="58"/>
      <c r="L18" s="32">
        <v>0.1</v>
      </c>
      <c r="M18" s="32">
        <f t="shared" si="2"/>
        <v>0.05</v>
      </c>
      <c r="N18" s="21"/>
      <c r="O18" s="59"/>
      <c r="P18" s="6"/>
    </row>
    <row r="19" spans="1:16" ht="48.9" x14ac:dyDescent="0.25">
      <c r="A19" s="60"/>
      <c r="B19" s="5" t="s">
        <v>169</v>
      </c>
      <c r="C19" s="26" t="s">
        <v>132</v>
      </c>
      <c r="D19" s="11" t="s">
        <v>177</v>
      </c>
      <c r="E19" s="41" t="s">
        <v>138</v>
      </c>
      <c r="F19" s="29" t="s">
        <v>142</v>
      </c>
      <c r="G19" s="8" t="s">
        <v>88</v>
      </c>
      <c r="H19" s="8" t="s">
        <v>89</v>
      </c>
      <c r="I19" s="8" t="s">
        <v>90</v>
      </c>
      <c r="J19" s="8" t="s">
        <v>91</v>
      </c>
      <c r="K19" s="58"/>
      <c r="L19" s="32">
        <v>0.1</v>
      </c>
      <c r="M19" s="32">
        <f t="shared" si="2"/>
        <v>0.05</v>
      </c>
      <c r="N19" s="21"/>
      <c r="O19" s="59"/>
      <c r="P19" s="56"/>
    </row>
    <row r="20" spans="1:16" ht="65.25" x14ac:dyDescent="0.25">
      <c r="A20" s="60"/>
      <c r="B20" s="5" t="s">
        <v>52</v>
      </c>
      <c r="C20" s="26" t="s">
        <v>133</v>
      </c>
      <c r="D20" s="11" t="s">
        <v>134</v>
      </c>
      <c r="E20" s="41" t="s">
        <v>139</v>
      </c>
      <c r="F20" s="29"/>
      <c r="G20" s="24" t="s">
        <v>135</v>
      </c>
      <c r="H20" s="24" t="s">
        <v>136</v>
      </c>
      <c r="I20" s="24" t="s">
        <v>137</v>
      </c>
      <c r="J20" s="24" t="s">
        <v>92</v>
      </c>
      <c r="K20" s="58"/>
      <c r="L20" s="32">
        <v>0.15</v>
      </c>
      <c r="M20" s="32">
        <f t="shared" si="2"/>
        <v>7.4999999999999997E-2</v>
      </c>
      <c r="N20" s="21"/>
      <c r="O20" s="59"/>
      <c r="P20" s="56"/>
    </row>
    <row r="21" spans="1:16" ht="65.25" x14ac:dyDescent="0.25">
      <c r="A21" s="60"/>
      <c r="B21" s="5" t="s">
        <v>131</v>
      </c>
      <c r="C21" s="26" t="s">
        <v>47</v>
      </c>
      <c r="D21" s="11" t="s">
        <v>178</v>
      </c>
      <c r="E21" s="41" t="s">
        <v>62</v>
      </c>
      <c r="F21" s="23"/>
      <c r="G21" s="8" t="s">
        <v>108</v>
      </c>
      <c r="H21" s="8" t="s">
        <v>34</v>
      </c>
      <c r="I21" s="8" t="s">
        <v>33</v>
      </c>
      <c r="J21" s="8" t="s">
        <v>32</v>
      </c>
      <c r="K21" s="58"/>
      <c r="L21" s="32">
        <v>0.1</v>
      </c>
      <c r="M21" s="32">
        <f t="shared" si="2"/>
        <v>0.05</v>
      </c>
      <c r="N21" s="21"/>
      <c r="O21" s="59"/>
      <c r="P21" s="7"/>
    </row>
    <row r="22" spans="1:16" x14ac:dyDescent="0.25">
      <c r="O22" s="9"/>
    </row>
    <row r="23" spans="1:16" x14ac:dyDescent="0.25">
      <c r="O23" s="9"/>
    </row>
    <row r="24" spans="1:16" x14ac:dyDescent="0.25">
      <c r="O24" s="9"/>
    </row>
    <row r="25" spans="1:16" x14ac:dyDescent="0.25">
      <c r="O25" s="9"/>
    </row>
    <row r="26" spans="1:16" x14ac:dyDescent="0.25">
      <c r="O26" s="9"/>
    </row>
    <row r="27" spans="1:16" x14ac:dyDescent="0.25">
      <c r="O27" s="9"/>
    </row>
  </sheetData>
  <mergeCells count="20">
    <mergeCell ref="D1:D2"/>
    <mergeCell ref="C1:C2"/>
    <mergeCell ref="B1:B2"/>
    <mergeCell ref="K1:M1"/>
    <mergeCell ref="P1:P2"/>
    <mergeCell ref="P19:P20"/>
    <mergeCell ref="K16:K21"/>
    <mergeCell ref="O16:O21"/>
    <mergeCell ref="A16:A21"/>
    <mergeCell ref="A7:A15"/>
    <mergeCell ref="O7:O15"/>
    <mergeCell ref="K3:K6"/>
    <mergeCell ref="K7:K15"/>
    <mergeCell ref="C10:C12"/>
    <mergeCell ref="E10:E12"/>
    <mergeCell ref="A1:A2"/>
    <mergeCell ref="F1:F2"/>
    <mergeCell ref="O3:O6"/>
    <mergeCell ref="E1:E2"/>
    <mergeCell ref="A3:A6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3E6A6BDB3245A9E7243627F43754" ma:contentTypeVersion="20" ma:contentTypeDescription="Crée un document." ma:contentTypeScope="" ma:versionID="646c53570d6f78ceab76cf3a109e7b9d">
  <xsd:schema xmlns:xsd="http://www.w3.org/2001/XMLSchema" xmlns:xs="http://www.w3.org/2001/XMLSchema" xmlns:p="http://schemas.microsoft.com/office/2006/metadata/properties" xmlns:ns2="ec268e60-9ba6-49a7-857a-07929746f2b0" xmlns:ns3="8a5b8b8d-337d-400e-bf33-e07634618a7c" targetNamespace="http://schemas.microsoft.com/office/2006/metadata/properties" ma:root="true" ma:fieldsID="639c7485ec3ed151ca779b3155276e60" ns2:_="" ns3:_="">
    <xsd:import namespace="ec268e60-9ba6-49a7-857a-07929746f2b0"/>
    <xsd:import namespace="8a5b8b8d-337d-400e-bf33-e0763461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68e60-9ba6-49a7-857a-07929746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43bb70c2-fa86-432e-835f-c9286240f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b8b8d-337d-400e-bf33-e07634618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fe32aef-a942-4df3-a6b7-aae466dab212}" ma:internalName="TaxCatchAll" ma:showField="CatchAllData" ma:web="8a5b8b8d-337d-400e-bf33-e0763461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68e60-9ba6-49a7-857a-07929746f2b0">
      <Terms xmlns="http://schemas.microsoft.com/office/infopath/2007/PartnerControls"/>
    </lcf76f155ced4ddcb4097134ff3c332f>
    <TaxCatchAll xmlns="8a5b8b8d-337d-400e-bf33-e07634618a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1AC25A-AEC2-40C9-B3E5-4B76E08A8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68e60-9ba6-49a7-857a-07929746f2b0"/>
    <ds:schemaRef ds:uri="8a5b8b8d-337d-400e-bf33-e0763461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982FE4-6A73-4923-AAAC-D22A570B13F8}">
  <ds:schemaRefs>
    <ds:schemaRef ds:uri="http://schemas.microsoft.com/office/2006/metadata/properties"/>
    <ds:schemaRef ds:uri="http://schemas.microsoft.com/office/infopath/2007/PartnerControls"/>
    <ds:schemaRef ds:uri="ec268e60-9ba6-49a7-857a-07929746f2b0"/>
    <ds:schemaRef ds:uri="8a5b8b8d-337d-400e-bf33-e07634618a7c"/>
  </ds:schemaRefs>
</ds:datastoreItem>
</file>

<file path=customXml/itemProps3.xml><?xml version="1.0" encoding="utf-8"?>
<ds:datastoreItem xmlns:ds="http://schemas.openxmlformats.org/officeDocument/2006/customXml" ds:itemID="{6ACACBF2-4D1D-4A2D-93B9-133B6419AD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Commentaires</vt:lpstr>
      <vt:lpstr>Grille d'analyse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BOESPFLUG</dc:creator>
  <cp:lastModifiedBy>Nicolas Planchenault</cp:lastModifiedBy>
  <dcterms:created xsi:type="dcterms:W3CDTF">2024-07-19T07:19:39Z</dcterms:created>
  <dcterms:modified xsi:type="dcterms:W3CDTF">2026-09-14T09:00:52Z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0x0101001F4E3E6A6BDB3245A9E7243627F43754</vt:lpwstr>
  </property>
  <property fmtid="{D5CDD505-2E9C-101B-9397-08002B2CF9AE}" pid="3" name="MediaServiceImageTags">
    <vt:lpwstr/>
  </property>
</Properties>
</file>