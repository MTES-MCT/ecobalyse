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Méthodes transverses/Investigation Métaux/"/>
    </mc:Choice>
  </mc:AlternateContent>
  <xr:revisionPtr revIDLastSave="272" documentId="8_{C36FD4B5-EED7-400A-9FE8-5702609E0C56}" xr6:coauthVersionLast="47" xr6:coauthVersionMax="47" xr10:uidLastSave="{DEA7C53E-FC03-4CF8-BC2E-A000B3A370C4}"/>
  <bookViews>
    <workbookView xWindow="25974" yWindow="-68" windowWidth="26301" windowHeight="14169" tabRatio="815" xr2:uid="{00000000-000D-0000-FFFF-FFFF00000000}"/>
  </bookViews>
  <sheets>
    <sheet name="ReadMe" sheetId="65" r:id="rId1"/>
    <sheet name="Résultats" sheetId="62" r:id="rId2"/>
    <sheet name="Données ArrièrePlan" sheetId="64" r:id="rId3"/>
    <sheet name="AutoConsommation" sheetId="40" r:id="rId4"/>
    <sheet name="Import" sheetId="61" r:id="rId5"/>
    <sheet name="Correspondances pays" sheetId="63" r:id="rId6"/>
    <sheet name="compens8-Prod" sheetId="52" r:id="rId7"/>
    <sheet name="compens8-Import" sheetId="50" r:id="rId8"/>
    <sheet name="compens8-Export" sheetId="51" r:id="rId9"/>
  </sheets>
  <definedNames>
    <definedName name="_xlnm._FilterDatabase" localSheetId="7" hidden="1">'compens8-Import'!$A$3:$N$681</definedName>
    <definedName name="_xlnm._FilterDatabase" localSheetId="6" hidden="1">'compens8-Prod'!$A$3:$N$3</definedName>
    <definedName name="_xlnm._FilterDatabase" localSheetId="5" hidden="1">'Correspondances pays'!$A$3:$C$200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40" l="1"/>
  <c r="J35" i="40"/>
  <c r="I35" i="40"/>
  <c r="D35" i="40"/>
  <c r="G35" i="40"/>
  <c r="F35" i="40"/>
  <c r="E35" i="40"/>
  <c r="C33" i="61" l="1"/>
  <c r="C34" i="61"/>
  <c r="C35" i="61"/>
  <c r="CN2" i="61"/>
  <c r="CM2" i="61"/>
  <c r="CL2" i="61"/>
  <c r="CK2" i="61"/>
  <c r="CJ2" i="61"/>
  <c r="CI2" i="61"/>
  <c r="CH2" i="61"/>
  <c r="CG2" i="61"/>
  <c r="CF2" i="61"/>
  <c r="CE2" i="61"/>
  <c r="CD2" i="61"/>
  <c r="CC2" i="61"/>
  <c r="CB2" i="61"/>
  <c r="CA2" i="61"/>
  <c r="BZ2" i="61"/>
  <c r="BY2" i="61"/>
  <c r="BX2" i="61"/>
  <c r="BW2" i="61"/>
  <c r="BV2" i="61"/>
  <c r="BU2" i="61"/>
  <c r="BT2" i="61"/>
  <c r="BS2" i="61"/>
  <c r="BR2" i="61"/>
  <c r="BQ2" i="61"/>
  <c r="BP2" i="61"/>
  <c r="BO2" i="61"/>
  <c r="BN2" i="61"/>
  <c r="BM2" i="61"/>
  <c r="BL2" i="61"/>
  <c r="BK2" i="61"/>
  <c r="BJ2" i="61"/>
  <c r="BI2" i="61"/>
  <c r="BH2" i="61"/>
  <c r="BG2" i="61"/>
  <c r="BF2" i="61"/>
  <c r="BE2" i="61"/>
  <c r="BD2" i="61"/>
  <c r="BC2" i="61"/>
  <c r="BB2" i="61"/>
  <c r="BA2" i="61"/>
  <c r="AZ2" i="61"/>
  <c r="AY2" i="61"/>
  <c r="AX2" i="61"/>
  <c r="AW2" i="61"/>
  <c r="AV2" i="61"/>
  <c r="AU2" i="61"/>
  <c r="AT2" i="61"/>
  <c r="AS2" i="61"/>
  <c r="AR2" i="61"/>
  <c r="AQ2" i="61"/>
  <c r="AP2" i="61"/>
  <c r="AO2" i="61"/>
  <c r="AN2" i="61"/>
  <c r="AM2" i="61"/>
  <c r="AL2" i="61"/>
  <c r="AK2" i="61"/>
  <c r="AJ2" i="61"/>
  <c r="AI2" i="61"/>
  <c r="AH2" i="61"/>
  <c r="AG2" i="61"/>
  <c r="AF2" i="61"/>
  <c r="AE2" i="61"/>
  <c r="AD2" i="61"/>
  <c r="AC2" i="61"/>
  <c r="AB2" i="61"/>
  <c r="AA2" i="61"/>
  <c r="Z2" i="61"/>
  <c r="Y2" i="61"/>
  <c r="X2" i="61"/>
  <c r="W2" i="61"/>
  <c r="V2" i="61"/>
  <c r="U2" i="61"/>
  <c r="T2" i="61"/>
  <c r="S2" i="61"/>
  <c r="R2" i="61"/>
  <c r="Q2" i="61"/>
  <c r="P2" i="61"/>
  <c r="O2" i="61"/>
  <c r="N2" i="61"/>
  <c r="M2" i="61"/>
  <c r="L2" i="61"/>
  <c r="K2" i="61"/>
  <c r="J2" i="61"/>
  <c r="I2" i="61"/>
  <c r="H2" i="61"/>
  <c r="G2" i="61"/>
  <c r="F2" i="61"/>
  <c r="E2" i="61"/>
  <c r="C4" i="40"/>
  <c r="F4" i="40" s="1"/>
  <c r="C5" i="61" s="1"/>
  <c r="C5" i="40"/>
  <c r="E5" i="40" s="1"/>
  <c r="C6" i="40"/>
  <c r="F6" i="40" s="1"/>
  <c r="C7" i="61" s="1"/>
  <c r="C7" i="40"/>
  <c r="E7" i="40" s="1"/>
  <c r="C8" i="40"/>
  <c r="F8" i="40" s="1"/>
  <c r="C9" i="61" s="1"/>
  <c r="C9" i="40"/>
  <c r="E9" i="40" s="1"/>
  <c r="C10" i="40"/>
  <c r="F10" i="40" s="1"/>
  <c r="C11" i="61" s="1"/>
  <c r="C11" i="40"/>
  <c r="E11" i="40" s="1"/>
  <c r="C12" i="40"/>
  <c r="F12" i="40" s="1"/>
  <c r="C13" i="61" s="1"/>
  <c r="C13" i="40"/>
  <c r="E13" i="40" s="1"/>
  <c r="C14" i="40"/>
  <c r="F14" i="40" s="1"/>
  <c r="C15" i="61" s="1"/>
  <c r="C15" i="40"/>
  <c r="E15" i="40" s="1"/>
  <c r="C16" i="40"/>
  <c r="F16" i="40" s="1"/>
  <c r="C17" i="61" s="1"/>
  <c r="C17" i="40"/>
  <c r="E17" i="40" s="1"/>
  <c r="C18" i="40"/>
  <c r="F18" i="40" s="1"/>
  <c r="C19" i="61" s="1"/>
  <c r="C19" i="40"/>
  <c r="E19" i="40" s="1"/>
  <c r="C20" i="40"/>
  <c r="F20" i="40" s="1"/>
  <c r="C21" i="61" s="1"/>
  <c r="C21" i="40"/>
  <c r="E21" i="40" s="1"/>
  <c r="C22" i="40"/>
  <c r="F22" i="40" s="1"/>
  <c r="C23" i="61" s="1"/>
  <c r="C23" i="40"/>
  <c r="E23" i="40" s="1"/>
  <c r="C24" i="40"/>
  <c r="F24" i="40" s="1"/>
  <c r="C25" i="61" s="1"/>
  <c r="C25" i="40"/>
  <c r="E25" i="40" s="1"/>
  <c r="C26" i="40"/>
  <c r="F26" i="40" s="1"/>
  <c r="C27" i="61" s="1"/>
  <c r="C27" i="40"/>
  <c r="E27" i="40" s="1"/>
  <c r="C28" i="40"/>
  <c r="F28" i="40" s="1"/>
  <c r="C29" i="61" s="1"/>
  <c r="C29" i="40"/>
  <c r="E29" i="40" s="1"/>
  <c r="C30" i="40"/>
  <c r="F30" i="40" s="1"/>
  <c r="C31" i="61" s="1"/>
  <c r="C31" i="40"/>
  <c r="E31" i="40" s="1"/>
  <c r="C32" i="40"/>
  <c r="C33" i="40"/>
  <c r="C34" i="40"/>
  <c r="C35" i="40"/>
  <c r="C3" i="40"/>
  <c r="D3" i="40" s="1"/>
  <c r="AQ29" i="62"/>
  <c r="AP29" i="62"/>
  <c r="AO29" i="62"/>
  <c r="AN29" i="62"/>
  <c r="AM29" i="62"/>
  <c r="AL29" i="62"/>
  <c r="AK29" i="62"/>
  <c r="AJ29" i="62"/>
  <c r="AI29" i="62"/>
  <c r="AQ28" i="62"/>
  <c r="AP28" i="62"/>
  <c r="AO28" i="62"/>
  <c r="AN28" i="62"/>
  <c r="AM28" i="62"/>
  <c r="AL28" i="62"/>
  <c r="AK28" i="62"/>
  <c r="AJ28" i="62"/>
  <c r="AI28" i="62"/>
  <c r="AQ27" i="62"/>
  <c r="AP27" i="62"/>
  <c r="AO27" i="62"/>
  <c r="AN27" i="62"/>
  <c r="AM27" i="62"/>
  <c r="AL27" i="62"/>
  <c r="AK27" i="62"/>
  <c r="AJ27" i="62"/>
  <c r="AI27" i="62"/>
  <c r="AQ26" i="62"/>
  <c r="AP26" i="62"/>
  <c r="AO26" i="62"/>
  <c r="AN26" i="62"/>
  <c r="AM26" i="62"/>
  <c r="AL26" i="62"/>
  <c r="AK26" i="62"/>
  <c r="AJ26" i="62"/>
  <c r="AI26" i="62"/>
  <c r="AQ25" i="62"/>
  <c r="AP25" i="62"/>
  <c r="AO25" i="62"/>
  <c r="AN25" i="62"/>
  <c r="AM25" i="62"/>
  <c r="AL25" i="62"/>
  <c r="AK25" i="62"/>
  <c r="AJ25" i="62"/>
  <c r="AI25" i="62"/>
  <c r="AQ24" i="62"/>
  <c r="AP24" i="62"/>
  <c r="AO24" i="62"/>
  <c r="AN24" i="62"/>
  <c r="AM24" i="62"/>
  <c r="AL24" i="62"/>
  <c r="AK24" i="62"/>
  <c r="AJ24" i="62"/>
  <c r="AI24" i="62"/>
  <c r="AQ23" i="62"/>
  <c r="AP23" i="62"/>
  <c r="AO23" i="62"/>
  <c r="AN23" i="62"/>
  <c r="AM23" i="62"/>
  <c r="AL23" i="62"/>
  <c r="AK23" i="62"/>
  <c r="AJ23" i="62"/>
  <c r="AI23" i="62"/>
  <c r="AQ22" i="62"/>
  <c r="AP22" i="62"/>
  <c r="AO22" i="62"/>
  <c r="AN22" i="62"/>
  <c r="AM22" i="62"/>
  <c r="AL22" i="62"/>
  <c r="AK22" i="62"/>
  <c r="AJ22" i="62"/>
  <c r="AI22" i="62"/>
  <c r="AQ21" i="62"/>
  <c r="AP21" i="62"/>
  <c r="AO21" i="62"/>
  <c r="AN21" i="62"/>
  <c r="AM21" i="62"/>
  <c r="AL21" i="62"/>
  <c r="AK21" i="62"/>
  <c r="AJ21" i="62"/>
  <c r="AI21" i="62"/>
  <c r="AQ20" i="62"/>
  <c r="AP20" i="62"/>
  <c r="AO20" i="62"/>
  <c r="AN20" i="62"/>
  <c r="AM20" i="62"/>
  <c r="AL20" i="62"/>
  <c r="AK20" i="62"/>
  <c r="AJ20" i="62"/>
  <c r="AI20" i="62"/>
  <c r="AQ19" i="62"/>
  <c r="AP19" i="62"/>
  <c r="AO19" i="62"/>
  <c r="AN19" i="62"/>
  <c r="AM19" i="62"/>
  <c r="AL19" i="62"/>
  <c r="AK19" i="62"/>
  <c r="AJ19" i="62"/>
  <c r="AI19" i="62"/>
  <c r="AQ18" i="62"/>
  <c r="AP18" i="62"/>
  <c r="AO18" i="62"/>
  <c r="AN18" i="62"/>
  <c r="AM18" i="62"/>
  <c r="AL18" i="62"/>
  <c r="AK18" i="62"/>
  <c r="AJ18" i="62"/>
  <c r="AI18" i="62"/>
  <c r="AQ17" i="62"/>
  <c r="AP17" i="62"/>
  <c r="AO17" i="62"/>
  <c r="AN17" i="62"/>
  <c r="AM17" i="62"/>
  <c r="AL17" i="62"/>
  <c r="AK17" i="62"/>
  <c r="AJ17" i="62"/>
  <c r="AI17" i="62"/>
  <c r="AQ16" i="62"/>
  <c r="AP16" i="62"/>
  <c r="AO16" i="62"/>
  <c r="AN16" i="62"/>
  <c r="AM16" i="62"/>
  <c r="AL16" i="62"/>
  <c r="AK16" i="62"/>
  <c r="AJ16" i="62"/>
  <c r="AI16" i="62"/>
  <c r="AQ15" i="62"/>
  <c r="AP15" i="62"/>
  <c r="AO15" i="62"/>
  <c r="AN15" i="62"/>
  <c r="AM15" i="62"/>
  <c r="AL15" i="62"/>
  <c r="AK15" i="62"/>
  <c r="AJ15" i="62"/>
  <c r="AI15" i="62"/>
  <c r="AQ14" i="62"/>
  <c r="AP14" i="62"/>
  <c r="AO14" i="62"/>
  <c r="AN14" i="62"/>
  <c r="AM14" i="62"/>
  <c r="AL14" i="62"/>
  <c r="AK14" i="62"/>
  <c r="AJ14" i="62"/>
  <c r="AI14" i="62"/>
  <c r="AQ13" i="62"/>
  <c r="AP13" i="62"/>
  <c r="AO13" i="62"/>
  <c r="AN13" i="62"/>
  <c r="AM13" i="62"/>
  <c r="AL13" i="62"/>
  <c r="AK13" i="62"/>
  <c r="AJ13" i="62"/>
  <c r="AI13" i="62"/>
  <c r="AQ12" i="62"/>
  <c r="AP12" i="62"/>
  <c r="AO12" i="62"/>
  <c r="AN12" i="62"/>
  <c r="AM12" i="62"/>
  <c r="AL12" i="62"/>
  <c r="AK12" i="62"/>
  <c r="AJ12" i="62"/>
  <c r="AI12" i="62"/>
  <c r="AQ11" i="62"/>
  <c r="AP11" i="62"/>
  <c r="AO11" i="62"/>
  <c r="AN11" i="62"/>
  <c r="AM11" i="62"/>
  <c r="AL11" i="62"/>
  <c r="AK11" i="62"/>
  <c r="AJ11" i="62"/>
  <c r="AI11" i="62"/>
  <c r="AQ10" i="62"/>
  <c r="AP10" i="62"/>
  <c r="AO10" i="62"/>
  <c r="AN10" i="62"/>
  <c r="AM10" i="62"/>
  <c r="AL10" i="62"/>
  <c r="AK10" i="62"/>
  <c r="AJ10" i="62"/>
  <c r="AI10" i="62"/>
  <c r="AQ9" i="62"/>
  <c r="AP9" i="62"/>
  <c r="AO9" i="62"/>
  <c r="AN9" i="62"/>
  <c r="AM9" i="62"/>
  <c r="AL9" i="62"/>
  <c r="AK9" i="62"/>
  <c r="AJ9" i="62"/>
  <c r="AI9" i="62"/>
  <c r="AQ8" i="62"/>
  <c r="AP8" i="62"/>
  <c r="AO8" i="62"/>
  <c r="AN8" i="62"/>
  <c r="AM8" i="62"/>
  <c r="AL8" i="62"/>
  <c r="AK8" i="62"/>
  <c r="AJ8" i="62"/>
  <c r="AI8" i="62"/>
  <c r="AQ7" i="62"/>
  <c r="AP7" i="62"/>
  <c r="AO7" i="62"/>
  <c r="AN7" i="62"/>
  <c r="AM7" i="62"/>
  <c r="AL7" i="62"/>
  <c r="AK7" i="62"/>
  <c r="AJ7" i="62"/>
  <c r="AI7" i="62"/>
  <c r="AQ6" i="62"/>
  <c r="AP6" i="62"/>
  <c r="AO6" i="62"/>
  <c r="AN6" i="62"/>
  <c r="AM6" i="62"/>
  <c r="AL6" i="62"/>
  <c r="AK6" i="62"/>
  <c r="AJ6" i="62"/>
  <c r="AI6" i="62"/>
  <c r="AQ5" i="62"/>
  <c r="AP5" i="62"/>
  <c r="AO5" i="62"/>
  <c r="AN5" i="62"/>
  <c r="AM5" i="62"/>
  <c r="AL5" i="62"/>
  <c r="AK5" i="62"/>
  <c r="AJ5" i="62"/>
  <c r="AI5" i="62"/>
  <c r="AQ4" i="62"/>
  <c r="AP4" i="62"/>
  <c r="AO4" i="62"/>
  <c r="AN4" i="62"/>
  <c r="AM4" i="62"/>
  <c r="AL4" i="62"/>
  <c r="AK4" i="62"/>
  <c r="AJ4" i="62"/>
  <c r="AI4" i="62"/>
  <c r="AQ3" i="62"/>
  <c r="AP3" i="62"/>
  <c r="AO3" i="62"/>
  <c r="AN3" i="62"/>
  <c r="AM3" i="62"/>
  <c r="AL3" i="62"/>
  <c r="AK3" i="62"/>
  <c r="AJ3" i="62"/>
  <c r="AI3" i="62"/>
  <c r="AH4" i="62"/>
  <c r="AH5" i="62"/>
  <c r="AH6" i="62"/>
  <c r="AH7" i="62"/>
  <c r="AH8" i="62"/>
  <c r="AH9" i="62"/>
  <c r="AH10" i="62"/>
  <c r="AH11" i="62"/>
  <c r="AH12" i="62"/>
  <c r="AH13" i="62"/>
  <c r="AH14" i="62"/>
  <c r="AH15" i="62"/>
  <c r="AH16" i="62"/>
  <c r="AH17" i="62"/>
  <c r="AH18" i="62"/>
  <c r="AH19" i="62"/>
  <c r="AH20" i="62"/>
  <c r="AH21" i="62"/>
  <c r="AH22" i="62"/>
  <c r="AH23" i="62"/>
  <c r="AH24" i="62"/>
  <c r="AH25" i="62"/>
  <c r="AH26" i="62"/>
  <c r="AH27" i="62"/>
  <c r="AH28" i="62"/>
  <c r="AH29" i="62"/>
  <c r="AH3" i="62"/>
  <c r="D32" i="40"/>
  <c r="D33" i="40"/>
  <c r="D34" i="40"/>
  <c r="B5" i="61"/>
  <c r="CG5" i="61" s="1"/>
  <c r="B6" i="61"/>
  <c r="CF6" i="61" s="1"/>
  <c r="B7" i="61"/>
  <c r="CA7" i="61" s="1"/>
  <c r="B8" i="61"/>
  <c r="B9" i="61"/>
  <c r="BS9" i="61" s="1"/>
  <c r="B10" i="61"/>
  <c r="CI10" i="61" s="1"/>
  <c r="B11" i="61"/>
  <c r="B12" i="61"/>
  <c r="BU12" i="61" s="1"/>
  <c r="B13" i="61"/>
  <c r="K13" i="61" s="1"/>
  <c r="B14" i="61"/>
  <c r="B15" i="61"/>
  <c r="BL15" i="61" s="1"/>
  <c r="B16" i="61"/>
  <c r="CF16" i="61" s="1"/>
  <c r="B17" i="61"/>
  <c r="B18" i="61"/>
  <c r="BI18" i="61" s="1"/>
  <c r="B19" i="61"/>
  <c r="BJ19" i="61" s="1"/>
  <c r="B20" i="61"/>
  <c r="B21" i="61"/>
  <c r="BW21" i="61" s="1"/>
  <c r="B22" i="61"/>
  <c r="BY22" i="61" s="1"/>
  <c r="B23" i="61"/>
  <c r="BR23" i="61" s="1"/>
  <c r="B24" i="61"/>
  <c r="AJ24" i="61" s="1"/>
  <c r="B25" i="61"/>
  <c r="BZ25" i="61" s="1"/>
  <c r="B26" i="61"/>
  <c r="B27" i="61"/>
  <c r="B28" i="61"/>
  <c r="B29" i="61"/>
  <c r="B30" i="61"/>
  <c r="B31" i="61"/>
  <c r="B32" i="61"/>
  <c r="B33" i="61"/>
  <c r="B34" i="61"/>
  <c r="B35" i="61"/>
  <c r="B4" i="61"/>
  <c r="I4" i="61" s="1"/>
  <c r="E3" i="40" l="1"/>
  <c r="G3" i="40" s="1"/>
  <c r="F3" i="40"/>
  <c r="E12" i="40"/>
  <c r="D5" i="40"/>
  <c r="D27" i="40"/>
  <c r="D19" i="40"/>
  <c r="D25" i="40"/>
  <c r="E18" i="40"/>
  <c r="D11" i="40"/>
  <c r="E4" i="40"/>
  <c r="D31" i="40"/>
  <c r="E24" i="40"/>
  <c r="D17" i="40"/>
  <c r="E10" i="40"/>
  <c r="E30" i="40"/>
  <c r="D23" i="40"/>
  <c r="E16" i="40"/>
  <c r="D9" i="40"/>
  <c r="D29" i="40"/>
  <c r="E22" i="40"/>
  <c r="D15" i="40"/>
  <c r="D7" i="40"/>
  <c r="E28" i="40"/>
  <c r="D21" i="40"/>
  <c r="D13" i="40"/>
  <c r="E6" i="40"/>
  <c r="E8" i="40"/>
  <c r="C4" i="61"/>
  <c r="D30" i="40"/>
  <c r="D28" i="40"/>
  <c r="D26" i="40"/>
  <c r="D24" i="40"/>
  <c r="D22" i="40"/>
  <c r="D20" i="40"/>
  <c r="D18" i="40"/>
  <c r="D16" i="40"/>
  <c r="D14" i="40"/>
  <c r="D12" i="40"/>
  <c r="D10" i="40"/>
  <c r="D8" i="40"/>
  <c r="D6" i="40"/>
  <c r="D4" i="40"/>
  <c r="E26" i="40"/>
  <c r="E20" i="40"/>
  <c r="F31" i="40"/>
  <c r="C32" i="61" s="1"/>
  <c r="F29" i="40"/>
  <c r="C30" i="61" s="1"/>
  <c r="F27" i="40"/>
  <c r="C28" i="61" s="1"/>
  <c r="F25" i="40"/>
  <c r="C26" i="61" s="1"/>
  <c r="F23" i="40"/>
  <c r="C24" i="61" s="1"/>
  <c r="F21" i="40"/>
  <c r="C22" i="61" s="1"/>
  <c r="F19" i="40"/>
  <c r="C20" i="61" s="1"/>
  <c r="F17" i="40"/>
  <c r="C18" i="61" s="1"/>
  <c r="F15" i="40"/>
  <c r="C16" i="61" s="1"/>
  <c r="F13" i="40"/>
  <c r="C14" i="61" s="1"/>
  <c r="F11" i="40"/>
  <c r="C12" i="61" s="1"/>
  <c r="F9" i="40"/>
  <c r="C10" i="61" s="1"/>
  <c r="F7" i="40"/>
  <c r="C8" i="61" s="1"/>
  <c r="F5" i="40"/>
  <c r="C6" i="61" s="1"/>
  <c r="E14" i="40"/>
  <c r="AA6" i="61"/>
  <c r="CB4" i="61"/>
  <c r="AY6" i="61"/>
  <c r="BJ4" i="61"/>
  <c r="CJ6" i="61"/>
  <c r="AR4" i="61"/>
  <c r="AQ7" i="61"/>
  <c r="Z4" i="61"/>
  <c r="CH7" i="61"/>
  <c r="H4" i="61"/>
  <c r="AG13" i="61"/>
  <c r="BO9" i="61"/>
  <c r="Q12" i="61"/>
  <c r="AY16" i="61"/>
  <c r="BY4" i="61"/>
  <c r="BG4" i="61"/>
  <c r="AO4" i="61"/>
  <c r="W4" i="61"/>
  <c r="F6" i="61"/>
  <c r="AD6" i="61"/>
  <c r="BE6" i="61"/>
  <c r="G7" i="61"/>
  <c r="AX7" i="61"/>
  <c r="G9" i="61"/>
  <c r="CB9" i="61"/>
  <c r="AH12" i="61"/>
  <c r="AZ13" i="61"/>
  <c r="J18" i="61"/>
  <c r="CM4" i="61"/>
  <c r="BU4" i="61"/>
  <c r="BC4" i="61"/>
  <c r="AK4" i="61"/>
  <c r="S4" i="61"/>
  <c r="I6" i="61"/>
  <c r="AG6" i="61"/>
  <c r="BK6" i="61"/>
  <c r="N7" i="61"/>
  <c r="BE7" i="61"/>
  <c r="R9" i="61"/>
  <c r="E10" i="61"/>
  <c r="AY12" i="61"/>
  <c r="BS13" i="61"/>
  <c r="AS18" i="61"/>
  <c r="CK4" i="61"/>
  <c r="BS4" i="61"/>
  <c r="BA4" i="61"/>
  <c r="AI4" i="61"/>
  <c r="Q4" i="61"/>
  <c r="O6" i="61"/>
  <c r="AM6" i="61"/>
  <c r="BQ6" i="61"/>
  <c r="U7" i="61"/>
  <c r="BL7" i="61"/>
  <c r="AC9" i="61"/>
  <c r="AD10" i="61"/>
  <c r="BO12" i="61"/>
  <c r="S15" i="61"/>
  <c r="CD18" i="61"/>
  <c r="CH4" i="61"/>
  <c r="BP4" i="61"/>
  <c r="AX4" i="61"/>
  <c r="AF4" i="61"/>
  <c r="N4" i="61"/>
  <c r="R6" i="61"/>
  <c r="AP6" i="61"/>
  <c r="BW6" i="61"/>
  <c r="AB7" i="61"/>
  <c r="BT7" i="61"/>
  <c r="AO9" i="61"/>
  <c r="BE10" i="61"/>
  <c r="CD12" i="61"/>
  <c r="BE15" i="61"/>
  <c r="AF22" i="61"/>
  <c r="CC4" i="61"/>
  <c r="BK4" i="61"/>
  <c r="AS4" i="61"/>
  <c r="AA4" i="61"/>
  <c r="U6" i="61"/>
  <c r="AS6" i="61"/>
  <c r="CC6" i="61"/>
  <c r="AJ7" i="61"/>
  <c r="BA9" i="61"/>
  <c r="CE10" i="61"/>
  <c r="K16" i="61"/>
  <c r="CJ17" i="61"/>
  <c r="CD17" i="61"/>
  <c r="BX17" i="61"/>
  <c r="BR17" i="61"/>
  <c r="BL17" i="61"/>
  <c r="BF17" i="61"/>
  <c r="AZ17" i="61"/>
  <c r="AT17" i="61"/>
  <c r="CL17" i="61"/>
  <c r="CE17" i="61"/>
  <c r="BW17" i="61"/>
  <c r="BP17" i="61"/>
  <c r="BI17" i="61"/>
  <c r="BB17" i="61"/>
  <c r="AU17" i="61"/>
  <c r="AN17" i="61"/>
  <c r="AH17" i="61"/>
  <c r="AB17" i="61"/>
  <c r="V17" i="61"/>
  <c r="P17" i="61"/>
  <c r="J17" i="61"/>
  <c r="CK17" i="61"/>
  <c r="CC17" i="61"/>
  <c r="BV17" i="61"/>
  <c r="BO17" i="61"/>
  <c r="BH17" i="61"/>
  <c r="BA17" i="61"/>
  <c r="AS17" i="61"/>
  <c r="AM17" i="61"/>
  <c r="AG17" i="61"/>
  <c r="AA17" i="61"/>
  <c r="U17" i="61"/>
  <c r="O17" i="61"/>
  <c r="I17" i="61"/>
  <c r="CH17" i="61"/>
  <c r="CB17" i="61"/>
  <c r="BS17" i="61"/>
  <c r="BG17" i="61"/>
  <c r="AW17" i="61"/>
  <c r="AL17" i="61"/>
  <c r="AD17" i="61"/>
  <c r="T17" i="61"/>
  <c r="L17" i="61"/>
  <c r="CM17" i="61"/>
  <c r="BZ17" i="61"/>
  <c r="BN17" i="61"/>
  <c r="BD17" i="61"/>
  <c r="AR17" i="61"/>
  <c r="AJ17" i="61"/>
  <c r="Z17" i="61"/>
  <c r="R17" i="61"/>
  <c r="H17" i="61"/>
  <c r="CF17" i="61"/>
  <c r="BM17" i="61"/>
  <c r="AX17" i="61"/>
  <c r="AI17" i="61"/>
  <c r="W17" i="61"/>
  <c r="G17" i="61"/>
  <c r="CA17" i="61"/>
  <c r="BK17" i="61"/>
  <c r="AV17" i="61"/>
  <c r="AF17" i="61"/>
  <c r="S17" i="61"/>
  <c r="F17" i="61"/>
  <c r="CN17" i="61"/>
  <c r="BU17" i="61"/>
  <c r="BE17" i="61"/>
  <c r="AP17" i="61"/>
  <c r="AC17" i="61"/>
  <c r="N17" i="61"/>
  <c r="CI17" i="61"/>
  <c r="BT17" i="61"/>
  <c r="BC17" i="61"/>
  <c r="AO17" i="61"/>
  <c r="Y17" i="61"/>
  <c r="M17" i="61"/>
  <c r="CN26" i="61"/>
  <c r="CH26" i="61"/>
  <c r="CB26" i="61"/>
  <c r="BV26" i="61"/>
  <c r="BP26" i="61"/>
  <c r="BJ26" i="61"/>
  <c r="CJ26" i="61"/>
  <c r="CC26" i="61"/>
  <c r="BU26" i="61"/>
  <c r="BN26" i="61"/>
  <c r="BG26" i="61"/>
  <c r="BA26" i="61"/>
  <c r="AU26" i="61"/>
  <c r="AO26" i="61"/>
  <c r="AI26" i="61"/>
  <c r="AC26" i="61"/>
  <c r="W26" i="61"/>
  <c r="Q26" i="61"/>
  <c r="K26" i="61"/>
  <c r="E26" i="61"/>
  <c r="CI26" i="61"/>
  <c r="CA26" i="61"/>
  <c r="BT26" i="61"/>
  <c r="BM26" i="61"/>
  <c r="BF26" i="61"/>
  <c r="AZ26" i="61"/>
  <c r="AT26" i="61"/>
  <c r="AN26" i="61"/>
  <c r="AH26" i="61"/>
  <c r="AB26" i="61"/>
  <c r="V26" i="61"/>
  <c r="P26" i="61"/>
  <c r="J26" i="61"/>
  <c r="CG26" i="61"/>
  <c r="BZ26" i="61"/>
  <c r="BS26" i="61"/>
  <c r="BL26" i="61"/>
  <c r="BE26" i="61"/>
  <c r="AY26" i="61"/>
  <c r="AS26" i="61"/>
  <c r="AM26" i="61"/>
  <c r="AG26" i="61"/>
  <c r="AA26" i="61"/>
  <c r="U26" i="61"/>
  <c r="O26" i="61"/>
  <c r="I26" i="61"/>
  <c r="CK26" i="61"/>
  <c r="BW26" i="61"/>
  <c r="BH26" i="61"/>
  <c r="AV26" i="61"/>
  <c r="AJ26" i="61"/>
  <c r="X26" i="61"/>
  <c r="L26" i="61"/>
  <c r="CF26" i="61"/>
  <c r="BR26" i="61"/>
  <c r="BD26" i="61"/>
  <c r="AR26" i="61"/>
  <c r="AF26" i="61"/>
  <c r="T26" i="61"/>
  <c r="H26" i="61"/>
  <c r="CE26" i="61"/>
  <c r="BQ26" i="61"/>
  <c r="BC26" i="61"/>
  <c r="AQ26" i="61"/>
  <c r="AE26" i="61"/>
  <c r="S26" i="61"/>
  <c r="G26" i="61"/>
  <c r="CD26" i="61"/>
  <c r="BO26" i="61"/>
  <c r="BB26" i="61"/>
  <c r="AP26" i="61"/>
  <c r="AD26" i="61"/>
  <c r="R26" i="61"/>
  <c r="F26" i="61"/>
  <c r="CM26" i="61"/>
  <c r="AX26" i="61"/>
  <c r="N26" i="61"/>
  <c r="CL26" i="61"/>
  <c r="AW26" i="61"/>
  <c r="M26" i="61"/>
  <c r="BX26" i="61"/>
  <c r="AK26" i="61"/>
  <c r="AL26" i="61"/>
  <c r="BY26" i="61"/>
  <c r="BI26" i="61"/>
  <c r="Z26" i="61"/>
  <c r="Y26" i="61"/>
  <c r="CJ14" i="61"/>
  <c r="CD14" i="61"/>
  <c r="BX14" i="61"/>
  <c r="BR14" i="61"/>
  <c r="BL14" i="61"/>
  <c r="BF14" i="61"/>
  <c r="AZ14" i="61"/>
  <c r="AT14" i="61"/>
  <c r="AN14" i="61"/>
  <c r="AH14" i="61"/>
  <c r="AB14" i="61"/>
  <c r="V14" i="61"/>
  <c r="P14" i="61"/>
  <c r="J14" i="61"/>
  <c r="CI14" i="61"/>
  <c r="CC14" i="61"/>
  <c r="BW14" i="61"/>
  <c r="BQ14" i="61"/>
  <c r="BK14" i="61"/>
  <c r="BE14" i="61"/>
  <c r="AY14" i="61"/>
  <c r="AS14" i="61"/>
  <c r="AM14" i="61"/>
  <c r="AG14" i="61"/>
  <c r="AA14" i="61"/>
  <c r="U14" i="61"/>
  <c r="O14" i="61"/>
  <c r="I14" i="61"/>
  <c r="CH14" i="61"/>
  <c r="BZ14" i="61"/>
  <c r="BP14" i="61"/>
  <c r="BH14" i="61"/>
  <c r="AX14" i="61"/>
  <c r="AP14" i="61"/>
  <c r="AF14" i="61"/>
  <c r="X14" i="61"/>
  <c r="N14" i="61"/>
  <c r="F14" i="61"/>
  <c r="CN14" i="61"/>
  <c r="CF14" i="61"/>
  <c r="BV14" i="61"/>
  <c r="BN14" i="61"/>
  <c r="BD14" i="61"/>
  <c r="AV14" i="61"/>
  <c r="AL14" i="61"/>
  <c r="AD14" i="61"/>
  <c r="T14" i="61"/>
  <c r="L14" i="61"/>
  <c r="CE14" i="61"/>
  <c r="BS14" i="61"/>
  <c r="BC14" i="61"/>
  <c r="AQ14" i="61"/>
  <c r="AC14" i="61"/>
  <c r="Q14" i="61"/>
  <c r="CB14" i="61"/>
  <c r="BO14" i="61"/>
  <c r="BB14" i="61"/>
  <c r="AO14" i="61"/>
  <c r="Z14" i="61"/>
  <c r="M14" i="61"/>
  <c r="CL14" i="61"/>
  <c r="BY14" i="61"/>
  <c r="BJ14" i="61"/>
  <c r="AW14" i="61"/>
  <c r="AJ14" i="61"/>
  <c r="W14" i="61"/>
  <c r="H14" i="61"/>
  <c r="CK14" i="61"/>
  <c r="BU14" i="61"/>
  <c r="BI14" i="61"/>
  <c r="AU14" i="61"/>
  <c r="AI14" i="61"/>
  <c r="S14" i="61"/>
  <c r="G14" i="61"/>
  <c r="CM8" i="61"/>
  <c r="CG8" i="61"/>
  <c r="CA8" i="61"/>
  <c r="BU8" i="61"/>
  <c r="BO8" i="61"/>
  <c r="BI8" i="61"/>
  <c r="BC8" i="61"/>
  <c r="AW8" i="61"/>
  <c r="AQ8" i="61"/>
  <c r="AK8" i="61"/>
  <c r="AE8" i="61"/>
  <c r="Y8" i="61"/>
  <c r="S8" i="61"/>
  <c r="M8" i="61"/>
  <c r="G8" i="61"/>
  <c r="CI8" i="61"/>
  <c r="CB8" i="61"/>
  <c r="BT8" i="61"/>
  <c r="BM8" i="61"/>
  <c r="BF8" i="61"/>
  <c r="AY8" i="61"/>
  <c r="AR8" i="61"/>
  <c r="AJ8" i="61"/>
  <c r="AC8" i="61"/>
  <c r="V8" i="61"/>
  <c r="O8" i="61"/>
  <c r="H8" i="61"/>
  <c r="CH8" i="61"/>
  <c r="BZ8" i="61"/>
  <c r="BS8" i="61"/>
  <c r="BL8" i="61"/>
  <c r="BE8" i="61"/>
  <c r="AX8" i="61"/>
  <c r="AP8" i="61"/>
  <c r="AI8" i="61"/>
  <c r="AB8" i="61"/>
  <c r="U8" i="61"/>
  <c r="N8" i="61"/>
  <c r="F8" i="61"/>
  <c r="CL8" i="61"/>
  <c r="CE8" i="61"/>
  <c r="BX8" i="61"/>
  <c r="BQ8" i="61"/>
  <c r="BJ8" i="61"/>
  <c r="BB8" i="61"/>
  <c r="AU8" i="61"/>
  <c r="AN8" i="61"/>
  <c r="AG8" i="61"/>
  <c r="Z8" i="61"/>
  <c r="R8" i="61"/>
  <c r="K8" i="61"/>
  <c r="CK8" i="61"/>
  <c r="G5" i="61"/>
  <c r="P5" i="61"/>
  <c r="Y5" i="61"/>
  <c r="AH5" i="61"/>
  <c r="AQ5" i="61"/>
  <c r="AZ5" i="61"/>
  <c r="BI5" i="61"/>
  <c r="BU5" i="61"/>
  <c r="AS21" i="61"/>
  <c r="CJ11" i="61"/>
  <c r="CD11" i="61"/>
  <c r="BX11" i="61"/>
  <c r="BR11" i="61"/>
  <c r="BL11" i="61"/>
  <c r="BF11" i="61"/>
  <c r="AZ11" i="61"/>
  <c r="AT11" i="61"/>
  <c r="AN11" i="61"/>
  <c r="AH11" i="61"/>
  <c r="AB11" i="61"/>
  <c r="V11" i="61"/>
  <c r="P11" i="61"/>
  <c r="J11" i="61"/>
  <c r="CI11" i="61"/>
  <c r="CB11" i="61"/>
  <c r="BU11" i="61"/>
  <c r="BN11" i="61"/>
  <c r="BG11" i="61"/>
  <c r="AY11" i="61"/>
  <c r="AR11" i="61"/>
  <c r="AK11" i="61"/>
  <c r="AD11" i="61"/>
  <c r="W11" i="61"/>
  <c r="O11" i="61"/>
  <c r="H11" i="61"/>
  <c r="CN11" i="61"/>
  <c r="CG11" i="61"/>
  <c r="BZ11" i="61"/>
  <c r="BS11" i="61"/>
  <c r="CK11" i="61"/>
  <c r="BY11" i="61"/>
  <c r="BO11" i="61"/>
  <c r="BE11" i="61"/>
  <c r="AW11" i="61"/>
  <c r="AO11" i="61"/>
  <c r="AF11" i="61"/>
  <c r="X11" i="61"/>
  <c r="N11" i="61"/>
  <c r="F11" i="61"/>
  <c r="CH11" i="61"/>
  <c r="BW11" i="61"/>
  <c r="BM11" i="61"/>
  <c r="BD11" i="61"/>
  <c r="AV11" i="61"/>
  <c r="AM11" i="61"/>
  <c r="AE11" i="61"/>
  <c r="U11" i="61"/>
  <c r="M11" i="61"/>
  <c r="E11" i="61"/>
  <c r="CE11" i="61"/>
  <c r="BT11" i="61"/>
  <c r="BJ11" i="61"/>
  <c r="BB11" i="61"/>
  <c r="AS11" i="61"/>
  <c r="AJ11" i="61"/>
  <c r="AA11" i="61"/>
  <c r="S11" i="61"/>
  <c r="K11" i="61"/>
  <c r="CM11" i="61"/>
  <c r="CC11" i="61"/>
  <c r="BQ11" i="61"/>
  <c r="BI11" i="61"/>
  <c r="BA11" i="61"/>
  <c r="AQ11" i="61"/>
  <c r="AI11" i="61"/>
  <c r="Z11" i="61"/>
  <c r="R11" i="61"/>
  <c r="I11" i="61"/>
  <c r="CI5" i="61"/>
  <c r="CC5" i="61"/>
  <c r="BW5" i="61"/>
  <c r="BQ5" i="61"/>
  <c r="BK5" i="61"/>
  <c r="CN5" i="61"/>
  <c r="CH5" i="61"/>
  <c r="CB5" i="61"/>
  <c r="BV5" i="61"/>
  <c r="BP5" i="61"/>
  <c r="BJ5" i="61"/>
  <c r="BD5" i="61"/>
  <c r="AX5" i="61"/>
  <c r="AR5" i="61"/>
  <c r="AL5" i="61"/>
  <c r="AF5" i="61"/>
  <c r="Z5" i="61"/>
  <c r="T5" i="61"/>
  <c r="N5" i="61"/>
  <c r="H5" i="61"/>
  <c r="CL5" i="61"/>
  <c r="CF5" i="61"/>
  <c r="BZ5" i="61"/>
  <c r="BT5" i="61"/>
  <c r="BN5" i="61"/>
  <c r="BH5" i="61"/>
  <c r="BB5" i="61"/>
  <c r="AV5" i="61"/>
  <c r="AP5" i="61"/>
  <c r="AJ5" i="61"/>
  <c r="AD5" i="61"/>
  <c r="X5" i="61"/>
  <c r="R5" i="61"/>
  <c r="L5" i="61"/>
  <c r="F5" i="61"/>
  <c r="CI32" i="61"/>
  <c r="CC32" i="61"/>
  <c r="BW32" i="61"/>
  <c r="BQ32" i="61"/>
  <c r="BK32" i="61"/>
  <c r="BE32" i="61"/>
  <c r="AY32" i="61"/>
  <c r="AS32" i="61"/>
  <c r="AM32" i="61"/>
  <c r="AG32" i="61"/>
  <c r="AA32" i="61"/>
  <c r="U32" i="61"/>
  <c r="O32" i="61"/>
  <c r="I32" i="61"/>
  <c r="CK32" i="61"/>
  <c r="CD32" i="61"/>
  <c r="BV32" i="61"/>
  <c r="BO32" i="61"/>
  <c r="BH32" i="61"/>
  <c r="BA32" i="61"/>
  <c r="AT32" i="61"/>
  <c r="AL32" i="61"/>
  <c r="AE32" i="61"/>
  <c r="X32" i="61"/>
  <c r="Q32" i="61"/>
  <c r="J32" i="61"/>
  <c r="CJ32" i="61"/>
  <c r="CB32" i="61"/>
  <c r="BU32" i="61"/>
  <c r="BN32" i="61"/>
  <c r="BG32" i="61"/>
  <c r="AZ32" i="61"/>
  <c r="AR32" i="61"/>
  <c r="AK32" i="61"/>
  <c r="AD32" i="61"/>
  <c r="W32" i="61"/>
  <c r="P32" i="61"/>
  <c r="H32" i="61"/>
  <c r="CN32" i="61"/>
  <c r="CG32" i="61"/>
  <c r="BZ32" i="61"/>
  <c r="BS32" i="61"/>
  <c r="BL32" i="61"/>
  <c r="BD32" i="61"/>
  <c r="AW32" i="61"/>
  <c r="AP32" i="61"/>
  <c r="AI32" i="61"/>
  <c r="AB32" i="61"/>
  <c r="T32" i="61"/>
  <c r="M32" i="61"/>
  <c r="F32" i="61"/>
  <c r="CL32" i="61"/>
  <c r="BX32" i="61"/>
  <c r="BI32" i="61"/>
  <c r="AU32" i="61"/>
  <c r="AF32" i="61"/>
  <c r="R32" i="61"/>
  <c r="CH32" i="61"/>
  <c r="BT32" i="61"/>
  <c r="BF32" i="61"/>
  <c r="AQ32" i="61"/>
  <c r="AC32" i="61"/>
  <c r="N32" i="61"/>
  <c r="CF32" i="61"/>
  <c r="BR32" i="61"/>
  <c r="BC32" i="61"/>
  <c r="AO32" i="61"/>
  <c r="Z32" i="61"/>
  <c r="L32" i="61"/>
  <c r="CE32" i="61"/>
  <c r="BP32" i="61"/>
  <c r="BB32" i="61"/>
  <c r="AN32" i="61"/>
  <c r="Y32" i="61"/>
  <c r="K32" i="61"/>
  <c r="BM32" i="61"/>
  <c r="V32" i="61"/>
  <c r="BJ32" i="61"/>
  <c r="S32" i="61"/>
  <c r="AX32" i="61"/>
  <c r="G32" i="61"/>
  <c r="CM32" i="61"/>
  <c r="AV32" i="61"/>
  <c r="E32" i="61"/>
  <c r="CA32" i="61"/>
  <c r="AJ32" i="61"/>
  <c r="AH32" i="61"/>
  <c r="BY32" i="61"/>
  <c r="CK20" i="61"/>
  <c r="CE20" i="61"/>
  <c r="BY20" i="61"/>
  <c r="BS20" i="61"/>
  <c r="BM20" i="61"/>
  <c r="BG20" i="61"/>
  <c r="BA20" i="61"/>
  <c r="AU20" i="61"/>
  <c r="AO20" i="61"/>
  <c r="AI20" i="61"/>
  <c r="AC20" i="61"/>
  <c r="W20" i="61"/>
  <c r="Q20" i="61"/>
  <c r="K20" i="61"/>
  <c r="E20" i="61"/>
  <c r="CI20" i="61"/>
  <c r="CC20" i="61"/>
  <c r="BW20" i="61"/>
  <c r="BQ20" i="61"/>
  <c r="BK20" i="61"/>
  <c r="BE20" i="61"/>
  <c r="AY20" i="61"/>
  <c r="AS20" i="61"/>
  <c r="AM20" i="61"/>
  <c r="AG20" i="61"/>
  <c r="AA20" i="61"/>
  <c r="U20" i="61"/>
  <c r="O20" i="61"/>
  <c r="I20" i="61"/>
  <c r="CH20" i="61"/>
  <c r="BZ20" i="61"/>
  <c r="BP20" i="61"/>
  <c r="BH20" i="61"/>
  <c r="AX20" i="61"/>
  <c r="AP20" i="61"/>
  <c r="AF20" i="61"/>
  <c r="X20" i="61"/>
  <c r="N20" i="61"/>
  <c r="F20" i="61"/>
  <c r="CG20" i="61"/>
  <c r="BX20" i="61"/>
  <c r="BO20" i="61"/>
  <c r="BF20" i="61"/>
  <c r="AW20" i="61"/>
  <c r="AN20" i="61"/>
  <c r="AE20" i="61"/>
  <c r="V20" i="61"/>
  <c r="M20" i="61"/>
  <c r="CN20" i="61"/>
  <c r="CF20" i="61"/>
  <c r="BV20" i="61"/>
  <c r="BN20" i="61"/>
  <c r="BD20" i="61"/>
  <c r="AV20" i="61"/>
  <c r="AL20" i="61"/>
  <c r="AD20" i="61"/>
  <c r="T20" i="61"/>
  <c r="L20" i="61"/>
  <c r="CL20" i="61"/>
  <c r="BT20" i="61"/>
  <c r="BB20" i="61"/>
  <c r="AJ20" i="61"/>
  <c r="R20" i="61"/>
  <c r="CJ20" i="61"/>
  <c r="BR20" i="61"/>
  <c r="AZ20" i="61"/>
  <c r="AH20" i="61"/>
  <c r="P20" i="61"/>
  <c r="CB20" i="61"/>
  <c r="BJ20" i="61"/>
  <c r="AR20" i="61"/>
  <c r="Z20" i="61"/>
  <c r="H20" i="61"/>
  <c r="CD20" i="61"/>
  <c r="AT20" i="61"/>
  <c r="J20" i="61"/>
  <c r="BU20" i="61"/>
  <c r="AK20" i="61"/>
  <c r="BL20" i="61"/>
  <c r="S20" i="61"/>
  <c r="BI20" i="61"/>
  <c r="G20" i="61"/>
  <c r="AQ20" i="61"/>
  <c r="CM20" i="61"/>
  <c r="AB20" i="61"/>
  <c r="E8" i="61"/>
  <c r="T8" i="61"/>
  <c r="AH8" i="61"/>
  <c r="AV8" i="61"/>
  <c r="BK8" i="61"/>
  <c r="BY8" i="61"/>
  <c r="R10" i="61"/>
  <c r="AQ10" i="61"/>
  <c r="BR10" i="61"/>
  <c r="G11" i="61"/>
  <c r="AG11" i="61"/>
  <c r="BH11" i="61"/>
  <c r="CL11" i="61"/>
  <c r="AR14" i="61"/>
  <c r="AL15" i="61"/>
  <c r="AD16" i="61"/>
  <c r="BS16" i="61"/>
  <c r="X17" i="61"/>
  <c r="J4" i="61"/>
  <c r="P4" i="61"/>
  <c r="V4" i="61"/>
  <c r="AB4" i="61"/>
  <c r="AH4" i="61"/>
  <c r="AN4" i="61"/>
  <c r="AT4" i="61"/>
  <c r="AZ4" i="61"/>
  <c r="BF4" i="61"/>
  <c r="BL4" i="61"/>
  <c r="BR4" i="61"/>
  <c r="BX4" i="61"/>
  <c r="CD4" i="61"/>
  <c r="CJ4" i="61"/>
  <c r="E4" i="61"/>
  <c r="L4" i="61"/>
  <c r="R4" i="61"/>
  <c r="X4" i="61"/>
  <c r="AD4" i="61"/>
  <c r="AJ4" i="61"/>
  <c r="AP4" i="61"/>
  <c r="AV4" i="61"/>
  <c r="BB4" i="61"/>
  <c r="BH4" i="61"/>
  <c r="BN4" i="61"/>
  <c r="BT4" i="61"/>
  <c r="BZ4" i="61"/>
  <c r="CF4" i="61"/>
  <c r="CL4" i="61"/>
  <c r="CM31" i="61"/>
  <c r="CG31" i="61"/>
  <c r="CA31" i="61"/>
  <c r="BU31" i="61"/>
  <c r="BO31" i="61"/>
  <c r="BI31" i="61"/>
  <c r="BC31" i="61"/>
  <c r="AW31" i="61"/>
  <c r="AQ31" i="61"/>
  <c r="AK31" i="61"/>
  <c r="AE31" i="61"/>
  <c r="Y31" i="61"/>
  <c r="CL31" i="61"/>
  <c r="CE31" i="61"/>
  <c r="BX31" i="61"/>
  <c r="BQ31" i="61"/>
  <c r="BJ31" i="61"/>
  <c r="BB31" i="61"/>
  <c r="AU31" i="61"/>
  <c r="AN31" i="61"/>
  <c r="AG31" i="61"/>
  <c r="Z31" i="61"/>
  <c r="S31" i="61"/>
  <c r="M31" i="61"/>
  <c r="G31" i="61"/>
  <c r="CK31" i="61"/>
  <c r="CD31" i="61"/>
  <c r="BW31" i="61"/>
  <c r="BP31" i="61"/>
  <c r="BH31" i="61"/>
  <c r="BA31" i="61"/>
  <c r="AT31" i="61"/>
  <c r="AM31" i="61"/>
  <c r="AF31" i="61"/>
  <c r="X31" i="61"/>
  <c r="R31" i="61"/>
  <c r="L31" i="61"/>
  <c r="F31" i="61"/>
  <c r="CI31" i="61"/>
  <c r="CB31" i="61"/>
  <c r="BT31" i="61"/>
  <c r="BM31" i="61"/>
  <c r="BF31" i="61"/>
  <c r="AY31" i="61"/>
  <c r="AR31" i="61"/>
  <c r="AJ31" i="61"/>
  <c r="AC31" i="61"/>
  <c r="V31" i="61"/>
  <c r="P31" i="61"/>
  <c r="J31" i="61"/>
  <c r="CN31" i="61"/>
  <c r="BY31" i="61"/>
  <c r="BK31" i="61"/>
  <c r="AV31" i="61"/>
  <c r="AH31" i="61"/>
  <c r="T31" i="61"/>
  <c r="H31" i="61"/>
  <c r="CJ31" i="61"/>
  <c r="BV31" i="61"/>
  <c r="BG31" i="61"/>
  <c r="AS31" i="61"/>
  <c r="AD31" i="61"/>
  <c r="Q31" i="61"/>
  <c r="E31" i="61"/>
  <c r="CH31" i="61"/>
  <c r="BS31" i="61"/>
  <c r="BE31" i="61"/>
  <c r="AP31" i="61"/>
  <c r="AB31" i="61"/>
  <c r="O31" i="61"/>
  <c r="CF31" i="61"/>
  <c r="BR31" i="61"/>
  <c r="BD31" i="61"/>
  <c r="AO31" i="61"/>
  <c r="AA31" i="61"/>
  <c r="N31" i="61"/>
  <c r="BN31" i="61"/>
  <c r="W31" i="61"/>
  <c r="BL31" i="61"/>
  <c r="U31" i="61"/>
  <c r="AZ31" i="61"/>
  <c r="K31" i="61"/>
  <c r="AX31" i="61"/>
  <c r="I31" i="61"/>
  <c r="CC31" i="61"/>
  <c r="AL31" i="61"/>
  <c r="BZ31" i="61"/>
  <c r="AI31" i="61"/>
  <c r="CI19" i="61"/>
  <c r="CC19" i="61"/>
  <c r="BW19" i="61"/>
  <c r="CM19" i="61"/>
  <c r="CG19" i="61"/>
  <c r="CA19" i="61"/>
  <c r="BU19" i="61"/>
  <c r="BO19" i="61"/>
  <c r="BI19" i="61"/>
  <c r="BC19" i="61"/>
  <c r="AW19" i="61"/>
  <c r="AQ19" i="61"/>
  <c r="AK19" i="61"/>
  <c r="AE19" i="61"/>
  <c r="Y19" i="61"/>
  <c r="S19" i="61"/>
  <c r="M19" i="61"/>
  <c r="G19" i="61"/>
  <c r="CF19" i="61"/>
  <c r="BX19" i="61"/>
  <c r="BP19" i="61"/>
  <c r="BH19" i="61"/>
  <c r="BA19" i="61"/>
  <c r="AT19" i="61"/>
  <c r="AM19" i="61"/>
  <c r="AF19" i="61"/>
  <c r="X19" i="61"/>
  <c r="Q19" i="61"/>
  <c r="J19" i="61"/>
  <c r="CN19" i="61"/>
  <c r="CE19" i="61"/>
  <c r="BV19" i="61"/>
  <c r="BN19" i="61"/>
  <c r="BG19" i="61"/>
  <c r="AZ19" i="61"/>
  <c r="AS19" i="61"/>
  <c r="AL19" i="61"/>
  <c r="AD19" i="61"/>
  <c r="W19" i="61"/>
  <c r="P19" i="61"/>
  <c r="I19" i="61"/>
  <c r="CL19" i="61"/>
  <c r="CD19" i="61"/>
  <c r="BT19" i="61"/>
  <c r="BM19" i="61"/>
  <c r="BF19" i="61"/>
  <c r="AY19" i="61"/>
  <c r="AR19" i="61"/>
  <c r="AJ19" i="61"/>
  <c r="AC19" i="61"/>
  <c r="V19" i="61"/>
  <c r="O19" i="61"/>
  <c r="H19" i="61"/>
  <c r="CJ19" i="61"/>
  <c r="BR19" i="61"/>
  <c r="BD19" i="61"/>
  <c r="AO19" i="61"/>
  <c r="AA19" i="61"/>
  <c r="L19" i="61"/>
  <c r="CH19" i="61"/>
  <c r="BQ19" i="61"/>
  <c r="BB19" i="61"/>
  <c r="AN19" i="61"/>
  <c r="Z19" i="61"/>
  <c r="K19" i="61"/>
  <c r="BZ19" i="61"/>
  <c r="BK19" i="61"/>
  <c r="AV19" i="61"/>
  <c r="AH19" i="61"/>
  <c r="T19" i="61"/>
  <c r="E19" i="61"/>
  <c r="BL19" i="61"/>
  <c r="AI19" i="61"/>
  <c r="F19" i="61"/>
  <c r="CK19" i="61"/>
  <c r="BE19" i="61"/>
  <c r="AB19" i="61"/>
  <c r="AX19" i="61"/>
  <c r="N19" i="61"/>
  <c r="AU19" i="61"/>
  <c r="BY19" i="61"/>
  <c r="AG19" i="61"/>
  <c r="BS19" i="61"/>
  <c r="U19" i="61"/>
  <c r="CN13" i="61"/>
  <c r="CH13" i="61"/>
  <c r="CB13" i="61"/>
  <c r="BV13" i="61"/>
  <c r="BP13" i="61"/>
  <c r="BJ13" i="61"/>
  <c r="BD13" i="61"/>
  <c r="AX13" i="61"/>
  <c r="AR13" i="61"/>
  <c r="AL13" i="61"/>
  <c r="AF13" i="61"/>
  <c r="Z13" i="61"/>
  <c r="T13" i="61"/>
  <c r="N13" i="61"/>
  <c r="H13" i="61"/>
  <c r="CM13" i="61"/>
  <c r="CG13" i="61"/>
  <c r="CA13" i="61"/>
  <c r="BU13" i="61"/>
  <c r="BO13" i="61"/>
  <c r="BI13" i="61"/>
  <c r="BC13" i="61"/>
  <c r="AW13" i="61"/>
  <c r="AQ13" i="61"/>
  <c r="AK13" i="61"/>
  <c r="AE13" i="61"/>
  <c r="Y13" i="61"/>
  <c r="S13" i="61"/>
  <c r="M13" i="61"/>
  <c r="CF13" i="61"/>
  <c r="BX13" i="61"/>
  <c r="BN13" i="61"/>
  <c r="BF13" i="61"/>
  <c r="AV13" i="61"/>
  <c r="AN13" i="61"/>
  <c r="AD13" i="61"/>
  <c r="V13" i="61"/>
  <c r="L13" i="61"/>
  <c r="E13" i="61"/>
  <c r="CL13" i="61"/>
  <c r="CD13" i="61"/>
  <c r="BT13" i="61"/>
  <c r="BL13" i="61"/>
  <c r="BB13" i="61"/>
  <c r="AT13" i="61"/>
  <c r="AJ13" i="61"/>
  <c r="AB13" i="61"/>
  <c r="R13" i="61"/>
  <c r="J13" i="61"/>
  <c r="CK13" i="61"/>
  <c r="BY13" i="61"/>
  <c r="BK13" i="61"/>
  <c r="AY13" i="61"/>
  <c r="AI13" i="61"/>
  <c r="W13" i="61"/>
  <c r="I13" i="61"/>
  <c r="CJ13" i="61"/>
  <c r="BW13" i="61"/>
  <c r="BH13" i="61"/>
  <c r="AU13" i="61"/>
  <c r="AH13" i="61"/>
  <c r="U13" i="61"/>
  <c r="G13" i="61"/>
  <c r="CE13" i="61"/>
  <c r="BR13" i="61"/>
  <c r="BE13" i="61"/>
  <c r="AP13" i="61"/>
  <c r="AC13" i="61"/>
  <c r="P13" i="61"/>
  <c r="CC13" i="61"/>
  <c r="BQ13" i="61"/>
  <c r="BA13" i="61"/>
  <c r="AO13" i="61"/>
  <c r="AA13" i="61"/>
  <c r="O13" i="61"/>
  <c r="CK7" i="61"/>
  <c r="CE7" i="61"/>
  <c r="BY7" i="61"/>
  <c r="BS7" i="61"/>
  <c r="BM7" i="61"/>
  <c r="BG7" i="61"/>
  <c r="BA7" i="61"/>
  <c r="AU7" i="61"/>
  <c r="AO7" i="61"/>
  <c r="AI7" i="61"/>
  <c r="AC7" i="61"/>
  <c r="W7" i="61"/>
  <c r="Q7" i="61"/>
  <c r="K7" i="61"/>
  <c r="E7" i="61"/>
  <c r="CJ7" i="61"/>
  <c r="CC7" i="61"/>
  <c r="BV7" i="61"/>
  <c r="BO7" i="61"/>
  <c r="BH7" i="61"/>
  <c r="AZ7" i="61"/>
  <c r="AS7" i="61"/>
  <c r="AL7" i="61"/>
  <c r="AE7" i="61"/>
  <c r="X7" i="61"/>
  <c r="P7" i="61"/>
  <c r="I7" i="61"/>
  <c r="CI7" i="61"/>
  <c r="CB7" i="61"/>
  <c r="BU7" i="61"/>
  <c r="BN7" i="61"/>
  <c r="BF7" i="61"/>
  <c r="AY7" i="61"/>
  <c r="AR7" i="61"/>
  <c r="AK7" i="61"/>
  <c r="AD7" i="61"/>
  <c r="V7" i="61"/>
  <c r="O7" i="61"/>
  <c r="H7" i="61"/>
  <c r="CN7" i="61"/>
  <c r="CG7" i="61"/>
  <c r="BZ7" i="61"/>
  <c r="BR7" i="61"/>
  <c r="BK7" i="61"/>
  <c r="BD7" i="61"/>
  <c r="AW7" i="61"/>
  <c r="AP7" i="61"/>
  <c r="AH7" i="61"/>
  <c r="AA7" i="61"/>
  <c r="T7" i="61"/>
  <c r="M7" i="61"/>
  <c r="F7" i="61"/>
  <c r="F4" i="61"/>
  <c r="CG4" i="61"/>
  <c r="BW4" i="61"/>
  <c r="BO4" i="61"/>
  <c r="BE4" i="61"/>
  <c r="AW4" i="61"/>
  <c r="AM4" i="61"/>
  <c r="AE4" i="61"/>
  <c r="U4" i="61"/>
  <c r="M4" i="61"/>
  <c r="I5" i="61"/>
  <c r="Q5" i="61"/>
  <c r="AA5" i="61"/>
  <c r="AI5" i="61"/>
  <c r="AS5" i="61"/>
  <c r="BA5" i="61"/>
  <c r="BL5" i="61"/>
  <c r="BX5" i="61"/>
  <c r="CJ5" i="61"/>
  <c r="L6" i="61"/>
  <c r="X6" i="61"/>
  <c r="AJ6" i="61"/>
  <c r="AV6" i="61"/>
  <c r="BH6" i="61"/>
  <c r="BT6" i="61"/>
  <c r="J7" i="61"/>
  <c r="Y7" i="61"/>
  <c r="AM7" i="61"/>
  <c r="BB7" i="61"/>
  <c r="BP7" i="61"/>
  <c r="CD7" i="61"/>
  <c r="I8" i="61"/>
  <c r="W8" i="61"/>
  <c r="AL8" i="61"/>
  <c r="AZ8" i="61"/>
  <c r="BN8" i="61"/>
  <c r="CC8" i="61"/>
  <c r="K9" i="61"/>
  <c r="AF9" i="61"/>
  <c r="BF9" i="61"/>
  <c r="CG9" i="61"/>
  <c r="V10" i="61"/>
  <c r="AV10" i="61"/>
  <c r="BU10" i="61"/>
  <c r="L11" i="61"/>
  <c r="AL11" i="61"/>
  <c r="BK11" i="61"/>
  <c r="H12" i="61"/>
  <c r="AM12" i="61"/>
  <c r="Q13" i="61"/>
  <c r="BG13" i="61"/>
  <c r="K14" i="61"/>
  <c r="BA14" i="61"/>
  <c r="CM14" i="61"/>
  <c r="AS15" i="61"/>
  <c r="CG15" i="61"/>
  <c r="AM16" i="61"/>
  <c r="BY16" i="61"/>
  <c r="AE17" i="61"/>
  <c r="BY17" i="61"/>
  <c r="CB19" i="61"/>
  <c r="E14" i="61"/>
  <c r="CG14" i="61"/>
  <c r="CA15" i="61"/>
  <c r="BQ17" i="61"/>
  <c r="CI25" i="61"/>
  <c r="CC25" i="61"/>
  <c r="BW25" i="61"/>
  <c r="BQ25" i="61"/>
  <c r="BK25" i="61"/>
  <c r="BE25" i="61"/>
  <c r="AY25" i="61"/>
  <c r="AS25" i="61"/>
  <c r="AM25" i="61"/>
  <c r="AG25" i="61"/>
  <c r="AA25" i="61"/>
  <c r="U25" i="61"/>
  <c r="O25" i="61"/>
  <c r="I25" i="61"/>
  <c r="CN25" i="61"/>
  <c r="CH25" i="61"/>
  <c r="CB25" i="61"/>
  <c r="BV25" i="61"/>
  <c r="BP25" i="61"/>
  <c r="BJ25" i="61"/>
  <c r="BD25" i="61"/>
  <c r="AX25" i="61"/>
  <c r="AR25" i="61"/>
  <c r="AL25" i="61"/>
  <c r="AF25" i="61"/>
  <c r="Z25" i="61"/>
  <c r="T25" i="61"/>
  <c r="N25" i="61"/>
  <c r="H25" i="61"/>
  <c r="CM25" i="61"/>
  <c r="CG25" i="61"/>
  <c r="CA25" i="61"/>
  <c r="BU25" i="61"/>
  <c r="BO25" i="61"/>
  <c r="BI25" i="61"/>
  <c r="BC25" i="61"/>
  <c r="AW25" i="61"/>
  <c r="AQ25" i="61"/>
  <c r="AK25" i="61"/>
  <c r="AE25" i="61"/>
  <c r="Y25" i="61"/>
  <c r="S25" i="61"/>
  <c r="M25" i="61"/>
  <c r="G25" i="61"/>
  <c r="CJ25" i="61"/>
  <c r="BX25" i="61"/>
  <c r="BL25" i="61"/>
  <c r="AZ25" i="61"/>
  <c r="AN25" i="61"/>
  <c r="AB25" i="61"/>
  <c r="P25" i="61"/>
  <c r="CF25" i="61"/>
  <c r="BT25" i="61"/>
  <c r="BH25" i="61"/>
  <c r="AV25" i="61"/>
  <c r="AJ25" i="61"/>
  <c r="X25" i="61"/>
  <c r="L25" i="61"/>
  <c r="CE25" i="61"/>
  <c r="BS25" i="61"/>
  <c r="BG25" i="61"/>
  <c r="AU25" i="61"/>
  <c r="AI25" i="61"/>
  <c r="W25" i="61"/>
  <c r="K25" i="61"/>
  <c r="CD25" i="61"/>
  <c r="BR25" i="61"/>
  <c r="BF25" i="61"/>
  <c r="AT25" i="61"/>
  <c r="AH25" i="61"/>
  <c r="V25" i="61"/>
  <c r="J25" i="61"/>
  <c r="BN25" i="61"/>
  <c r="AD25" i="61"/>
  <c r="BM25" i="61"/>
  <c r="AC25" i="61"/>
  <c r="CK25" i="61"/>
  <c r="BA25" i="61"/>
  <c r="Q25" i="61"/>
  <c r="BB25" i="61"/>
  <c r="CL25" i="61"/>
  <c r="R25" i="61"/>
  <c r="BY25" i="61"/>
  <c r="E25" i="61"/>
  <c r="AP25" i="61"/>
  <c r="AO25" i="61"/>
  <c r="CK30" i="61"/>
  <c r="CE30" i="61"/>
  <c r="BY30" i="61"/>
  <c r="BS30" i="61"/>
  <c r="BM30" i="61"/>
  <c r="CJ30" i="61"/>
  <c r="CD30" i="61"/>
  <c r="BX30" i="61"/>
  <c r="BR30" i="61"/>
  <c r="BL30" i="61"/>
  <c r="BF30" i="61"/>
  <c r="AZ30" i="61"/>
  <c r="AT30" i="61"/>
  <c r="AN30" i="61"/>
  <c r="AH30" i="61"/>
  <c r="AB30" i="61"/>
  <c r="CN30" i="61"/>
  <c r="CH30" i="61"/>
  <c r="CB30" i="61"/>
  <c r="BV30" i="61"/>
  <c r="BP30" i="61"/>
  <c r="BJ30" i="61"/>
  <c r="BD30" i="61"/>
  <c r="AX30" i="61"/>
  <c r="AR30" i="61"/>
  <c r="AL30" i="61"/>
  <c r="AF30" i="61"/>
  <c r="Z30" i="61"/>
  <c r="T30" i="61"/>
  <c r="N30" i="61"/>
  <c r="H30" i="61"/>
  <c r="CF30" i="61"/>
  <c r="BT30" i="61"/>
  <c r="BH30" i="61"/>
  <c r="AY30" i="61"/>
  <c r="AP30" i="61"/>
  <c r="AG30" i="61"/>
  <c r="X30" i="61"/>
  <c r="Q30" i="61"/>
  <c r="J30" i="61"/>
  <c r="CC30" i="61"/>
  <c r="BQ30" i="61"/>
  <c r="BG30" i="61"/>
  <c r="AW30" i="61"/>
  <c r="AO30" i="61"/>
  <c r="AE30" i="61"/>
  <c r="W30" i="61"/>
  <c r="P30" i="61"/>
  <c r="CM30" i="61"/>
  <c r="CA30" i="61"/>
  <c r="BO30" i="61"/>
  <c r="BE30" i="61"/>
  <c r="AV30" i="61"/>
  <c r="AM30" i="61"/>
  <c r="AD30" i="61"/>
  <c r="V30" i="61"/>
  <c r="O30" i="61"/>
  <c r="CL30" i="61"/>
  <c r="BZ30" i="61"/>
  <c r="BN30" i="61"/>
  <c r="BC30" i="61"/>
  <c r="AU30" i="61"/>
  <c r="AK30" i="61"/>
  <c r="AC30" i="61"/>
  <c r="U30" i="61"/>
  <c r="M30" i="61"/>
  <c r="F30" i="61"/>
  <c r="BW30" i="61"/>
  <c r="AS30" i="61"/>
  <c r="S30" i="61"/>
  <c r="E30" i="61"/>
  <c r="BU30" i="61"/>
  <c r="AQ30" i="61"/>
  <c r="R30" i="61"/>
  <c r="BK30" i="61"/>
  <c r="AJ30" i="61"/>
  <c r="L30" i="61"/>
  <c r="BI30" i="61"/>
  <c r="AI30" i="61"/>
  <c r="K30" i="61"/>
  <c r="CI30" i="61"/>
  <c r="BB30" i="61"/>
  <c r="AA30" i="61"/>
  <c r="I30" i="61"/>
  <c r="G30" i="61"/>
  <c r="CG30" i="61"/>
  <c r="Y30" i="61"/>
  <c r="BA30" i="61"/>
  <c r="CM24" i="61"/>
  <c r="CG24" i="61"/>
  <c r="CA24" i="61"/>
  <c r="BU24" i="61"/>
  <c r="BO24" i="61"/>
  <c r="BI24" i="61"/>
  <c r="BC24" i="61"/>
  <c r="AW24" i="61"/>
  <c r="AQ24" i="61"/>
  <c r="AK24" i="61"/>
  <c r="AE24" i="61"/>
  <c r="Y24" i="61"/>
  <c r="S24" i="61"/>
  <c r="M24" i="61"/>
  <c r="G24" i="61"/>
  <c r="CL24" i="61"/>
  <c r="CF24" i="61"/>
  <c r="BZ24" i="61"/>
  <c r="CK24" i="61"/>
  <c r="CE24" i="61"/>
  <c r="BY24" i="61"/>
  <c r="BS24" i="61"/>
  <c r="BM24" i="61"/>
  <c r="BG24" i="61"/>
  <c r="BA24" i="61"/>
  <c r="AU24" i="61"/>
  <c r="AO24" i="61"/>
  <c r="AI24" i="61"/>
  <c r="AC24" i="61"/>
  <c r="W24" i="61"/>
  <c r="Q24" i="61"/>
  <c r="K24" i="61"/>
  <c r="E24" i="61"/>
  <c r="CN24" i="61"/>
  <c r="CB24" i="61"/>
  <c r="BQ24" i="61"/>
  <c r="BH24" i="61"/>
  <c r="AY24" i="61"/>
  <c r="AP24" i="61"/>
  <c r="AG24" i="61"/>
  <c r="X24" i="61"/>
  <c r="O24" i="61"/>
  <c r="F24" i="61"/>
  <c r="CJ24" i="61"/>
  <c r="BX24" i="61"/>
  <c r="BP24" i="61"/>
  <c r="BF24" i="61"/>
  <c r="AX24" i="61"/>
  <c r="AN24" i="61"/>
  <c r="AF24" i="61"/>
  <c r="V24" i="61"/>
  <c r="N24" i="61"/>
  <c r="CI24" i="61"/>
  <c r="BW24" i="61"/>
  <c r="BN24" i="61"/>
  <c r="BE24" i="61"/>
  <c r="AV24" i="61"/>
  <c r="AM24" i="61"/>
  <c r="AD24" i="61"/>
  <c r="U24" i="61"/>
  <c r="L24" i="61"/>
  <c r="CH24" i="61"/>
  <c r="BV24" i="61"/>
  <c r="BL24" i="61"/>
  <c r="BD24" i="61"/>
  <c r="AT24" i="61"/>
  <c r="AL24" i="61"/>
  <c r="AB24" i="61"/>
  <c r="T24" i="61"/>
  <c r="J24" i="61"/>
  <c r="CD24" i="61"/>
  <c r="BB24" i="61"/>
  <c r="AA24" i="61"/>
  <c r="CC24" i="61"/>
  <c r="AZ24" i="61"/>
  <c r="Z24" i="61"/>
  <c r="BR24" i="61"/>
  <c r="AR24" i="61"/>
  <c r="P24" i="61"/>
  <c r="BT24" i="61"/>
  <c r="R24" i="61"/>
  <c r="AS24" i="61"/>
  <c r="AH24" i="61"/>
  <c r="BK24" i="61"/>
  <c r="BJ24" i="61"/>
  <c r="I24" i="61"/>
  <c r="H24" i="61"/>
  <c r="CK18" i="61"/>
  <c r="CE18" i="61"/>
  <c r="BY18" i="61"/>
  <c r="BS18" i="61"/>
  <c r="BM18" i="61"/>
  <c r="BG18" i="61"/>
  <c r="BA18" i="61"/>
  <c r="AU18" i="61"/>
  <c r="AO18" i="61"/>
  <c r="AI18" i="61"/>
  <c r="AC18" i="61"/>
  <c r="W18" i="61"/>
  <c r="Q18" i="61"/>
  <c r="CM18" i="61"/>
  <c r="CF18" i="61"/>
  <c r="BX18" i="61"/>
  <c r="BQ18" i="61"/>
  <c r="BJ18" i="61"/>
  <c r="BC18" i="61"/>
  <c r="AV18" i="61"/>
  <c r="AN18" i="61"/>
  <c r="AG18" i="61"/>
  <c r="Z18" i="61"/>
  <c r="S18" i="61"/>
  <c r="L18" i="61"/>
  <c r="F18" i="61"/>
  <c r="CL18" i="61"/>
  <c r="CJ18" i="61"/>
  <c r="CH18" i="61"/>
  <c r="BZ18" i="61"/>
  <c r="BP18" i="61"/>
  <c r="BH18" i="61"/>
  <c r="AY18" i="61"/>
  <c r="AQ18" i="61"/>
  <c r="AH18" i="61"/>
  <c r="Y18" i="61"/>
  <c r="P18" i="61"/>
  <c r="I18" i="61"/>
  <c r="CG18" i="61"/>
  <c r="BW18" i="61"/>
  <c r="BO18" i="61"/>
  <c r="BF18" i="61"/>
  <c r="AX18" i="61"/>
  <c r="AP18" i="61"/>
  <c r="AF18" i="61"/>
  <c r="X18" i="61"/>
  <c r="O18" i="61"/>
  <c r="H18" i="61"/>
  <c r="CC18" i="61"/>
  <c r="BU18" i="61"/>
  <c r="BL18" i="61"/>
  <c r="BD18" i="61"/>
  <c r="AT18" i="61"/>
  <c r="AL18" i="61"/>
  <c r="AD18" i="61"/>
  <c r="U18" i="61"/>
  <c r="M18" i="61"/>
  <c r="E18" i="61"/>
  <c r="BV18" i="61"/>
  <c r="BE18" i="61"/>
  <c r="AM18" i="61"/>
  <c r="V18" i="61"/>
  <c r="G18" i="61"/>
  <c r="CI18" i="61"/>
  <c r="BR18" i="61"/>
  <c r="AZ18" i="61"/>
  <c r="AJ18" i="61"/>
  <c r="R18" i="61"/>
  <c r="BN18" i="61"/>
  <c r="AR18" i="61"/>
  <c r="N18" i="61"/>
  <c r="CN18" i="61"/>
  <c r="BK18" i="61"/>
  <c r="AK18" i="61"/>
  <c r="K18" i="61"/>
  <c r="CB18" i="61"/>
  <c r="BB18" i="61"/>
  <c r="AB18" i="61"/>
  <c r="CA18" i="61"/>
  <c r="AW18" i="61"/>
  <c r="AA18" i="61"/>
  <c r="CL12" i="61"/>
  <c r="CF12" i="61"/>
  <c r="BZ12" i="61"/>
  <c r="BT12" i="61"/>
  <c r="BN12" i="61"/>
  <c r="BH12" i="61"/>
  <c r="BB12" i="61"/>
  <c r="AV12" i="61"/>
  <c r="AP12" i="61"/>
  <c r="AJ12" i="61"/>
  <c r="AD12" i="61"/>
  <c r="X12" i="61"/>
  <c r="R12" i="61"/>
  <c r="L12" i="61"/>
  <c r="F12" i="61"/>
  <c r="CH12" i="61"/>
  <c r="CA12" i="61"/>
  <c r="BS12" i="61"/>
  <c r="BL12" i="61"/>
  <c r="BE12" i="61"/>
  <c r="AX12" i="61"/>
  <c r="AQ12" i="61"/>
  <c r="AI12" i="61"/>
  <c r="AB12" i="61"/>
  <c r="U12" i="61"/>
  <c r="N12" i="61"/>
  <c r="G12" i="61"/>
  <c r="CM12" i="61"/>
  <c r="CE12" i="61"/>
  <c r="BX12" i="61"/>
  <c r="BQ12" i="61"/>
  <c r="BJ12" i="61"/>
  <c r="BC12" i="61"/>
  <c r="AU12" i="61"/>
  <c r="AN12" i="61"/>
  <c r="AG12" i="61"/>
  <c r="Z12" i="61"/>
  <c r="S12" i="61"/>
  <c r="K12" i="61"/>
  <c r="CI12" i="61"/>
  <c r="BW12" i="61"/>
  <c r="BM12" i="61"/>
  <c r="BA12" i="61"/>
  <c r="AR12" i="61"/>
  <c r="AF12" i="61"/>
  <c r="V12" i="61"/>
  <c r="J12" i="61"/>
  <c r="CG12" i="61"/>
  <c r="BV12" i="61"/>
  <c r="BK12" i="61"/>
  <c r="AZ12" i="61"/>
  <c r="AO12" i="61"/>
  <c r="AE12" i="61"/>
  <c r="T12" i="61"/>
  <c r="I12" i="61"/>
  <c r="CN12" i="61"/>
  <c r="CC12" i="61"/>
  <c r="BR12" i="61"/>
  <c r="BG12" i="61"/>
  <c r="AW12" i="61"/>
  <c r="AL12" i="61"/>
  <c r="AA12" i="61"/>
  <c r="P12" i="61"/>
  <c r="E12" i="61"/>
  <c r="CK12" i="61"/>
  <c r="CB12" i="61"/>
  <c r="BP12" i="61"/>
  <c r="BF12" i="61"/>
  <c r="AT12" i="61"/>
  <c r="AK12" i="61"/>
  <c r="Y12" i="61"/>
  <c r="O12" i="61"/>
  <c r="CI6" i="61"/>
  <c r="CL6" i="61"/>
  <c r="CE6" i="61"/>
  <c r="BY6" i="61"/>
  <c r="BS6" i="61"/>
  <c r="BM6" i="61"/>
  <c r="BG6" i="61"/>
  <c r="BA6" i="61"/>
  <c r="AU6" i="61"/>
  <c r="AO6" i="61"/>
  <c r="AI6" i="61"/>
  <c r="AC6" i="61"/>
  <c r="W6" i="61"/>
  <c r="Q6" i="61"/>
  <c r="K6" i="61"/>
  <c r="E6" i="61"/>
  <c r="CK6" i="61"/>
  <c r="CD6" i="61"/>
  <c r="BX6" i="61"/>
  <c r="BR6" i="61"/>
  <c r="BL6" i="61"/>
  <c r="BF6" i="61"/>
  <c r="AZ6" i="61"/>
  <c r="AT6" i="61"/>
  <c r="AN6" i="61"/>
  <c r="AH6" i="61"/>
  <c r="AB6" i="61"/>
  <c r="V6" i="61"/>
  <c r="P6" i="61"/>
  <c r="J6" i="61"/>
  <c r="CH6" i="61"/>
  <c r="CB6" i="61"/>
  <c r="BV6" i="61"/>
  <c r="BP6" i="61"/>
  <c r="BJ6" i="61"/>
  <c r="BD6" i="61"/>
  <c r="AX6" i="61"/>
  <c r="AR6" i="61"/>
  <c r="AL6" i="61"/>
  <c r="AF6" i="61"/>
  <c r="Z6" i="61"/>
  <c r="T6" i="61"/>
  <c r="N6" i="61"/>
  <c r="H6" i="61"/>
  <c r="CN4" i="61"/>
  <c r="CE4" i="61"/>
  <c r="BV4" i="61"/>
  <c r="BM4" i="61"/>
  <c r="BD4" i="61"/>
  <c r="AU4" i="61"/>
  <c r="AL4" i="61"/>
  <c r="AC4" i="61"/>
  <c r="T4" i="61"/>
  <c r="K4" i="61"/>
  <c r="J5" i="61"/>
  <c r="S5" i="61"/>
  <c r="AB5" i="61"/>
  <c r="AK5" i="61"/>
  <c r="AT5" i="61"/>
  <c r="BC5" i="61"/>
  <c r="BM5" i="61"/>
  <c r="BY5" i="61"/>
  <c r="CK5" i="61"/>
  <c r="M6" i="61"/>
  <c r="Y6" i="61"/>
  <c r="AK6" i="61"/>
  <c r="AW6" i="61"/>
  <c r="BI6" i="61"/>
  <c r="BU6" i="61"/>
  <c r="CG6" i="61"/>
  <c r="L7" i="61"/>
  <c r="Z7" i="61"/>
  <c r="AN7" i="61"/>
  <c r="BC7" i="61"/>
  <c r="BQ7" i="61"/>
  <c r="CF7" i="61"/>
  <c r="J8" i="61"/>
  <c r="X8" i="61"/>
  <c r="AM8" i="61"/>
  <c r="BA8" i="61"/>
  <c r="BP8" i="61"/>
  <c r="CD8" i="61"/>
  <c r="N9" i="61"/>
  <c r="AK9" i="61"/>
  <c r="BK9" i="61"/>
  <c r="CJ9" i="61"/>
  <c r="AA10" i="61"/>
  <c r="AZ10" i="61"/>
  <c r="BZ10" i="61"/>
  <c r="Q11" i="61"/>
  <c r="AP11" i="61"/>
  <c r="BP11" i="61"/>
  <c r="M12" i="61"/>
  <c r="AS12" i="61"/>
  <c r="BY12" i="61"/>
  <c r="X13" i="61"/>
  <c r="BM13" i="61"/>
  <c r="R14" i="61"/>
  <c r="BG14" i="61"/>
  <c r="J15" i="61"/>
  <c r="AY15" i="61"/>
  <c r="CN15" i="61"/>
  <c r="AS16" i="61"/>
  <c r="AK17" i="61"/>
  <c r="CG17" i="61"/>
  <c r="BT18" i="61"/>
  <c r="Y20" i="61"/>
  <c r="K22" i="61"/>
  <c r="F25" i="61"/>
  <c r="CL29" i="61"/>
  <c r="CF29" i="61"/>
  <c r="BZ29" i="61"/>
  <c r="BT29" i="61"/>
  <c r="BN29" i="61"/>
  <c r="BH29" i="61"/>
  <c r="BB29" i="61"/>
  <c r="AV29" i="61"/>
  <c r="AP29" i="61"/>
  <c r="AJ29" i="61"/>
  <c r="AD29" i="61"/>
  <c r="X29" i="61"/>
  <c r="R29" i="61"/>
  <c r="L29" i="61"/>
  <c r="F29" i="61"/>
  <c r="CM29" i="61"/>
  <c r="CE29" i="61"/>
  <c r="BX29" i="61"/>
  <c r="BQ29" i="61"/>
  <c r="BJ29" i="61"/>
  <c r="BC29" i="61"/>
  <c r="AU29" i="61"/>
  <c r="AN29" i="61"/>
  <c r="AG29" i="61"/>
  <c r="Z29" i="61"/>
  <c r="S29" i="61"/>
  <c r="K29" i="61"/>
  <c r="CI29" i="61"/>
  <c r="CB29" i="61"/>
  <c r="BU29" i="61"/>
  <c r="BM29" i="61"/>
  <c r="BF29" i="61"/>
  <c r="AY29" i="61"/>
  <c r="AR29" i="61"/>
  <c r="AK29" i="61"/>
  <c r="AC29" i="61"/>
  <c r="V29" i="61"/>
  <c r="O29" i="61"/>
  <c r="H29" i="61"/>
  <c r="CD29" i="61"/>
  <c r="BS29" i="61"/>
  <c r="BI29" i="61"/>
  <c r="AX29" i="61"/>
  <c r="AM29" i="61"/>
  <c r="AB29" i="61"/>
  <c r="Q29" i="61"/>
  <c r="G29" i="61"/>
  <c r="CN29" i="61"/>
  <c r="CC29" i="61"/>
  <c r="BR29" i="61"/>
  <c r="BG29" i="61"/>
  <c r="AW29" i="61"/>
  <c r="AL29" i="61"/>
  <c r="AA29" i="61"/>
  <c r="P29" i="61"/>
  <c r="E29" i="61"/>
  <c r="CK29" i="61"/>
  <c r="CA29" i="61"/>
  <c r="BP29" i="61"/>
  <c r="BE29" i="61"/>
  <c r="AT29" i="61"/>
  <c r="AI29" i="61"/>
  <c r="Y29" i="61"/>
  <c r="N29" i="61"/>
  <c r="CJ29" i="61"/>
  <c r="BY29" i="61"/>
  <c r="BO29" i="61"/>
  <c r="BD29" i="61"/>
  <c r="AS29" i="61"/>
  <c r="AH29" i="61"/>
  <c r="W29" i="61"/>
  <c r="M29" i="61"/>
  <c r="CH29" i="61"/>
  <c r="BW29" i="61"/>
  <c r="BL29" i="61"/>
  <c r="BA29" i="61"/>
  <c r="AQ29" i="61"/>
  <c r="AF29" i="61"/>
  <c r="U29" i="61"/>
  <c r="J29" i="61"/>
  <c r="AE29" i="61"/>
  <c r="CG29" i="61"/>
  <c r="T29" i="61"/>
  <c r="BV29" i="61"/>
  <c r="I29" i="61"/>
  <c r="BK29" i="61"/>
  <c r="AZ29" i="61"/>
  <c r="AO29" i="61"/>
  <c r="K5" i="61"/>
  <c r="U5" i="61"/>
  <c r="AC5" i="61"/>
  <c r="AM5" i="61"/>
  <c r="AU5" i="61"/>
  <c r="BE5" i="61"/>
  <c r="BO5" i="61"/>
  <c r="CA5" i="61"/>
  <c r="CM5" i="61"/>
  <c r="T11" i="61"/>
  <c r="AU11" i="61"/>
  <c r="BV11" i="61"/>
  <c r="CJ28" i="61"/>
  <c r="CD28" i="61"/>
  <c r="BX28" i="61"/>
  <c r="BR28" i="61"/>
  <c r="BL28" i="61"/>
  <c r="BF28" i="61"/>
  <c r="AZ28" i="61"/>
  <c r="AT28" i="61"/>
  <c r="CN28" i="61"/>
  <c r="CG28" i="61"/>
  <c r="BZ28" i="61"/>
  <c r="BS28" i="61"/>
  <c r="BK28" i="61"/>
  <c r="BD28" i="61"/>
  <c r="AW28" i="61"/>
  <c r="AP28" i="61"/>
  <c r="AJ28" i="61"/>
  <c r="AD28" i="61"/>
  <c r="X28" i="61"/>
  <c r="R28" i="61"/>
  <c r="L28" i="61"/>
  <c r="F28" i="61"/>
  <c r="CK28" i="61"/>
  <c r="CC28" i="61"/>
  <c r="BV28" i="61"/>
  <c r="BO28" i="61"/>
  <c r="BH28" i="61"/>
  <c r="BA28" i="61"/>
  <c r="AS28" i="61"/>
  <c r="AM28" i="61"/>
  <c r="AG28" i="61"/>
  <c r="AA28" i="61"/>
  <c r="U28" i="61"/>
  <c r="O28" i="61"/>
  <c r="I28" i="61"/>
  <c r="CF28" i="61"/>
  <c r="BU28" i="61"/>
  <c r="BJ28" i="61"/>
  <c r="AY28" i="61"/>
  <c r="AO28" i="61"/>
  <c r="CE28" i="61"/>
  <c r="BT28" i="61"/>
  <c r="BI28" i="61"/>
  <c r="AX28" i="61"/>
  <c r="AN28" i="61"/>
  <c r="AE28" i="61"/>
  <c r="V28" i="61"/>
  <c r="M28" i="61"/>
  <c r="CM28" i="61"/>
  <c r="CB28" i="61"/>
  <c r="BQ28" i="61"/>
  <c r="BG28" i="61"/>
  <c r="AV28" i="61"/>
  <c r="AL28" i="61"/>
  <c r="AC28" i="61"/>
  <c r="T28" i="61"/>
  <c r="K28" i="61"/>
  <c r="CL28" i="61"/>
  <c r="CA28" i="61"/>
  <c r="BP28" i="61"/>
  <c r="BE28" i="61"/>
  <c r="AU28" i="61"/>
  <c r="AK28" i="61"/>
  <c r="AB28" i="61"/>
  <c r="S28" i="61"/>
  <c r="J28" i="61"/>
  <c r="CI28" i="61"/>
  <c r="BY28" i="61"/>
  <c r="BN28" i="61"/>
  <c r="BC28" i="61"/>
  <c r="AR28" i="61"/>
  <c r="AI28" i="61"/>
  <c r="Z28" i="61"/>
  <c r="Q28" i="61"/>
  <c r="H28" i="61"/>
  <c r="BB28" i="61"/>
  <c r="P28" i="61"/>
  <c r="AQ28" i="61"/>
  <c r="N28" i="61"/>
  <c r="AH28" i="61"/>
  <c r="G28" i="61"/>
  <c r="CH28" i="61"/>
  <c r="AF28" i="61"/>
  <c r="E28" i="61"/>
  <c r="BW28" i="61"/>
  <c r="BM28" i="61"/>
  <c r="W28" i="61"/>
  <c r="Y28" i="61"/>
  <c r="CN16" i="61"/>
  <c r="CH16" i="61"/>
  <c r="CB16" i="61"/>
  <c r="BV16" i="61"/>
  <c r="BP16" i="61"/>
  <c r="BJ16" i="61"/>
  <c r="BD16" i="61"/>
  <c r="AX16" i="61"/>
  <c r="AR16" i="61"/>
  <c r="AL16" i="61"/>
  <c r="AF16" i="61"/>
  <c r="Z16" i="61"/>
  <c r="T16" i="61"/>
  <c r="N16" i="61"/>
  <c r="H16" i="61"/>
  <c r="CM16" i="61"/>
  <c r="CG16" i="61"/>
  <c r="CA16" i="61"/>
  <c r="BU16" i="61"/>
  <c r="BO16" i="61"/>
  <c r="BI16" i="61"/>
  <c r="BC16" i="61"/>
  <c r="AW16" i="61"/>
  <c r="AQ16" i="61"/>
  <c r="AK16" i="61"/>
  <c r="AE16" i="61"/>
  <c r="Y16" i="61"/>
  <c r="S16" i="61"/>
  <c r="M16" i="61"/>
  <c r="G16" i="61"/>
  <c r="CL16" i="61"/>
  <c r="CD16" i="61"/>
  <c r="BT16" i="61"/>
  <c r="BL16" i="61"/>
  <c r="BB16" i="61"/>
  <c r="AT16" i="61"/>
  <c r="AJ16" i="61"/>
  <c r="AB16" i="61"/>
  <c r="R16" i="61"/>
  <c r="J16" i="61"/>
  <c r="CJ16" i="61"/>
  <c r="BZ16" i="61"/>
  <c r="BR16" i="61"/>
  <c r="BH16" i="61"/>
  <c r="AZ16" i="61"/>
  <c r="AP16" i="61"/>
  <c r="AH16" i="61"/>
  <c r="X16" i="61"/>
  <c r="P16" i="61"/>
  <c r="F16" i="61"/>
  <c r="CE16" i="61"/>
  <c r="BQ16" i="61"/>
  <c r="BE16" i="61"/>
  <c r="AO16" i="61"/>
  <c r="AC16" i="61"/>
  <c r="O16" i="61"/>
  <c r="CC16" i="61"/>
  <c r="BN16" i="61"/>
  <c r="BA16" i="61"/>
  <c r="AN16" i="61"/>
  <c r="AA16" i="61"/>
  <c r="L16" i="61"/>
  <c r="CK16" i="61"/>
  <c r="BX16" i="61"/>
  <c r="BK16" i="61"/>
  <c r="AV16" i="61"/>
  <c r="AI16" i="61"/>
  <c r="V16" i="61"/>
  <c r="I16" i="61"/>
  <c r="CI16" i="61"/>
  <c r="BW16" i="61"/>
  <c r="BG16" i="61"/>
  <c r="AU16" i="61"/>
  <c r="AG16" i="61"/>
  <c r="U16" i="61"/>
  <c r="E16" i="61"/>
  <c r="M5" i="61"/>
  <c r="V5" i="61"/>
  <c r="AE5" i="61"/>
  <c r="AN5" i="61"/>
  <c r="AW5" i="61"/>
  <c r="BF5" i="61"/>
  <c r="BR5" i="61"/>
  <c r="CD5" i="61"/>
  <c r="BB6" i="61"/>
  <c r="BN6" i="61"/>
  <c r="BZ6" i="61"/>
  <c r="CM6" i="61"/>
  <c r="R7" i="61"/>
  <c r="AF7" i="61"/>
  <c r="AT7" i="61"/>
  <c r="BI7" i="61"/>
  <c r="BW7" i="61"/>
  <c r="CL7" i="61"/>
  <c r="P8" i="61"/>
  <c r="AD8" i="61"/>
  <c r="AS8" i="61"/>
  <c r="BG8" i="61"/>
  <c r="BV8" i="61"/>
  <c r="CJ8" i="61"/>
  <c r="V9" i="61"/>
  <c r="AS9" i="61"/>
  <c r="I10" i="61"/>
  <c r="AI10" i="61"/>
  <c r="BI10" i="61"/>
  <c r="Y11" i="61"/>
  <c r="AX11" i="61"/>
  <c r="CA11" i="61"/>
  <c r="W12" i="61"/>
  <c r="BD12" i="61"/>
  <c r="CJ12" i="61"/>
  <c r="AM13" i="61"/>
  <c r="BZ13" i="61"/>
  <c r="AE14" i="61"/>
  <c r="BT14" i="61"/>
  <c r="Y15" i="61"/>
  <c r="Q16" i="61"/>
  <c r="BF16" i="61"/>
  <c r="K17" i="61"/>
  <c r="AY17" i="61"/>
  <c r="T18" i="61"/>
  <c r="R19" i="61"/>
  <c r="CA20" i="61"/>
  <c r="BK26" i="61"/>
  <c r="CI35" i="61"/>
  <c r="CC35" i="61"/>
  <c r="BW35" i="61"/>
  <c r="BQ35" i="61"/>
  <c r="BK35" i="61"/>
  <c r="BE35" i="61"/>
  <c r="AY35" i="61"/>
  <c r="AS35" i="61"/>
  <c r="AM35" i="61"/>
  <c r="AG35" i="61"/>
  <c r="AA35" i="61"/>
  <c r="U35" i="61"/>
  <c r="O35" i="61"/>
  <c r="I35" i="61"/>
  <c r="CM35" i="61"/>
  <c r="CF35" i="61"/>
  <c r="BY35" i="61"/>
  <c r="BR35" i="61"/>
  <c r="BJ35" i="61"/>
  <c r="BC35" i="61"/>
  <c r="AV35" i="61"/>
  <c r="AO35" i="61"/>
  <c r="AH35" i="61"/>
  <c r="Z35" i="61"/>
  <c r="S35" i="61"/>
  <c r="L35" i="61"/>
  <c r="E35" i="61"/>
  <c r="CL35" i="61"/>
  <c r="CE35" i="61"/>
  <c r="BX35" i="61"/>
  <c r="BP35" i="61"/>
  <c r="BI35" i="61"/>
  <c r="BB35" i="61"/>
  <c r="AU35" i="61"/>
  <c r="AN35" i="61"/>
  <c r="AF35" i="61"/>
  <c r="Y35" i="61"/>
  <c r="R35" i="61"/>
  <c r="K35" i="61"/>
  <c r="CK35" i="61"/>
  <c r="CD35" i="61"/>
  <c r="BV35" i="61"/>
  <c r="BO35" i="61"/>
  <c r="BH35" i="61"/>
  <c r="BA35" i="61"/>
  <c r="AT35" i="61"/>
  <c r="AL35" i="61"/>
  <c r="AE35" i="61"/>
  <c r="X35" i="61"/>
  <c r="Q35" i="61"/>
  <c r="J35" i="61"/>
  <c r="CJ35" i="61"/>
  <c r="CB35" i="61"/>
  <c r="BU35" i="61"/>
  <c r="BN35" i="61"/>
  <c r="BG35" i="61"/>
  <c r="AZ35" i="61"/>
  <c r="AR35" i="61"/>
  <c r="AK35" i="61"/>
  <c r="AD35" i="61"/>
  <c r="W35" i="61"/>
  <c r="P35" i="61"/>
  <c r="H35" i="61"/>
  <c r="CH35" i="61"/>
  <c r="BM35" i="61"/>
  <c r="AQ35" i="61"/>
  <c r="V35" i="61"/>
  <c r="CG35" i="61"/>
  <c r="BL35" i="61"/>
  <c r="AP35" i="61"/>
  <c r="T35" i="61"/>
  <c r="CA35" i="61"/>
  <c r="BF35" i="61"/>
  <c r="AJ35" i="61"/>
  <c r="N35" i="61"/>
  <c r="BZ35" i="61"/>
  <c r="BD35" i="61"/>
  <c r="AI35" i="61"/>
  <c r="M35" i="61"/>
  <c r="AC35" i="61"/>
  <c r="CN35" i="61"/>
  <c r="AB35" i="61"/>
  <c r="BT35" i="61"/>
  <c r="G35" i="61"/>
  <c r="BS35" i="61"/>
  <c r="F35" i="61"/>
  <c r="AX35" i="61"/>
  <c r="AW35" i="61"/>
  <c r="CK23" i="61"/>
  <c r="CE23" i="61"/>
  <c r="BY23" i="61"/>
  <c r="BS23" i="61"/>
  <c r="BM23" i="61"/>
  <c r="BG23" i="61"/>
  <c r="BA23" i="61"/>
  <c r="AU23" i="61"/>
  <c r="AO23" i="61"/>
  <c r="AI23" i="61"/>
  <c r="AC23" i="61"/>
  <c r="W23" i="61"/>
  <c r="Q23" i="61"/>
  <c r="K23" i="61"/>
  <c r="E23" i="61"/>
  <c r="CI23" i="61"/>
  <c r="CC23" i="61"/>
  <c r="BW23" i="61"/>
  <c r="BQ23" i="61"/>
  <c r="BK23" i="61"/>
  <c r="BE23" i="61"/>
  <c r="AY23" i="61"/>
  <c r="AS23" i="61"/>
  <c r="AM23" i="61"/>
  <c r="AG23" i="61"/>
  <c r="AA23" i="61"/>
  <c r="U23" i="61"/>
  <c r="O23" i="61"/>
  <c r="I23" i="61"/>
  <c r="CG23" i="61"/>
  <c r="BX23" i="61"/>
  <c r="BO23" i="61"/>
  <c r="BF23" i="61"/>
  <c r="AW23" i="61"/>
  <c r="AN23" i="61"/>
  <c r="AE23" i="61"/>
  <c r="V23" i="61"/>
  <c r="M23" i="61"/>
  <c r="CN23" i="61"/>
  <c r="CF23" i="61"/>
  <c r="BV23" i="61"/>
  <c r="BN23" i="61"/>
  <c r="BD23" i="61"/>
  <c r="AV23" i="61"/>
  <c r="AL23" i="61"/>
  <c r="AD23" i="61"/>
  <c r="T23" i="61"/>
  <c r="L23" i="61"/>
  <c r="CM23" i="61"/>
  <c r="CD23" i="61"/>
  <c r="BU23" i="61"/>
  <c r="BL23" i="61"/>
  <c r="BC23" i="61"/>
  <c r="AT23" i="61"/>
  <c r="AK23" i="61"/>
  <c r="AB23" i="61"/>
  <c r="S23" i="61"/>
  <c r="J23" i="61"/>
  <c r="CL23" i="61"/>
  <c r="CB23" i="61"/>
  <c r="BT23" i="61"/>
  <c r="BJ23" i="61"/>
  <c r="BB23" i="61"/>
  <c r="AR23" i="61"/>
  <c r="AJ23" i="61"/>
  <c r="Z23" i="61"/>
  <c r="R23" i="61"/>
  <c r="H23" i="61"/>
  <c r="CJ23" i="61"/>
  <c r="BI23" i="61"/>
  <c r="AH23" i="61"/>
  <c r="G23" i="61"/>
  <c r="CH23" i="61"/>
  <c r="BH23" i="61"/>
  <c r="AF23" i="61"/>
  <c r="F23" i="61"/>
  <c r="BZ23" i="61"/>
  <c r="AX23" i="61"/>
  <c r="X23" i="61"/>
  <c r="CA23" i="61"/>
  <c r="Y23" i="61"/>
  <c r="BP23" i="61"/>
  <c r="N23" i="61"/>
  <c r="AZ23" i="61"/>
  <c r="AQ23" i="61"/>
  <c r="P23" i="61"/>
  <c r="L8" i="61"/>
  <c r="AA8" i="61"/>
  <c r="AO8" i="61"/>
  <c r="BD8" i="61"/>
  <c r="BR8" i="61"/>
  <c r="CF8" i="61"/>
  <c r="Y14" i="61"/>
  <c r="BM14" i="61"/>
  <c r="E17" i="61"/>
  <c r="AQ17" i="61"/>
  <c r="BC20" i="61"/>
  <c r="CM34" i="61"/>
  <c r="CG34" i="61"/>
  <c r="CA34" i="61"/>
  <c r="BU34" i="61"/>
  <c r="BO34" i="61"/>
  <c r="BI34" i="61"/>
  <c r="BC34" i="61"/>
  <c r="AW34" i="61"/>
  <c r="AQ34" i="61"/>
  <c r="AK34" i="61"/>
  <c r="AE34" i="61"/>
  <c r="Y34" i="61"/>
  <c r="S34" i="61"/>
  <c r="M34" i="61"/>
  <c r="G34" i="61"/>
  <c r="CH34" i="61"/>
  <c r="BZ34" i="61"/>
  <c r="BS34" i="61"/>
  <c r="BL34" i="61"/>
  <c r="BE34" i="61"/>
  <c r="AX34" i="61"/>
  <c r="AP34" i="61"/>
  <c r="AI34" i="61"/>
  <c r="AB34" i="61"/>
  <c r="U34" i="61"/>
  <c r="N34" i="61"/>
  <c r="F34" i="61"/>
  <c r="CN34" i="61"/>
  <c r="CF34" i="61"/>
  <c r="BY34" i="61"/>
  <c r="BR34" i="61"/>
  <c r="BK34" i="61"/>
  <c r="BD34" i="61"/>
  <c r="AV34" i="61"/>
  <c r="AO34" i="61"/>
  <c r="AH34" i="61"/>
  <c r="AA34" i="61"/>
  <c r="T34" i="61"/>
  <c r="L34" i="61"/>
  <c r="E34" i="61"/>
  <c r="CL34" i="61"/>
  <c r="CE34" i="61"/>
  <c r="BX34" i="61"/>
  <c r="BQ34" i="61"/>
  <c r="BJ34" i="61"/>
  <c r="BB34" i="61"/>
  <c r="AU34" i="61"/>
  <c r="AN34" i="61"/>
  <c r="AG34" i="61"/>
  <c r="Z34" i="61"/>
  <c r="R34" i="61"/>
  <c r="K34" i="61"/>
  <c r="CK34" i="61"/>
  <c r="CD34" i="61"/>
  <c r="BW34" i="61"/>
  <c r="BP34" i="61"/>
  <c r="BH34" i="61"/>
  <c r="BA34" i="61"/>
  <c r="AT34" i="61"/>
  <c r="AM34" i="61"/>
  <c r="AF34" i="61"/>
  <c r="X34" i="61"/>
  <c r="Q34" i="61"/>
  <c r="J34" i="61"/>
  <c r="CJ34" i="61"/>
  <c r="BN34" i="61"/>
  <c r="AS34" i="61"/>
  <c r="W34" i="61"/>
  <c r="CI34" i="61"/>
  <c r="BM34" i="61"/>
  <c r="AR34" i="61"/>
  <c r="V34" i="61"/>
  <c r="CC34" i="61"/>
  <c r="BG34" i="61"/>
  <c r="AL34" i="61"/>
  <c r="P34" i="61"/>
  <c r="CB34" i="61"/>
  <c r="BF34" i="61"/>
  <c r="AJ34" i="61"/>
  <c r="O34" i="61"/>
  <c r="AZ34" i="61"/>
  <c r="AY34" i="61"/>
  <c r="AD34" i="61"/>
  <c r="AC34" i="61"/>
  <c r="BV34" i="61"/>
  <c r="I34" i="61"/>
  <c r="BT34" i="61"/>
  <c r="H34" i="61"/>
  <c r="CI22" i="61"/>
  <c r="CC22" i="61"/>
  <c r="BW22" i="61"/>
  <c r="BQ22" i="61"/>
  <c r="BK22" i="61"/>
  <c r="BE22" i="61"/>
  <c r="AY22" i="61"/>
  <c r="AS22" i="61"/>
  <c r="AM22" i="61"/>
  <c r="AG22" i="61"/>
  <c r="AA22" i="61"/>
  <c r="U22" i="61"/>
  <c r="O22" i="61"/>
  <c r="I22" i="61"/>
  <c r="CM22" i="61"/>
  <c r="CG22" i="61"/>
  <c r="CA22" i="61"/>
  <c r="BU22" i="61"/>
  <c r="BO22" i="61"/>
  <c r="BI22" i="61"/>
  <c r="BC22" i="61"/>
  <c r="AW22" i="61"/>
  <c r="AQ22" i="61"/>
  <c r="AK22" i="61"/>
  <c r="AE22" i="61"/>
  <c r="Y22" i="61"/>
  <c r="S22" i="61"/>
  <c r="M22" i="61"/>
  <c r="G22" i="61"/>
  <c r="CN22" i="61"/>
  <c r="CE22" i="61"/>
  <c r="BV22" i="61"/>
  <c r="BM22" i="61"/>
  <c r="BD22" i="61"/>
  <c r="AU22" i="61"/>
  <c r="AL22" i="61"/>
  <c r="CL22" i="61"/>
  <c r="CD22" i="61"/>
  <c r="BT22" i="61"/>
  <c r="BL22" i="61"/>
  <c r="BB22" i="61"/>
  <c r="AT22" i="61"/>
  <c r="AJ22" i="61"/>
  <c r="AB22" i="61"/>
  <c r="R22" i="61"/>
  <c r="J22" i="61"/>
  <c r="CK22" i="61"/>
  <c r="CB22" i="61"/>
  <c r="BS22" i="61"/>
  <c r="BJ22" i="61"/>
  <c r="BA22" i="61"/>
  <c r="AR22" i="61"/>
  <c r="AI22" i="61"/>
  <c r="Z22" i="61"/>
  <c r="Q22" i="61"/>
  <c r="H22" i="61"/>
  <c r="CJ22" i="61"/>
  <c r="BZ22" i="61"/>
  <c r="BR22" i="61"/>
  <c r="BH22" i="61"/>
  <c r="AZ22" i="61"/>
  <c r="AP22" i="61"/>
  <c r="AH22" i="61"/>
  <c r="X22" i="61"/>
  <c r="P22" i="61"/>
  <c r="F22" i="61"/>
  <c r="BP22" i="61"/>
  <c r="AO22" i="61"/>
  <c r="V22" i="61"/>
  <c r="BN22" i="61"/>
  <c r="AN22" i="61"/>
  <c r="T22" i="61"/>
  <c r="CF22" i="61"/>
  <c r="BF22" i="61"/>
  <c r="AD22" i="61"/>
  <c r="L22" i="61"/>
  <c r="BG22" i="61"/>
  <c r="N22" i="61"/>
  <c r="AV22" i="61"/>
  <c r="E22" i="61"/>
  <c r="BX22" i="61"/>
  <c r="AX22" i="61"/>
  <c r="AC22" i="61"/>
  <c r="CH22" i="61"/>
  <c r="W22" i="61"/>
  <c r="CN10" i="61"/>
  <c r="CH10" i="61"/>
  <c r="CB10" i="61"/>
  <c r="BV10" i="61"/>
  <c r="BP10" i="61"/>
  <c r="BJ10" i="61"/>
  <c r="BD10" i="61"/>
  <c r="AX10" i="61"/>
  <c r="AR10" i="61"/>
  <c r="AL10" i="61"/>
  <c r="AF10" i="61"/>
  <c r="Z10" i="61"/>
  <c r="T10" i="61"/>
  <c r="N10" i="61"/>
  <c r="H10" i="61"/>
  <c r="CK10" i="61"/>
  <c r="CD10" i="61"/>
  <c r="BW10" i="61"/>
  <c r="BO10" i="61"/>
  <c r="BH10" i="61"/>
  <c r="BA10" i="61"/>
  <c r="AT10" i="61"/>
  <c r="AM10" i="61"/>
  <c r="AE10" i="61"/>
  <c r="X10" i="61"/>
  <c r="Q10" i="61"/>
  <c r="J10" i="61"/>
  <c r="CG10" i="61"/>
  <c r="BY10" i="61"/>
  <c r="BQ10" i="61"/>
  <c r="BG10" i="61"/>
  <c r="AY10" i="61"/>
  <c r="AP10" i="61"/>
  <c r="AH10" i="61"/>
  <c r="Y10" i="61"/>
  <c r="P10" i="61"/>
  <c r="G10" i="61"/>
  <c r="CF10" i="61"/>
  <c r="BX10" i="61"/>
  <c r="BN10" i="61"/>
  <c r="BF10" i="61"/>
  <c r="AW10" i="61"/>
  <c r="AO10" i="61"/>
  <c r="AG10" i="61"/>
  <c r="W10" i="61"/>
  <c r="O10" i="61"/>
  <c r="F10" i="61"/>
  <c r="CL10" i="61"/>
  <c r="CC10" i="61"/>
  <c r="BT10" i="61"/>
  <c r="BL10" i="61"/>
  <c r="BC10" i="61"/>
  <c r="AU10" i="61"/>
  <c r="AK10" i="61"/>
  <c r="AC10" i="61"/>
  <c r="U10" i="61"/>
  <c r="L10" i="61"/>
  <c r="CJ10" i="61"/>
  <c r="CA10" i="61"/>
  <c r="BS10" i="61"/>
  <c r="BK10" i="61"/>
  <c r="BB10" i="61"/>
  <c r="AS10" i="61"/>
  <c r="AJ10" i="61"/>
  <c r="AB10" i="61"/>
  <c r="S10" i="61"/>
  <c r="K10" i="61"/>
  <c r="CK33" i="61"/>
  <c r="CE33" i="61"/>
  <c r="BY33" i="61"/>
  <c r="BS33" i="61"/>
  <c r="BM33" i="61"/>
  <c r="BG33" i="61"/>
  <c r="BA33" i="61"/>
  <c r="AU33" i="61"/>
  <c r="AO33" i="61"/>
  <c r="AI33" i="61"/>
  <c r="AC33" i="61"/>
  <c r="W33" i="61"/>
  <c r="Q33" i="61"/>
  <c r="K33" i="61"/>
  <c r="E33" i="61"/>
  <c r="CI33" i="61"/>
  <c r="CB33" i="61"/>
  <c r="BU33" i="61"/>
  <c r="BN33" i="61"/>
  <c r="BF33" i="61"/>
  <c r="AY33" i="61"/>
  <c r="AR33" i="61"/>
  <c r="AK33" i="61"/>
  <c r="AD33" i="61"/>
  <c r="V33" i="61"/>
  <c r="O33" i="61"/>
  <c r="H33" i="61"/>
  <c r="CH33" i="61"/>
  <c r="CA33" i="61"/>
  <c r="BT33" i="61"/>
  <c r="BL33" i="61"/>
  <c r="BE33" i="61"/>
  <c r="AX33" i="61"/>
  <c r="AQ33" i="61"/>
  <c r="AJ33" i="61"/>
  <c r="AB33" i="61"/>
  <c r="U33" i="61"/>
  <c r="N33" i="61"/>
  <c r="G33" i="61"/>
  <c r="CN33" i="61"/>
  <c r="CG33" i="61"/>
  <c r="BZ33" i="61"/>
  <c r="BR33" i="61"/>
  <c r="BK33" i="61"/>
  <c r="BD33" i="61"/>
  <c r="AW33" i="61"/>
  <c r="AP33" i="61"/>
  <c r="CM33" i="61"/>
  <c r="CF33" i="61"/>
  <c r="BX33" i="61"/>
  <c r="BQ33" i="61"/>
  <c r="BJ33" i="61"/>
  <c r="BC33" i="61"/>
  <c r="AV33" i="61"/>
  <c r="AN33" i="61"/>
  <c r="AG33" i="61"/>
  <c r="Z33" i="61"/>
  <c r="S33" i="61"/>
  <c r="L33" i="61"/>
  <c r="CL33" i="61"/>
  <c r="BP33" i="61"/>
  <c r="AT33" i="61"/>
  <c r="AE33" i="61"/>
  <c r="P33" i="61"/>
  <c r="CJ33" i="61"/>
  <c r="BO33" i="61"/>
  <c r="AS33" i="61"/>
  <c r="AA33" i="61"/>
  <c r="M33" i="61"/>
  <c r="CD33" i="61"/>
  <c r="BI33" i="61"/>
  <c r="AM33" i="61"/>
  <c r="Y33" i="61"/>
  <c r="J33" i="61"/>
  <c r="CC33" i="61"/>
  <c r="BH33" i="61"/>
  <c r="AL33" i="61"/>
  <c r="X33" i="61"/>
  <c r="I33" i="61"/>
  <c r="BW33" i="61"/>
  <c r="T33" i="61"/>
  <c r="BV33" i="61"/>
  <c r="R33" i="61"/>
  <c r="BB33" i="61"/>
  <c r="F33" i="61"/>
  <c r="AZ33" i="61"/>
  <c r="AH33" i="61"/>
  <c r="AF33" i="61"/>
  <c r="CJ27" i="61"/>
  <c r="CD27" i="61"/>
  <c r="BX27" i="61"/>
  <c r="BR27" i="61"/>
  <c r="BL27" i="61"/>
  <c r="BF27" i="61"/>
  <c r="AZ27" i="61"/>
  <c r="AT27" i="61"/>
  <c r="AN27" i="61"/>
  <c r="AH27" i="61"/>
  <c r="AB27" i="61"/>
  <c r="V27" i="61"/>
  <c r="P27" i="61"/>
  <c r="J27" i="61"/>
  <c r="CM27" i="61"/>
  <c r="CG27" i="61"/>
  <c r="CA27" i="61"/>
  <c r="BU27" i="61"/>
  <c r="BO27" i="61"/>
  <c r="BI27" i="61"/>
  <c r="BC27" i="61"/>
  <c r="AW27" i="61"/>
  <c r="AQ27" i="61"/>
  <c r="AK27" i="61"/>
  <c r="AE27" i="61"/>
  <c r="CN27" i="61"/>
  <c r="CE27" i="61"/>
  <c r="BV27" i="61"/>
  <c r="BM27" i="61"/>
  <c r="BD27" i="61"/>
  <c r="AU27" i="61"/>
  <c r="AL27" i="61"/>
  <c r="AC27" i="61"/>
  <c r="U27" i="61"/>
  <c r="N27" i="61"/>
  <c r="G27" i="61"/>
  <c r="CL27" i="61"/>
  <c r="CC27" i="61"/>
  <c r="BT27" i="61"/>
  <c r="BK27" i="61"/>
  <c r="BB27" i="61"/>
  <c r="AS27" i="61"/>
  <c r="AJ27" i="61"/>
  <c r="AA27" i="61"/>
  <c r="T27" i="61"/>
  <c r="M27" i="61"/>
  <c r="F27" i="61"/>
  <c r="CK27" i="61"/>
  <c r="CB27" i="61"/>
  <c r="BS27" i="61"/>
  <c r="BJ27" i="61"/>
  <c r="BA27" i="61"/>
  <c r="AR27" i="61"/>
  <c r="AI27" i="61"/>
  <c r="Z27" i="61"/>
  <c r="S27" i="61"/>
  <c r="L27" i="61"/>
  <c r="E27" i="61"/>
  <c r="CI27" i="61"/>
  <c r="BZ27" i="61"/>
  <c r="BQ27" i="61"/>
  <c r="BH27" i="61"/>
  <c r="AY27" i="61"/>
  <c r="AP27" i="61"/>
  <c r="BY27" i="61"/>
  <c r="AX27" i="61"/>
  <c r="AD27" i="61"/>
  <c r="O27" i="61"/>
  <c r="BW27" i="61"/>
  <c r="AV27" i="61"/>
  <c r="Y27" i="61"/>
  <c r="K27" i="61"/>
  <c r="BP27" i="61"/>
  <c r="AO27" i="61"/>
  <c r="X27" i="61"/>
  <c r="I27" i="61"/>
  <c r="BN27" i="61"/>
  <c r="AM27" i="61"/>
  <c r="W27" i="61"/>
  <c r="H27" i="61"/>
  <c r="BG27" i="61"/>
  <c r="BE27" i="61"/>
  <c r="AF27" i="61"/>
  <c r="AG27" i="61"/>
  <c r="CF27" i="61"/>
  <c r="R27" i="61"/>
  <c r="Q27" i="61"/>
  <c r="CM21" i="61"/>
  <c r="CG21" i="61"/>
  <c r="CA21" i="61"/>
  <c r="BU21" i="61"/>
  <c r="BO21" i="61"/>
  <c r="BI21" i="61"/>
  <c r="BC21" i="61"/>
  <c r="AW21" i="61"/>
  <c r="AQ21" i="61"/>
  <c r="AK21" i="61"/>
  <c r="AE21" i="61"/>
  <c r="Y21" i="61"/>
  <c r="S21" i="61"/>
  <c r="M21" i="61"/>
  <c r="G21" i="61"/>
  <c r="CK21" i="61"/>
  <c r="CE21" i="61"/>
  <c r="BY21" i="61"/>
  <c r="BS21" i="61"/>
  <c r="BM21" i="61"/>
  <c r="BG21" i="61"/>
  <c r="BA21" i="61"/>
  <c r="AU21" i="61"/>
  <c r="AO21" i="61"/>
  <c r="AI21" i="61"/>
  <c r="AC21" i="61"/>
  <c r="W21" i="61"/>
  <c r="Q21" i="61"/>
  <c r="K21" i="61"/>
  <c r="E21" i="61"/>
  <c r="CJ21" i="61"/>
  <c r="CB21" i="61"/>
  <c r="BR21" i="61"/>
  <c r="BJ21" i="61"/>
  <c r="AZ21" i="61"/>
  <c r="AR21" i="61"/>
  <c r="AH21" i="61"/>
  <c r="Z21" i="61"/>
  <c r="P21" i="61"/>
  <c r="H21" i="61"/>
  <c r="CI21" i="61"/>
  <c r="BZ21" i="61"/>
  <c r="BQ21" i="61"/>
  <c r="BH21" i="61"/>
  <c r="AY21" i="61"/>
  <c r="AP21" i="61"/>
  <c r="AG21" i="61"/>
  <c r="X21" i="61"/>
  <c r="O21" i="61"/>
  <c r="F21" i="61"/>
  <c r="CH21" i="61"/>
  <c r="BX21" i="61"/>
  <c r="BP21" i="61"/>
  <c r="BF21" i="61"/>
  <c r="AX21" i="61"/>
  <c r="AN21" i="61"/>
  <c r="AF21" i="61"/>
  <c r="V21" i="61"/>
  <c r="N21" i="61"/>
  <c r="CN21" i="61"/>
  <c r="BV21" i="61"/>
  <c r="BD21" i="61"/>
  <c r="AL21" i="61"/>
  <c r="T21" i="61"/>
  <c r="CL21" i="61"/>
  <c r="BT21" i="61"/>
  <c r="BB21" i="61"/>
  <c r="AJ21" i="61"/>
  <c r="R21" i="61"/>
  <c r="CD21" i="61"/>
  <c r="BL21" i="61"/>
  <c r="AT21" i="61"/>
  <c r="AB21" i="61"/>
  <c r="J21" i="61"/>
  <c r="BN21" i="61"/>
  <c r="AD21" i="61"/>
  <c r="BE21" i="61"/>
  <c r="U21" i="61"/>
  <c r="CF21" i="61"/>
  <c r="AM21" i="61"/>
  <c r="CC21" i="61"/>
  <c r="AA21" i="61"/>
  <c r="BK21" i="61"/>
  <c r="I21" i="61"/>
  <c r="AV21" i="61"/>
  <c r="CL15" i="61"/>
  <c r="CF15" i="61"/>
  <c r="BZ15" i="61"/>
  <c r="BT15" i="61"/>
  <c r="BN15" i="61"/>
  <c r="BH15" i="61"/>
  <c r="BB15" i="61"/>
  <c r="AV15" i="61"/>
  <c r="AP15" i="61"/>
  <c r="AJ15" i="61"/>
  <c r="AD15" i="61"/>
  <c r="X15" i="61"/>
  <c r="R15" i="61"/>
  <c r="L15" i="61"/>
  <c r="F15" i="61"/>
  <c r="CK15" i="61"/>
  <c r="CE15" i="61"/>
  <c r="BY15" i="61"/>
  <c r="BS15" i="61"/>
  <c r="BM15" i="61"/>
  <c r="BG15" i="61"/>
  <c r="BA15" i="61"/>
  <c r="AU15" i="61"/>
  <c r="AO15" i="61"/>
  <c r="AI15" i="61"/>
  <c r="AC15" i="61"/>
  <c r="W15" i="61"/>
  <c r="Q15" i="61"/>
  <c r="K15" i="61"/>
  <c r="E15" i="61"/>
  <c r="CJ15" i="61"/>
  <c r="CB15" i="61"/>
  <c r="BR15" i="61"/>
  <c r="BJ15" i="61"/>
  <c r="AZ15" i="61"/>
  <c r="AR15" i="61"/>
  <c r="AH15" i="61"/>
  <c r="Z15" i="61"/>
  <c r="P15" i="61"/>
  <c r="H15" i="61"/>
  <c r="CH15" i="61"/>
  <c r="BX15" i="61"/>
  <c r="BP15" i="61"/>
  <c r="BF15" i="61"/>
  <c r="AX15" i="61"/>
  <c r="AN15" i="61"/>
  <c r="AF15" i="61"/>
  <c r="V15" i="61"/>
  <c r="N15" i="61"/>
  <c r="CM15" i="61"/>
  <c r="BW15" i="61"/>
  <c r="BK15" i="61"/>
  <c r="AW15" i="61"/>
  <c r="AK15" i="61"/>
  <c r="U15" i="61"/>
  <c r="I15" i="61"/>
  <c r="CI15" i="61"/>
  <c r="BV15" i="61"/>
  <c r="BI15" i="61"/>
  <c r="AT15" i="61"/>
  <c r="AG15" i="61"/>
  <c r="T15" i="61"/>
  <c r="G15" i="61"/>
  <c r="CD15" i="61"/>
  <c r="BQ15" i="61"/>
  <c r="BD15" i="61"/>
  <c r="AQ15" i="61"/>
  <c r="AB15" i="61"/>
  <c r="O15" i="61"/>
  <c r="CC15" i="61"/>
  <c r="BO15" i="61"/>
  <c r="BC15" i="61"/>
  <c r="AM15" i="61"/>
  <c r="AA15" i="61"/>
  <c r="M15" i="61"/>
  <c r="CL9" i="61"/>
  <c r="CF9" i="61"/>
  <c r="BZ9" i="61"/>
  <c r="BT9" i="61"/>
  <c r="BN9" i="61"/>
  <c r="BH9" i="61"/>
  <c r="BB9" i="61"/>
  <c r="AV9" i="61"/>
  <c r="AP9" i="61"/>
  <c r="AJ9" i="61"/>
  <c r="CM9" i="61"/>
  <c r="CE9" i="61"/>
  <c r="BX9" i="61"/>
  <c r="BQ9" i="61"/>
  <c r="BJ9" i="61"/>
  <c r="BC9" i="61"/>
  <c r="AU9" i="61"/>
  <c r="AN9" i="61"/>
  <c r="AG9" i="61"/>
  <c r="AA9" i="61"/>
  <c r="U9" i="61"/>
  <c r="O9" i="61"/>
  <c r="I9" i="61"/>
  <c r="CI9" i="61"/>
  <c r="CA9" i="61"/>
  <c r="BR9" i="61"/>
  <c r="BI9" i="61"/>
  <c r="AZ9" i="61"/>
  <c r="AR9" i="61"/>
  <c r="AI9" i="61"/>
  <c r="AB9" i="61"/>
  <c r="T9" i="61"/>
  <c r="M9" i="61"/>
  <c r="F9" i="61"/>
  <c r="CH9" i="61"/>
  <c r="BY9" i="61"/>
  <c r="BP9" i="61"/>
  <c r="BG9" i="61"/>
  <c r="AY9" i="61"/>
  <c r="AQ9" i="61"/>
  <c r="AH9" i="61"/>
  <c r="Z9" i="61"/>
  <c r="S9" i="61"/>
  <c r="L9" i="61"/>
  <c r="E9" i="61"/>
  <c r="CN9" i="61"/>
  <c r="CD9" i="61"/>
  <c r="BV9" i="61"/>
  <c r="BM9" i="61"/>
  <c r="BE9" i="61"/>
  <c r="AW9" i="61"/>
  <c r="AM9" i="61"/>
  <c r="AE9" i="61"/>
  <c r="X9" i="61"/>
  <c r="Q9" i="61"/>
  <c r="J9" i="61"/>
  <c r="CK9" i="61"/>
  <c r="CC9" i="61"/>
  <c r="BU9" i="61"/>
  <c r="BL9" i="61"/>
  <c r="BD9" i="61"/>
  <c r="AT9" i="61"/>
  <c r="AL9" i="61"/>
  <c r="AD9" i="61"/>
  <c r="W9" i="61"/>
  <c r="P9" i="61"/>
  <c r="H9" i="61"/>
  <c r="CI4" i="61"/>
  <c r="CA4" i="61"/>
  <c r="BQ4" i="61"/>
  <c r="BI4" i="61"/>
  <c r="AY4" i="61"/>
  <c r="AQ4" i="61"/>
  <c r="AG4" i="61"/>
  <c r="Y4" i="61"/>
  <c r="O4" i="61"/>
  <c r="E5" i="61"/>
  <c r="O5" i="61"/>
  <c r="W5" i="61"/>
  <c r="AG5" i="61"/>
  <c r="AO5" i="61"/>
  <c r="AY5" i="61"/>
  <c r="BG5" i="61"/>
  <c r="BS5" i="61"/>
  <c r="CE5" i="61"/>
  <c r="G6" i="61"/>
  <c r="S6" i="61"/>
  <c r="AE6" i="61"/>
  <c r="AQ6" i="61"/>
  <c r="BC6" i="61"/>
  <c r="BO6" i="61"/>
  <c r="CA6" i="61"/>
  <c r="CN6" i="61"/>
  <c r="S7" i="61"/>
  <c r="AG7" i="61"/>
  <c r="AV7" i="61"/>
  <c r="BJ7" i="61"/>
  <c r="BX7" i="61"/>
  <c r="CM7" i="61"/>
  <c r="Q8" i="61"/>
  <c r="AF8" i="61"/>
  <c r="AT8" i="61"/>
  <c r="BH8" i="61"/>
  <c r="BW8" i="61"/>
  <c r="CN8" i="61"/>
  <c r="Y9" i="61"/>
  <c r="AX9" i="61"/>
  <c r="BW9" i="61"/>
  <c r="M10" i="61"/>
  <c r="AN10" i="61"/>
  <c r="BM10" i="61"/>
  <c r="CM10" i="61"/>
  <c r="AC11" i="61"/>
  <c r="BC11" i="61"/>
  <c r="CF11" i="61"/>
  <c r="AC12" i="61"/>
  <c r="BI12" i="61"/>
  <c r="F13" i="61"/>
  <c r="AS13" i="61"/>
  <c r="CI13" i="61"/>
  <c r="AK14" i="61"/>
  <c r="CA14" i="61"/>
  <c r="AE15" i="61"/>
  <c r="BU15" i="61"/>
  <c r="W16" i="61"/>
  <c r="BM16" i="61"/>
  <c r="Q17" i="61"/>
  <c r="BJ17" i="61"/>
  <c r="AE18" i="61"/>
  <c r="AP19" i="61"/>
  <c r="L21" i="61"/>
  <c r="AP23" i="61"/>
  <c r="CH27" i="61"/>
  <c r="G4" i="61"/>
  <c r="J3" i="40" l="1"/>
  <c r="AE29" i="62" l="1"/>
  <c r="AD29" i="62"/>
  <c r="AE28" i="62"/>
  <c r="AD28" i="62"/>
  <c r="AE27" i="62"/>
  <c r="AD27" i="62"/>
  <c r="AE26" i="62"/>
  <c r="AD26" i="62"/>
  <c r="AE25" i="62"/>
  <c r="AD25" i="62"/>
  <c r="AE24" i="62"/>
  <c r="AD24" i="62"/>
  <c r="AE23" i="62"/>
  <c r="AD23" i="62"/>
  <c r="AE22" i="62"/>
  <c r="AD22" i="62"/>
  <c r="AE21" i="62"/>
  <c r="AD21" i="62"/>
  <c r="AE20" i="62"/>
  <c r="AD20" i="62"/>
  <c r="AE19" i="62"/>
  <c r="AD19" i="62"/>
  <c r="AE18" i="62"/>
  <c r="AD18" i="62"/>
  <c r="AE17" i="62"/>
  <c r="AD17" i="62"/>
  <c r="AE16" i="62"/>
  <c r="AD16" i="62"/>
  <c r="AE15" i="62"/>
  <c r="AD15" i="62"/>
  <c r="AE14" i="62"/>
  <c r="AD14" i="62"/>
  <c r="AE13" i="62"/>
  <c r="AD13" i="62"/>
  <c r="AE12" i="62"/>
  <c r="AD12" i="62"/>
  <c r="AE11" i="62"/>
  <c r="AD11" i="62"/>
  <c r="AE10" i="62"/>
  <c r="AD10" i="62"/>
  <c r="AE9" i="62"/>
  <c r="AD9" i="62"/>
  <c r="AE8" i="62"/>
  <c r="AD8" i="62"/>
  <c r="AE7" i="62"/>
  <c r="AD7" i="62"/>
  <c r="AE6" i="62"/>
  <c r="AD6" i="62"/>
  <c r="AE5" i="62"/>
  <c r="AD5" i="62"/>
  <c r="AE4" i="62"/>
  <c r="AD4" i="62"/>
  <c r="AE3" i="62"/>
  <c r="AD3" i="62"/>
  <c r="D30" i="61" l="1"/>
  <c r="D15" i="61"/>
  <c r="D12" i="61"/>
  <c r="D29" i="61"/>
  <c r="D20" i="61"/>
  <c r="D8" i="61"/>
  <c r="D32" i="61"/>
  <c r="D23" i="61"/>
  <c r="D14" i="61"/>
  <c r="D35" i="61"/>
  <c r="D27" i="61"/>
  <c r="D21" i="61"/>
  <c r="D17" i="61"/>
  <c r="D11" i="61"/>
  <c r="D5" i="61"/>
  <c r="D26" i="61"/>
  <c r="D24" i="61"/>
  <c r="D18" i="61"/>
  <c r="D33" i="61"/>
  <c r="D9" i="61"/>
  <c r="D6" i="61"/>
  <c r="D7" i="61"/>
  <c r="D34" i="61"/>
  <c r="D13" i="61"/>
  <c r="D19" i="61"/>
  <c r="D10" i="61"/>
  <c r="D16" i="61"/>
  <c r="D22" i="61"/>
  <c r="D28" i="61"/>
  <c r="D25" i="61"/>
  <c r="D31" i="61"/>
  <c r="D4" i="61"/>
  <c r="H31" i="40" l="1"/>
  <c r="G30" i="40"/>
  <c r="J31" i="40"/>
  <c r="G31" i="40"/>
  <c r="I31" i="40"/>
  <c r="H30" i="40"/>
  <c r="I30" i="40"/>
  <c r="J30" i="40"/>
  <c r="K31" i="40" l="1"/>
  <c r="K30" i="40"/>
  <c r="H29" i="40" l="1"/>
  <c r="G29" i="40"/>
  <c r="G26" i="40" l="1"/>
  <c r="H26" i="40"/>
  <c r="G6" i="40"/>
  <c r="G12" i="40"/>
  <c r="G16" i="40"/>
  <c r="G22" i="40"/>
  <c r="G4" i="40" l="1"/>
  <c r="G18" i="40"/>
  <c r="G10" i="40"/>
  <c r="G21" i="40"/>
  <c r="G9" i="40"/>
  <c r="H20" i="40"/>
  <c r="H17" i="40"/>
  <c r="H5" i="40"/>
  <c r="H8" i="40"/>
  <c r="H27" i="40"/>
  <c r="H14" i="40"/>
  <c r="G23" i="40"/>
  <c r="G11" i="40"/>
  <c r="H24" i="40"/>
  <c r="H23" i="40"/>
  <c r="H22" i="40"/>
  <c r="H10" i="40"/>
  <c r="H25" i="40"/>
  <c r="H12" i="40"/>
  <c r="H11" i="40"/>
  <c r="G20" i="40"/>
  <c r="G8" i="40"/>
  <c r="H21" i="40"/>
  <c r="H9" i="40"/>
  <c r="H19" i="40"/>
  <c r="H7" i="40"/>
  <c r="G17" i="40"/>
  <c r="G5" i="40"/>
  <c r="H18" i="40"/>
  <c r="H6" i="40"/>
  <c r="H16" i="40"/>
  <c r="H4" i="40"/>
  <c r="G27" i="40"/>
  <c r="G14" i="40"/>
  <c r="H28" i="40"/>
  <c r="H15" i="40"/>
  <c r="H13" i="40"/>
  <c r="G28" i="40"/>
  <c r="G15" i="40"/>
  <c r="G25" i="40"/>
  <c r="G24" i="40"/>
  <c r="G19" i="40"/>
  <c r="G13" i="40"/>
  <c r="G7" i="40"/>
  <c r="I5" i="40" l="1"/>
  <c r="I22" i="40"/>
  <c r="I10" i="40"/>
  <c r="I19" i="40"/>
  <c r="I25" i="40"/>
  <c r="I18" i="40"/>
  <c r="I9" i="40"/>
  <c r="J17" i="40"/>
  <c r="I17" i="40"/>
  <c r="I24" i="40"/>
  <c r="I3" i="40"/>
  <c r="I12" i="40"/>
  <c r="I14" i="40"/>
  <c r="I13" i="40"/>
  <c r="I20" i="40"/>
  <c r="I16" i="40"/>
  <c r="J23" i="40"/>
  <c r="I23" i="40"/>
  <c r="I7" i="40"/>
  <c r="I11" i="40"/>
  <c r="J26" i="40"/>
  <c r="I26" i="40"/>
  <c r="I21" i="40"/>
  <c r="I15" i="40"/>
  <c r="I29" i="40"/>
  <c r="J29" i="40"/>
  <c r="I4" i="40"/>
  <c r="I6" i="40"/>
  <c r="I28" i="40"/>
  <c r="I8" i="40"/>
  <c r="I27" i="40"/>
  <c r="K17" i="40" l="1"/>
  <c r="K26" i="40"/>
  <c r="K29" i="40"/>
  <c r="J33" i="40" l="1"/>
  <c r="J32" i="40"/>
  <c r="J34" i="40"/>
  <c r="G32" i="40" l="1"/>
  <c r="G33" i="40"/>
  <c r="G34" i="40"/>
  <c r="J21" i="40" l="1"/>
  <c r="J22" i="40"/>
  <c r="J11" i="40"/>
  <c r="J18" i="40"/>
  <c r="J13" i="40"/>
  <c r="I33" i="40"/>
  <c r="I32" i="40"/>
  <c r="H34" i="40"/>
  <c r="H33" i="40"/>
  <c r="H32" i="40"/>
  <c r="I34" i="40"/>
  <c r="AS13" i="62" l="1"/>
  <c r="AG13" i="62"/>
  <c r="AC13" i="62"/>
  <c r="K34" i="40"/>
  <c r="K32" i="40"/>
  <c r="K33" i="40"/>
  <c r="K18" i="40"/>
  <c r="K22" i="40"/>
  <c r="K11" i="40"/>
  <c r="K13" i="40"/>
  <c r="K21" i="40"/>
  <c r="AY23" i="62" l="1"/>
  <c r="AZ23" i="62"/>
  <c r="BB20" i="62"/>
  <c r="BC7" i="62"/>
  <c r="AT7" i="62"/>
  <c r="BC25" i="62"/>
  <c r="BB25" i="62"/>
  <c r="AZ26" i="62"/>
  <c r="BB19" i="62"/>
  <c r="AT19" i="62"/>
  <c r="AV15" i="62"/>
  <c r="AZ15" i="62"/>
  <c r="AZ28" i="62"/>
  <c r="AY28" i="62"/>
  <c r="AY27" i="62"/>
  <c r="AU27" i="62"/>
  <c r="AT5" i="62"/>
  <c r="BB9" i="62"/>
  <c r="BC9" i="62"/>
  <c r="AW13" i="62"/>
  <c r="I13" i="62" s="1"/>
  <c r="AV13" i="62"/>
  <c r="H13" i="62" s="1"/>
  <c r="AZ11" i="62"/>
  <c r="BA6" i="62"/>
  <c r="AY6" i="62"/>
  <c r="BA3" i="62"/>
  <c r="AX3" i="62"/>
  <c r="AU8" i="62"/>
  <c r="AY18" i="62"/>
  <c r="BA18" i="62"/>
  <c r="AY10" i="62"/>
  <c r="BB10" i="62"/>
  <c r="AY22" i="62"/>
  <c r="BA22" i="62"/>
  <c r="AX14" i="62"/>
  <c r="BB21" i="62"/>
  <c r="AZ21" i="62"/>
  <c r="BA4" i="62"/>
  <c r="AZ24" i="62"/>
  <c r="AU24" i="62"/>
  <c r="BB12" i="62"/>
  <c r="AX12" i="62"/>
  <c r="AV17" i="62"/>
  <c r="AZ16" i="62"/>
  <c r="AY16" i="62"/>
  <c r="AV29" i="62"/>
  <c r="BC23" i="62"/>
  <c r="AU23" i="62"/>
  <c r="BA20" i="62"/>
  <c r="AW7" i="62"/>
  <c r="AZ7" i="62"/>
  <c r="AW25" i="62"/>
  <c r="AX25" i="62"/>
  <c r="AW26" i="62"/>
  <c r="AV19" i="62"/>
  <c r="BA19" i="62"/>
  <c r="BC15" i="62"/>
  <c r="AU15" i="62"/>
  <c r="AT28" i="62"/>
  <c r="AX28" i="62"/>
  <c r="AX27" i="62"/>
  <c r="AZ27" i="62"/>
  <c r="BC5" i="62"/>
  <c r="AV9" i="62"/>
  <c r="AZ9" i="62"/>
  <c r="AY13" i="62"/>
  <c r="W13" i="62" s="1"/>
  <c r="AT13" i="62"/>
  <c r="R13" i="62" s="1"/>
  <c r="AW11" i="62"/>
  <c r="AU6" i="62"/>
  <c r="AV6" i="62"/>
  <c r="AU3" i="62"/>
  <c r="AW3" i="62"/>
  <c r="BB8" i="62"/>
  <c r="AZ18" i="62"/>
  <c r="AW18" i="62"/>
  <c r="AX10" i="62"/>
  <c r="AT10" i="62"/>
  <c r="AU22" i="62"/>
  <c r="AW22" i="62"/>
  <c r="AU14" i="62"/>
  <c r="AV21" i="62"/>
  <c r="AT21" i="62"/>
  <c r="AX4" i="62"/>
  <c r="AT24" i="62"/>
  <c r="BB24" i="62"/>
  <c r="AV12" i="62"/>
  <c r="AU12" i="62"/>
  <c r="AU17" i="62"/>
  <c r="AT16" i="62"/>
  <c r="AX16" i="62"/>
  <c r="BB29" i="62"/>
  <c r="AT23" i="62"/>
  <c r="AZ20" i="62"/>
  <c r="AX20" i="62"/>
  <c r="BB7" i="62"/>
  <c r="AY7" i="62"/>
  <c r="AV25" i="62"/>
  <c r="AX26" i="62"/>
  <c r="AV26" i="62"/>
  <c r="AY19" i="62"/>
  <c r="AZ19" i="62"/>
  <c r="AT15" i="62"/>
  <c r="BC28" i="62"/>
  <c r="BA28" i="62"/>
  <c r="AW27" i="62"/>
  <c r="BB5" i="62"/>
  <c r="AZ5" i="62"/>
  <c r="BA9" i="62"/>
  <c r="AX9" i="62"/>
  <c r="AX13" i="62"/>
  <c r="AY11" i="62"/>
  <c r="AU11" i="62"/>
  <c r="AZ6" i="62"/>
  <c r="AX6" i="62"/>
  <c r="AZ3" i="62"/>
  <c r="AX8" i="62"/>
  <c r="AT8" i="62"/>
  <c r="AX18" i="62"/>
  <c r="AV10" i="62"/>
  <c r="AZ10" i="62"/>
  <c r="BC22" i="62"/>
  <c r="BB14" i="62"/>
  <c r="BC14" i="62"/>
  <c r="AY21" i="62"/>
  <c r="BC21" i="62"/>
  <c r="AZ4" i="62"/>
  <c r="AV4" i="62"/>
  <c r="BC24" i="62"/>
  <c r="BA24" i="62"/>
  <c r="AZ12" i="62"/>
  <c r="AZ17" i="62"/>
  <c r="BA17" i="62"/>
  <c r="BC16" i="62"/>
  <c r="AV16" i="62"/>
  <c r="BA29" i="62"/>
  <c r="AZ29" i="62"/>
  <c r="BA23" i="62"/>
  <c r="AT20" i="62"/>
  <c r="AV20" i="62"/>
  <c r="AV7" i="62"/>
  <c r="BA7" i="62"/>
  <c r="AU25" i="62"/>
  <c r="BA26" i="62"/>
  <c r="AT26" i="62"/>
  <c r="AX19" i="62"/>
  <c r="AU19" i="62"/>
  <c r="BA15" i="62"/>
  <c r="AW28" i="62"/>
  <c r="AV28" i="62"/>
  <c r="BC27" i="62"/>
  <c r="AV5" i="62"/>
  <c r="AX5" i="62"/>
  <c r="AU9" i="62"/>
  <c r="AY9" i="62"/>
  <c r="AU13" i="62"/>
  <c r="S13" i="62" s="1"/>
  <c r="AX11" i="62"/>
  <c r="BA11" i="62"/>
  <c r="AT6" i="62"/>
  <c r="AW6" i="62"/>
  <c r="AT3" i="62"/>
  <c r="BC8" i="62"/>
  <c r="BA8" i="62"/>
  <c r="AU18" i="62"/>
  <c r="AW10" i="62"/>
  <c r="BA10" i="62"/>
  <c r="AT22" i="62"/>
  <c r="AV14" i="62"/>
  <c r="AT14" i="62"/>
  <c r="AW21" i="62"/>
  <c r="AX21" i="62"/>
  <c r="AT4" i="62"/>
  <c r="BC4" i="62"/>
  <c r="AW24" i="62"/>
  <c r="AV24" i="62"/>
  <c r="AT12" i="62"/>
  <c r="AT17" i="62"/>
  <c r="AY17" i="62"/>
  <c r="AW16" i="62"/>
  <c r="BA16" i="62"/>
  <c r="AU29" i="62"/>
  <c r="BC29" i="62"/>
  <c r="BB23" i="62"/>
  <c r="AX23" i="62"/>
  <c r="BC20" i="62"/>
  <c r="AY20" i="62"/>
  <c r="AX7" i="62"/>
  <c r="AZ25" i="62"/>
  <c r="BA25" i="62"/>
  <c r="AU26" i="62"/>
  <c r="BC26" i="62"/>
  <c r="AW19" i="62"/>
  <c r="AY15" i="62"/>
  <c r="AX15" i="62"/>
  <c r="AU28" i="62"/>
  <c r="BB27" i="62"/>
  <c r="AT27" i="62"/>
  <c r="BA5" i="62"/>
  <c r="AW5" i="62"/>
  <c r="AT9" i="62"/>
  <c r="AZ13" i="62"/>
  <c r="L13" i="62" s="1"/>
  <c r="BB13" i="62"/>
  <c r="N13" i="62" s="1"/>
  <c r="BB11" i="62"/>
  <c r="AT11" i="62"/>
  <c r="BC6" i="62"/>
  <c r="BB3" i="62"/>
  <c r="BC3" i="62"/>
  <c r="AW8" i="62"/>
  <c r="AZ8" i="62"/>
  <c r="BB18" i="62"/>
  <c r="BC18" i="62"/>
  <c r="BC10" i="62"/>
  <c r="BB22" i="62"/>
  <c r="AZ22" i="62"/>
  <c r="AY14" i="62"/>
  <c r="BA14" i="62"/>
  <c r="AU21" i="62"/>
  <c r="AY4" i="62"/>
  <c r="AW4" i="62"/>
  <c r="AY24" i="62"/>
  <c r="BC12" i="62"/>
  <c r="BA12" i="62"/>
  <c r="BC17" i="62"/>
  <c r="BB17" i="62"/>
  <c r="AU16" i="62"/>
  <c r="AX29" i="62"/>
  <c r="AY29" i="62"/>
  <c r="AV23" i="62"/>
  <c r="AW23" i="62"/>
  <c r="AW20" i="62"/>
  <c r="AU20" i="62"/>
  <c r="AU7" i="62"/>
  <c r="AT25" i="62"/>
  <c r="AY25" i="62"/>
  <c r="BB26" i="62"/>
  <c r="AY26" i="62"/>
  <c r="BC19" i="62"/>
  <c r="BB15" i="62"/>
  <c r="AW15" i="62"/>
  <c r="BB28" i="62"/>
  <c r="AV27" i="62"/>
  <c r="BA27" i="62"/>
  <c r="AU5" i="62"/>
  <c r="AY5" i="62"/>
  <c r="AW9" i="62"/>
  <c r="BC13" i="62"/>
  <c r="O13" i="62" s="1"/>
  <c r="BA13" i="62"/>
  <c r="M13" i="62" s="1"/>
  <c r="AV11" i="62"/>
  <c r="BC11" i="62"/>
  <c r="BB6" i="62"/>
  <c r="AV3" i="62"/>
  <c r="AY3" i="62"/>
  <c r="AV8" i="62"/>
  <c r="AY8" i="62"/>
  <c r="AV18" i="62"/>
  <c r="AT18" i="62"/>
  <c r="AU10" i="62"/>
  <c r="AV22" i="62"/>
  <c r="AX22" i="62"/>
  <c r="AZ14" i="62"/>
  <c r="AW14" i="62"/>
  <c r="BA21" i="62"/>
  <c r="BB4" i="62"/>
  <c r="AU4" i="62"/>
  <c r="AX24" i="62"/>
  <c r="AW12" i="62"/>
  <c r="AY12" i="62"/>
  <c r="AW17" i="62"/>
  <c r="AX17" i="62"/>
  <c r="BB16" i="62"/>
  <c r="AW29" i="62"/>
  <c r="AT29" i="62"/>
  <c r="E13" i="62"/>
  <c r="D13" i="62"/>
  <c r="V13" i="62"/>
  <c r="X13" i="62"/>
  <c r="J13" i="62"/>
  <c r="G13" i="62" l="1"/>
  <c r="F13" i="62"/>
  <c r="U13" i="62"/>
  <c r="Z13" i="62"/>
  <c r="AA13" i="62"/>
  <c r="T13" i="62"/>
  <c r="Y13" i="62"/>
  <c r="K13" i="62"/>
  <c r="C13" i="62" l="1"/>
  <c r="Q13" i="62"/>
  <c r="J19" i="40" l="1"/>
  <c r="J27" i="40"/>
  <c r="J16" i="40"/>
  <c r="J4" i="40"/>
  <c r="AG4" i="62" s="1"/>
  <c r="J12" i="40"/>
  <c r="J8" i="40"/>
  <c r="J15" i="40"/>
  <c r="J14" i="40"/>
  <c r="J20" i="40"/>
  <c r="J9" i="40"/>
  <c r="J6" i="40"/>
  <c r="J7" i="40"/>
  <c r="J28" i="40"/>
  <c r="J10" i="40"/>
  <c r="J5" i="40"/>
  <c r="H3" i="40"/>
  <c r="AS4" i="62" l="1"/>
  <c r="F4" i="62" s="1"/>
  <c r="AC4" i="62"/>
  <c r="K3" i="40"/>
  <c r="K16" i="40"/>
  <c r="K15" i="40"/>
  <c r="K7" i="40"/>
  <c r="K27" i="40"/>
  <c r="K8" i="40"/>
  <c r="K28" i="40"/>
  <c r="K4" i="40"/>
  <c r="K19" i="40"/>
  <c r="K9" i="40"/>
  <c r="K5" i="40"/>
  <c r="K6" i="40"/>
  <c r="K23" i="40"/>
  <c r="K12" i="40"/>
  <c r="K20" i="40"/>
  <c r="K10" i="40"/>
  <c r="K14" i="40"/>
  <c r="U4" i="62" l="1"/>
  <c r="AA4" i="62"/>
  <c r="H4" i="62"/>
  <c r="I4" i="62"/>
  <c r="O4" i="62"/>
  <c r="T4" i="62"/>
  <c r="S4" i="62"/>
  <c r="K4" i="62"/>
  <c r="R4" i="62"/>
  <c r="X4" i="62"/>
  <c r="N4" i="62"/>
  <c r="Y4" i="62"/>
  <c r="G4" i="62"/>
  <c r="J4" i="62"/>
  <c r="W4" i="62"/>
  <c r="Z4" i="62"/>
  <c r="L4" i="62"/>
  <c r="V4" i="62"/>
  <c r="M4" i="62"/>
  <c r="E4" i="62"/>
  <c r="D4" i="62"/>
  <c r="C4" i="62" l="1"/>
  <c r="Q4" i="62"/>
  <c r="J25" i="40"/>
  <c r="J24" i="40"/>
  <c r="H35" i="40" l="1"/>
  <c r="K24" i="40"/>
  <c r="K25" i="40"/>
  <c r="AC7" i="62" l="1"/>
  <c r="AG7" i="62"/>
  <c r="AS7" i="62"/>
  <c r="AC3" i="62" l="1"/>
  <c r="D3" i="62" s="1"/>
  <c r="AS3" i="62"/>
  <c r="AG3" i="62"/>
  <c r="AS18" i="62"/>
  <c r="AG18" i="62"/>
  <c r="AC18" i="62"/>
  <c r="AC25" i="62"/>
  <c r="AG25" i="62"/>
  <c r="AS25" i="62"/>
  <c r="AG16" i="62"/>
  <c r="AC16" i="62"/>
  <c r="AS16" i="62"/>
  <c r="AS5" i="62"/>
  <c r="AC5" i="62"/>
  <c r="AG5" i="62"/>
  <c r="AS10" i="62"/>
  <c r="AC10" i="62"/>
  <c r="AG10" i="62"/>
  <c r="AG20" i="62"/>
  <c r="AC20" i="62"/>
  <c r="AS20" i="62"/>
  <c r="AS11" i="62"/>
  <c r="AG11" i="62"/>
  <c r="AC11" i="62"/>
  <c r="AS23" i="62"/>
  <c r="AG23" i="62"/>
  <c r="AC23" i="62"/>
  <c r="M7" i="62"/>
  <c r="U7" i="62"/>
  <c r="I7" i="62"/>
  <c r="F7" i="62"/>
  <c r="G7" i="62"/>
  <c r="W7" i="62"/>
  <c r="R7" i="62"/>
  <c r="X7" i="62"/>
  <c r="K7" i="62"/>
  <c r="Z7" i="62"/>
  <c r="V7" i="62"/>
  <c r="T7" i="62"/>
  <c r="L7" i="62"/>
  <c r="Y7" i="62"/>
  <c r="H7" i="62"/>
  <c r="O7" i="62"/>
  <c r="J7" i="62"/>
  <c r="S7" i="62"/>
  <c r="N7" i="62"/>
  <c r="AA7" i="62"/>
  <c r="AG15" i="62"/>
  <c r="AS15" i="62"/>
  <c r="AC15" i="62"/>
  <c r="AS8" i="62"/>
  <c r="AC8" i="62"/>
  <c r="AG8" i="62"/>
  <c r="D7" i="62"/>
  <c r="E7" i="62"/>
  <c r="AS6" i="62"/>
  <c r="AG6" i="62"/>
  <c r="AC6" i="62"/>
  <c r="AC14" i="62"/>
  <c r="AG14" i="62"/>
  <c r="AS14" i="62"/>
  <c r="AS17" i="62"/>
  <c r="AG17" i="62"/>
  <c r="AC17" i="62"/>
  <c r="AS19" i="62"/>
  <c r="AG19" i="62"/>
  <c r="AC19" i="62"/>
  <c r="AG24" i="62"/>
  <c r="AS24" i="62"/>
  <c r="AC24" i="62"/>
  <c r="AS21" i="62"/>
  <c r="AG21" i="62"/>
  <c r="AC21" i="62"/>
  <c r="AG29" i="62"/>
  <c r="AS29" i="62"/>
  <c r="AC29" i="62"/>
  <c r="AS9" i="62"/>
  <c r="AG9" i="62"/>
  <c r="AC9" i="62"/>
  <c r="AS26" i="62"/>
  <c r="AG26" i="62"/>
  <c r="AC26" i="62"/>
  <c r="AS27" i="62"/>
  <c r="AG27" i="62"/>
  <c r="AC27" i="62"/>
  <c r="AS22" i="62"/>
  <c r="AC22" i="62"/>
  <c r="AG22" i="62"/>
  <c r="AS12" i="62"/>
  <c r="AG12" i="62"/>
  <c r="AC12" i="62"/>
  <c r="AS28" i="62"/>
  <c r="AC28" i="62"/>
  <c r="AG28" i="62"/>
  <c r="F3" i="62" l="1"/>
  <c r="C7" i="62"/>
  <c r="Q7" i="62"/>
  <c r="E28" i="62"/>
  <c r="D28" i="62"/>
  <c r="Y6" i="62"/>
  <c r="U6" i="62"/>
  <c r="I6" i="62"/>
  <c r="Z6" i="62"/>
  <c r="T6" i="62"/>
  <c r="N6" i="62"/>
  <c r="O6" i="62"/>
  <c r="J6" i="62"/>
  <c r="R6" i="62"/>
  <c r="F6" i="62"/>
  <c r="X6" i="62"/>
  <c r="W6" i="62"/>
  <c r="H6" i="62"/>
  <c r="L6" i="62"/>
  <c r="S6" i="62"/>
  <c r="V6" i="62"/>
  <c r="G6" i="62"/>
  <c r="AA6" i="62"/>
  <c r="M6" i="62"/>
  <c r="K6" i="62"/>
  <c r="E22" i="62"/>
  <c r="D22" i="62"/>
  <c r="K14" i="62"/>
  <c r="W14" i="62"/>
  <c r="F14" i="62"/>
  <c r="R14" i="62"/>
  <c r="T14" i="62"/>
  <c r="H14" i="62"/>
  <c r="O14" i="62"/>
  <c r="Z14" i="62"/>
  <c r="G14" i="62"/>
  <c r="S14" i="62"/>
  <c r="M14" i="62"/>
  <c r="V14" i="62"/>
  <c r="X14" i="62"/>
  <c r="AA14" i="62"/>
  <c r="N14" i="62"/>
  <c r="U14" i="62"/>
  <c r="I14" i="62"/>
  <c r="Y14" i="62"/>
  <c r="L14" i="62"/>
  <c r="J14" i="62"/>
  <c r="M11" i="62"/>
  <c r="V11" i="62"/>
  <c r="S11" i="62"/>
  <c r="O11" i="62"/>
  <c r="N11" i="62"/>
  <c r="T11" i="62"/>
  <c r="W11" i="62"/>
  <c r="X11" i="62"/>
  <c r="H11" i="62"/>
  <c r="R11" i="62"/>
  <c r="J11" i="62"/>
  <c r="I11" i="62"/>
  <c r="G11" i="62"/>
  <c r="U11" i="62"/>
  <c r="F11" i="62"/>
  <c r="Y11" i="62"/>
  <c r="Z11" i="62"/>
  <c r="L11" i="62"/>
  <c r="K11" i="62"/>
  <c r="AA11" i="62"/>
  <c r="E12" i="62"/>
  <c r="D12" i="62"/>
  <c r="D26" i="62"/>
  <c r="E26" i="62"/>
  <c r="E21" i="62"/>
  <c r="D21" i="62"/>
  <c r="R24" i="62"/>
  <c r="N24" i="62"/>
  <c r="Y24" i="62"/>
  <c r="G24" i="62"/>
  <c r="I24" i="62"/>
  <c r="M24" i="62"/>
  <c r="J24" i="62"/>
  <c r="F24" i="62"/>
  <c r="O24" i="62"/>
  <c r="Z24" i="62"/>
  <c r="X24" i="62"/>
  <c r="AA24" i="62"/>
  <c r="V24" i="62"/>
  <c r="K24" i="62"/>
  <c r="S24" i="62"/>
  <c r="L24" i="62"/>
  <c r="U24" i="62"/>
  <c r="H24" i="62"/>
  <c r="T24" i="62"/>
  <c r="W24" i="62"/>
  <c r="D17" i="62"/>
  <c r="E17" i="62"/>
  <c r="E14" i="62"/>
  <c r="D14" i="62"/>
  <c r="E15" i="62"/>
  <c r="D15" i="62"/>
  <c r="E23" i="62"/>
  <c r="D23" i="62"/>
  <c r="Z10" i="62"/>
  <c r="M10" i="62"/>
  <c r="G10" i="62"/>
  <c r="I10" i="62"/>
  <c r="AA10" i="62"/>
  <c r="X10" i="62"/>
  <c r="V10" i="62"/>
  <c r="K10" i="62"/>
  <c r="U10" i="62"/>
  <c r="H10" i="62"/>
  <c r="Y10" i="62"/>
  <c r="J10" i="62"/>
  <c r="T10" i="62"/>
  <c r="F10" i="62"/>
  <c r="W10" i="62"/>
  <c r="N10" i="62"/>
  <c r="R10" i="62"/>
  <c r="S10" i="62"/>
  <c r="L10" i="62"/>
  <c r="O10" i="62"/>
  <c r="AA27" i="62"/>
  <c r="M27" i="62"/>
  <c r="O27" i="62"/>
  <c r="T27" i="62"/>
  <c r="F27" i="62"/>
  <c r="I27" i="62"/>
  <c r="V27" i="62"/>
  <c r="X27" i="62"/>
  <c r="R27" i="62"/>
  <c r="L27" i="62"/>
  <c r="S27" i="62"/>
  <c r="U27" i="62"/>
  <c r="Y27" i="62"/>
  <c r="G27" i="62"/>
  <c r="J27" i="62"/>
  <c r="N27" i="62"/>
  <c r="Z27" i="62"/>
  <c r="W27" i="62"/>
  <c r="H27" i="62"/>
  <c r="K27" i="62"/>
  <c r="E20" i="62"/>
  <c r="D20" i="62"/>
  <c r="Y12" i="62"/>
  <c r="R12" i="62"/>
  <c r="AA12" i="62"/>
  <c r="T12" i="62"/>
  <c r="J12" i="62"/>
  <c r="F12" i="62"/>
  <c r="V12" i="62"/>
  <c r="I12" i="62"/>
  <c r="H12" i="62"/>
  <c r="W12" i="62"/>
  <c r="X12" i="62"/>
  <c r="G12" i="62"/>
  <c r="O12" i="62"/>
  <c r="S12" i="62"/>
  <c r="Z12" i="62"/>
  <c r="U12" i="62"/>
  <c r="M12" i="62"/>
  <c r="K12" i="62"/>
  <c r="N12" i="62"/>
  <c r="L12" i="62"/>
  <c r="O26" i="62"/>
  <c r="Z26" i="62"/>
  <c r="X26" i="62"/>
  <c r="V26" i="62"/>
  <c r="H26" i="62"/>
  <c r="AA26" i="62"/>
  <c r="W26" i="62"/>
  <c r="G26" i="62"/>
  <c r="T26" i="62"/>
  <c r="S26" i="62"/>
  <c r="U26" i="62"/>
  <c r="F26" i="62"/>
  <c r="R26" i="62"/>
  <c r="L26" i="62"/>
  <c r="J26" i="62"/>
  <c r="N26" i="62"/>
  <c r="M26" i="62"/>
  <c r="K26" i="62"/>
  <c r="I26" i="62"/>
  <c r="Y26" i="62"/>
  <c r="J21" i="62"/>
  <c r="W21" i="62"/>
  <c r="X21" i="62"/>
  <c r="V21" i="62"/>
  <c r="L21" i="62"/>
  <c r="M21" i="62"/>
  <c r="O21" i="62"/>
  <c r="F21" i="62"/>
  <c r="U21" i="62"/>
  <c r="T21" i="62"/>
  <c r="AA21" i="62"/>
  <c r="S21" i="62"/>
  <c r="G21" i="62"/>
  <c r="H21" i="62"/>
  <c r="R21" i="62"/>
  <c r="I21" i="62"/>
  <c r="Y21" i="62"/>
  <c r="N21" i="62"/>
  <c r="K21" i="62"/>
  <c r="Z21" i="62"/>
  <c r="H17" i="62"/>
  <c r="X17" i="62"/>
  <c r="O17" i="62"/>
  <c r="S17" i="62"/>
  <c r="R17" i="62"/>
  <c r="W17" i="62"/>
  <c r="L17" i="62"/>
  <c r="Z17" i="62"/>
  <c r="M17" i="62"/>
  <c r="T17" i="62"/>
  <c r="N17" i="62"/>
  <c r="U17" i="62"/>
  <c r="J17" i="62"/>
  <c r="K17" i="62"/>
  <c r="F17" i="62"/>
  <c r="I17" i="62"/>
  <c r="AA17" i="62"/>
  <c r="G17" i="62"/>
  <c r="Y17" i="62"/>
  <c r="V17" i="62"/>
  <c r="X23" i="62"/>
  <c r="M23" i="62"/>
  <c r="F23" i="62"/>
  <c r="Z23" i="62"/>
  <c r="L23" i="62"/>
  <c r="K23" i="62"/>
  <c r="S23" i="62"/>
  <c r="R23" i="62"/>
  <c r="Y23" i="62"/>
  <c r="G23" i="62"/>
  <c r="O23" i="62"/>
  <c r="J23" i="62"/>
  <c r="V23" i="62"/>
  <c r="N23" i="62"/>
  <c r="U23" i="62"/>
  <c r="W23" i="62"/>
  <c r="H23" i="62"/>
  <c r="T23" i="62"/>
  <c r="I23" i="62"/>
  <c r="AA23" i="62"/>
  <c r="E10" i="62"/>
  <c r="D10" i="62"/>
  <c r="M25" i="62"/>
  <c r="L25" i="62"/>
  <c r="G25" i="62"/>
  <c r="F25" i="62"/>
  <c r="N25" i="62"/>
  <c r="S25" i="62"/>
  <c r="H25" i="62"/>
  <c r="AA25" i="62"/>
  <c r="I25" i="62"/>
  <c r="R25" i="62"/>
  <c r="K25" i="62"/>
  <c r="Z25" i="62"/>
  <c r="X25" i="62"/>
  <c r="J25" i="62"/>
  <c r="T25" i="62"/>
  <c r="U25" i="62"/>
  <c r="Y25" i="62"/>
  <c r="V25" i="62"/>
  <c r="W25" i="62"/>
  <c r="O25" i="62"/>
  <c r="S28" i="62"/>
  <c r="I28" i="62"/>
  <c r="X28" i="62"/>
  <c r="M28" i="62"/>
  <c r="Z28" i="62"/>
  <c r="T28" i="62"/>
  <c r="F28" i="62"/>
  <c r="AA28" i="62"/>
  <c r="K28" i="62"/>
  <c r="H28" i="62"/>
  <c r="J28" i="62"/>
  <c r="R28" i="62"/>
  <c r="O28" i="62"/>
  <c r="Y28" i="62"/>
  <c r="N28" i="62"/>
  <c r="W28" i="62"/>
  <c r="V28" i="62"/>
  <c r="U28" i="62"/>
  <c r="L28" i="62"/>
  <c r="G28" i="62"/>
  <c r="E27" i="62"/>
  <c r="D27" i="62"/>
  <c r="D29" i="62"/>
  <c r="E29" i="62"/>
  <c r="D19" i="62"/>
  <c r="E19" i="62"/>
  <c r="E6" i="62"/>
  <c r="D6" i="62"/>
  <c r="X8" i="62"/>
  <c r="K8" i="62"/>
  <c r="G8" i="62"/>
  <c r="S8" i="62"/>
  <c r="V8" i="62"/>
  <c r="Y8" i="62"/>
  <c r="I8" i="62"/>
  <c r="W8" i="62"/>
  <c r="AA8" i="62"/>
  <c r="F8" i="62"/>
  <c r="L8" i="62"/>
  <c r="T8" i="62"/>
  <c r="Z8" i="62"/>
  <c r="M8" i="62"/>
  <c r="U8" i="62"/>
  <c r="H8" i="62"/>
  <c r="O8" i="62"/>
  <c r="R8" i="62"/>
  <c r="J8" i="62"/>
  <c r="N8" i="62"/>
  <c r="S15" i="62"/>
  <c r="L15" i="62"/>
  <c r="O15" i="62"/>
  <c r="I15" i="62"/>
  <c r="T15" i="62"/>
  <c r="N15" i="62"/>
  <c r="V15" i="62"/>
  <c r="M15" i="62"/>
  <c r="U15" i="62"/>
  <c r="AA15" i="62"/>
  <c r="F15" i="62"/>
  <c r="G15" i="62"/>
  <c r="Z15" i="62"/>
  <c r="H15" i="62"/>
  <c r="R15" i="62"/>
  <c r="W15" i="62"/>
  <c r="J15" i="62"/>
  <c r="K15" i="62"/>
  <c r="Y15" i="62"/>
  <c r="X15" i="62"/>
  <c r="D25" i="62"/>
  <c r="E25" i="62"/>
  <c r="AA3" i="62"/>
  <c r="V3" i="62"/>
  <c r="Y3" i="62"/>
  <c r="J3" i="62"/>
  <c r="H3" i="62"/>
  <c r="G3" i="62"/>
  <c r="X3" i="62"/>
  <c r="N3" i="62"/>
  <c r="W3" i="62"/>
  <c r="U3" i="62"/>
  <c r="I3" i="62"/>
  <c r="R3" i="62"/>
  <c r="T3" i="62"/>
  <c r="M3" i="62"/>
  <c r="L3" i="62"/>
  <c r="S3" i="62"/>
  <c r="O3" i="62"/>
  <c r="Z3" i="62"/>
  <c r="K3" i="62"/>
  <c r="E8" i="62"/>
  <c r="D8" i="62"/>
  <c r="E16" i="62"/>
  <c r="D16" i="62"/>
  <c r="O22" i="62"/>
  <c r="U22" i="62"/>
  <c r="W22" i="62"/>
  <c r="G22" i="62"/>
  <c r="J22" i="62"/>
  <c r="Y22" i="62"/>
  <c r="V22" i="62"/>
  <c r="R22" i="62"/>
  <c r="T22" i="62"/>
  <c r="Z22" i="62"/>
  <c r="AA22" i="62"/>
  <c r="N22" i="62"/>
  <c r="H22" i="62"/>
  <c r="F22" i="62"/>
  <c r="S22" i="62"/>
  <c r="K22" i="62"/>
  <c r="X22" i="62"/>
  <c r="I22" i="62"/>
  <c r="L22" i="62"/>
  <c r="M22" i="62"/>
  <c r="E9" i="62"/>
  <c r="D9" i="62"/>
  <c r="Y29" i="62"/>
  <c r="J29" i="62"/>
  <c r="T29" i="62"/>
  <c r="N29" i="62"/>
  <c r="R29" i="62"/>
  <c r="L29" i="62"/>
  <c r="K29" i="62"/>
  <c r="G29" i="62"/>
  <c r="AA29" i="62"/>
  <c r="V29" i="62"/>
  <c r="U29" i="62"/>
  <c r="Z29" i="62"/>
  <c r="H29" i="62"/>
  <c r="O29" i="62"/>
  <c r="I29" i="62"/>
  <c r="M29" i="62"/>
  <c r="F29" i="62"/>
  <c r="X29" i="62"/>
  <c r="S29" i="62"/>
  <c r="W29" i="62"/>
  <c r="D24" i="62"/>
  <c r="E24" i="62"/>
  <c r="E11" i="62"/>
  <c r="D11" i="62"/>
  <c r="V20" i="62"/>
  <c r="M20" i="62"/>
  <c r="I20" i="62"/>
  <c r="Y20" i="62"/>
  <c r="U20" i="62"/>
  <c r="K20" i="62"/>
  <c r="X20" i="62"/>
  <c r="S20" i="62"/>
  <c r="O20" i="62"/>
  <c r="W20" i="62"/>
  <c r="R20" i="62"/>
  <c r="F20" i="62"/>
  <c r="AA20" i="62"/>
  <c r="T20" i="62"/>
  <c r="N20" i="62"/>
  <c r="L20" i="62"/>
  <c r="G20" i="62"/>
  <c r="H20" i="62"/>
  <c r="J20" i="62"/>
  <c r="Z20" i="62"/>
  <c r="W5" i="62"/>
  <c r="K5" i="62"/>
  <c r="T5" i="62"/>
  <c r="H5" i="62"/>
  <c r="J5" i="62"/>
  <c r="M5" i="62"/>
  <c r="Y5" i="62"/>
  <c r="I5" i="62"/>
  <c r="U5" i="62"/>
  <c r="N5" i="62"/>
  <c r="L5" i="62"/>
  <c r="X5" i="62"/>
  <c r="Z5" i="62"/>
  <c r="O5" i="62"/>
  <c r="AA5" i="62"/>
  <c r="R5" i="62"/>
  <c r="F5" i="62"/>
  <c r="G5" i="62"/>
  <c r="S5" i="62"/>
  <c r="V5" i="62"/>
  <c r="I16" i="62"/>
  <c r="X16" i="62"/>
  <c r="M16" i="62"/>
  <c r="W16" i="62"/>
  <c r="S16" i="62"/>
  <c r="O16" i="62"/>
  <c r="R16" i="62"/>
  <c r="Z16" i="62"/>
  <c r="AA16" i="62"/>
  <c r="N16" i="62"/>
  <c r="L16" i="62"/>
  <c r="V16" i="62"/>
  <c r="J16" i="62"/>
  <c r="Y16" i="62"/>
  <c r="F16" i="62"/>
  <c r="U16" i="62"/>
  <c r="G16" i="62"/>
  <c r="T16" i="62"/>
  <c r="K16" i="62"/>
  <c r="H16" i="62"/>
  <c r="D18" i="62"/>
  <c r="E18" i="62"/>
  <c r="E3" i="62"/>
  <c r="AA19" i="62"/>
  <c r="K19" i="62"/>
  <c r="M19" i="62"/>
  <c r="R19" i="62"/>
  <c r="U19" i="62"/>
  <c r="J19" i="62"/>
  <c r="H19" i="62"/>
  <c r="Z19" i="62"/>
  <c r="F19" i="62"/>
  <c r="W19" i="62"/>
  <c r="T19" i="62"/>
  <c r="S19" i="62"/>
  <c r="X19" i="62"/>
  <c r="O19" i="62"/>
  <c r="G19" i="62"/>
  <c r="Y19" i="62"/>
  <c r="I19" i="62"/>
  <c r="V19" i="62"/>
  <c r="L19" i="62"/>
  <c r="N19" i="62"/>
  <c r="R9" i="62"/>
  <c r="W9" i="62"/>
  <c r="Y9" i="62"/>
  <c r="O9" i="62"/>
  <c r="K9" i="62"/>
  <c r="U9" i="62"/>
  <c r="L9" i="62"/>
  <c r="J9" i="62"/>
  <c r="H9" i="62"/>
  <c r="S9" i="62"/>
  <c r="G9" i="62"/>
  <c r="F9" i="62"/>
  <c r="Z9" i="62"/>
  <c r="T9" i="62"/>
  <c r="V9" i="62"/>
  <c r="M9" i="62"/>
  <c r="I9" i="62"/>
  <c r="N9" i="62"/>
  <c r="AA9" i="62"/>
  <c r="X9" i="62"/>
  <c r="E5" i="62"/>
  <c r="D5" i="62"/>
  <c r="AA18" i="62"/>
  <c r="S18" i="62"/>
  <c r="K18" i="62"/>
  <c r="Y18" i="62"/>
  <c r="W18" i="62"/>
  <c r="Z18" i="62"/>
  <c r="H18" i="62"/>
  <c r="G18" i="62"/>
  <c r="J18" i="62"/>
  <c r="X18" i="62"/>
  <c r="T18" i="62"/>
  <c r="O18" i="62"/>
  <c r="R18" i="62"/>
  <c r="V18" i="62"/>
  <c r="I18" i="62"/>
  <c r="N18" i="62"/>
  <c r="U18" i="62"/>
  <c r="F18" i="62"/>
  <c r="L18" i="62"/>
  <c r="M18" i="62"/>
  <c r="C6" i="62" l="1"/>
  <c r="C18" i="62"/>
  <c r="C25" i="62"/>
  <c r="C17" i="62"/>
  <c r="C26" i="62"/>
  <c r="C28" i="62"/>
  <c r="C11" i="62"/>
  <c r="C9" i="62"/>
  <c r="C8" i="62"/>
  <c r="C15" i="62"/>
  <c r="C12" i="62"/>
  <c r="C22" i="62"/>
  <c r="C10" i="62"/>
  <c r="C23" i="62"/>
  <c r="C19" i="62"/>
  <c r="C16" i="62"/>
  <c r="C20" i="62"/>
  <c r="C5" i="62"/>
  <c r="C3" i="62"/>
  <c r="C14" i="62"/>
  <c r="C21" i="62"/>
  <c r="C27" i="62"/>
  <c r="C24" i="62"/>
  <c r="C29" i="62"/>
  <c r="Q8" i="62"/>
  <c r="Q12" i="62"/>
  <c r="Q5" i="62"/>
  <c r="Q25" i="62"/>
  <c r="Q23" i="62"/>
  <c r="Q14" i="62"/>
  <c r="Q21" i="62"/>
  <c r="Q18" i="62"/>
  <c r="Q16" i="62"/>
  <c r="Q20" i="62"/>
  <c r="Q29" i="62"/>
  <c r="Q17" i="62"/>
  <c r="Q27" i="62"/>
  <c r="Q10" i="62"/>
  <c r="Q15" i="62"/>
  <c r="Q22" i="62"/>
  <c r="Q28" i="62"/>
  <c r="Q11" i="62"/>
  <c r="Q19" i="62"/>
  <c r="Q9" i="62"/>
  <c r="Q3" i="62"/>
  <c r="Q26" i="62"/>
  <c r="Q24" i="62"/>
  <c r="Q6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tc={BB025EFF-88A9-4FB7-81F4-8494E7DFC765}</author>
    <author>tc={7C071B44-ECF1-43C1-9A2E-D81AE539B9B2}</author>
  </authors>
  <commentList>
    <comment ref="L1" authorId="0" shapeId="0" xr:uid="{BB025EFF-88A9-4FB7-81F4-8494E7DFC7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Rapport interne ADEME - STM - réalisé par Compens8 en 2025. Commanditaires : Caroline MIR et Laurent Gagnepain - nom du fichier 20221206_Tableau de Bord Aluminium_avec Recyclage.xlsx</t>
      </text>
    </comment>
    <comment ref="B35" authorId="1" shapeId="0" xr:uid="{7C071B44-ECF1-43C1-9A2E-D81AE539B9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 Europe sur la base de tous les pays producteur en Europe</t>
      </text>
    </comment>
  </commentList>
</comments>
</file>

<file path=xl/sharedStrings.xml><?xml version="1.0" encoding="utf-8"?>
<sst xmlns="http://schemas.openxmlformats.org/spreadsheetml/2006/main" count="9939" uniqueCount="320">
  <si>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</si>
  <si>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</si>
  <si>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</si>
  <si>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</si>
  <si>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</si>
  <si>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</si>
  <si>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</si>
  <si>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</si>
  <si>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</si>
  <si>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</si>
  <si>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</si>
  <si>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</si>
  <si>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</si>
  <si>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Bolivia</t>
  </si>
  <si>
    <t>Brazil</t>
  </si>
  <si>
    <t>Bulgaria</t>
  </si>
  <si>
    <t>Canada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</si>
  <si>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</si>
  <si>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</si>
  <si>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</si>
  <si>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</si>
  <si>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</si>
  <si>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</si>
  <si>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</si>
  <si>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</si>
  <si>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Dominica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</si>
  <si>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</si>
  <si>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</si>
  <si>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</si>
  <si>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</si>
  <si>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</si>
  <si>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</si>
  <si>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</si>
  <si>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</si>
  <si>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French Polynesia</t>
  </si>
  <si>
    <t>Gabon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</si>
  <si>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</si>
  <si>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</si>
  <si>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</si>
  <si>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</si>
  <si>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</si>
  <si>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</si>
  <si>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</si>
  <si>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</si>
  <si>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</si>
  <si>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</si>
  <si>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</si>
  <si>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</si>
  <si>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</si>
  <si>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</si>
  <si>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</si>
  <si>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</si>
  <si>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</si>
  <si>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</si>
  <si>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</si>
  <si>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Kosovo</t>
  </si>
  <si>
    <t>Kuwait</t>
  </si>
  <si>
    <t>Kyrgyzstan</t>
  </si>
  <si>
    <t>Latvia</t>
  </si>
  <si>
    <t>Lebanon</t>
  </si>
  <si>
    <t>Liechtenstein</t>
  </si>
  <si>
    <t>Lithuania</t>
  </si>
  <si>
    <t>Luxembourg</t>
  </si>
  <si>
    <t>Macau</t>
  </si>
  <si>
    <t>Macedonia</t>
  </si>
  <si>
    <t>Malawi</t>
  </si>
  <si>
    <t>Malaysia</t>
  </si>
  <si>
    <t>Mali</t>
  </si>
  <si>
    <t>Malta</t>
  </si>
  <si>
    <t>Mauritius</t>
  </si>
  <si>
    <t>Mexico</t>
  </si>
  <si>
    <t>Mongolia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</si>
  <si>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</si>
  <si>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</si>
  <si>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</si>
  <si>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</si>
  <si>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</si>
  <si>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</si>
  <si>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</si>
  <si>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</si>
  <si>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</si>
  <si>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</si>
  <si>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</si>
  <si>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</si>
  <si>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</si>
  <si>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</si>
  <si>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</si>
  <si>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</si>
  <si>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</si>
  <si>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</si>
  <si>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Saudi Arabia</t>
  </si>
  <si>
    <t>Senegal</t>
  </si>
  <si>
    <t>Serbia</t>
  </si>
  <si>
    <t>Singapore</t>
  </si>
  <si>
    <t>Sint Maarten</t>
  </si>
  <si>
    <t>Slovakia</t>
  </si>
  <si>
    <t>Slovenia</t>
  </si>
  <si>
    <t>South Africa</t>
  </si>
  <si>
    <t>Spain</t>
  </si>
  <si>
    <t>Sri Lanka</t>
  </si>
  <si>
    <t>Sweden</t>
  </si>
  <si>
    <t>Switzerland</t>
  </si>
  <si>
    <t>Tanzania</t>
  </si>
  <si>
    <t>Thailand</t>
  </si>
  <si>
    <t>Togo</t>
  </si>
  <si>
    <t>Trinidad &amp; Tobago</t>
  </si>
  <si>
    <t>Tunisia</t>
  </si>
  <si>
    <t>Turkey</t>
  </si>
  <si>
    <t>Uganda</t>
  </si>
  <si>
    <t>United Arab Emirates</t>
  </si>
  <si>
    <t>United Kingdom</t>
  </si>
  <si>
    <t>Uruguay</t>
  </si>
  <si>
    <t>Vietnam</t>
  </si>
  <si>
    <t>Yemen</t>
  </si>
  <si>
    <t>Albania</t>
  </si>
  <si>
    <t>San Marino</t>
  </si>
  <si>
    <t>Sierra Leone</t>
  </si>
  <si>
    <t>Ukraine</t>
  </si>
  <si>
    <t>Uzbekistan</t>
  </si>
  <si>
    <t>Andorra</t>
  </si>
  <si>
    <t>Cameroon</t>
  </si>
  <si>
    <t>Madagascar</t>
  </si>
  <si>
    <t>Moldova</t>
  </si>
  <si>
    <t>Mozambique</t>
  </si>
  <si>
    <t>Afghanistan</t>
  </si>
  <si>
    <t>Benin</t>
  </si>
  <si>
    <t>Cambodia</t>
  </si>
  <si>
    <t>Congo</t>
  </si>
  <si>
    <t>Laos</t>
  </si>
  <si>
    <t>Sudan</t>
  </si>
  <si>
    <t>Zambia</t>
  </si>
  <si>
    <t>New Caledonia</t>
  </si>
  <si>
    <t>Ceuta</t>
  </si>
  <si>
    <t>Cuba</t>
  </si>
  <si>
    <t>Falkland Islands</t>
  </si>
  <si>
    <t>Gibraltar</t>
  </si>
  <si>
    <t>Melilla</t>
  </si>
  <si>
    <t>Eritrea</t>
  </si>
  <si>
    <t>Syria</t>
  </si>
  <si>
    <t>Tajikistan</t>
  </si>
  <si>
    <t>Namibia</t>
  </si>
  <si>
    <t>EU Suppression</t>
  </si>
  <si>
    <t>Non-EU Suppression</t>
  </si>
  <si>
    <t>Zimbabwe</t>
  </si>
  <si>
    <t>Faroe Islands</t>
  </si>
  <si>
    <t>Anguilla</t>
  </si>
  <si>
    <t>Aruba</t>
  </si>
  <si>
    <t>Bahamas</t>
  </si>
  <si>
    <t>Bermuda</t>
  </si>
  <si>
    <t>Brunei Darussalam</t>
  </si>
  <si>
    <t>Burkina Faso</t>
  </si>
  <si>
    <t>Cayman Islands</t>
  </si>
  <si>
    <t>Congo, Dem. Rep.</t>
  </si>
  <si>
    <t>Curacao</t>
  </si>
  <si>
    <t>Djibouti</t>
  </si>
  <si>
    <t>Fiji</t>
  </si>
  <si>
    <t>Grenada</t>
  </si>
  <si>
    <t>Jamaica</t>
  </si>
  <si>
    <t>Liberia</t>
  </si>
  <si>
    <t>Libya</t>
  </si>
  <si>
    <t>Maldives</t>
  </si>
  <si>
    <t>Micronesia (Federated States of)</t>
  </si>
  <si>
    <t>Montserrat</t>
  </si>
  <si>
    <t>Papua New Guinea</t>
  </si>
  <si>
    <t>South Sudan</t>
  </si>
  <si>
    <t>St. Kitts &amp; Nevis</t>
  </si>
  <si>
    <t>St. Lucia</t>
  </si>
  <si>
    <t>St. Vincent &amp; the Grenadines</t>
  </si>
  <si>
    <t>Suriname</t>
  </si>
  <si>
    <t>Turkmenistan</t>
  </si>
  <si>
    <t>Virgin Islands (British)</t>
  </si>
  <si>
    <t>Botswana</t>
  </si>
  <si>
    <t>Burundi</t>
  </si>
  <si>
    <t>Niger</t>
  </si>
  <si>
    <t>Central African Republic</t>
  </si>
  <si>
    <t>Somalia</t>
  </si>
  <si>
    <t>Cape Verde</t>
  </si>
  <si>
    <t>West Bank</t>
  </si>
  <si>
    <t>Bhutan</t>
  </si>
  <si>
    <t>Nepal</t>
  </si>
  <si>
    <t>Vatican City State</t>
  </si>
  <si>
    <t>Korea, North</t>
  </si>
  <si>
    <t>Rwanda</t>
  </si>
  <si>
    <t/>
  </si>
  <si>
    <t>World</t>
  </si>
  <si>
    <t>Chine</t>
  </si>
  <si>
    <t>Afrique</t>
  </si>
  <si>
    <t>Asie hors Chine et pays du Golfe persique</t>
  </si>
  <si>
    <t>Europe</t>
  </si>
  <si>
    <t>Pays du Golfe Persique</t>
  </si>
  <si>
    <t>Russie</t>
  </si>
  <si>
    <t>Océanie</t>
  </si>
  <si>
    <t>Amérique du sud</t>
  </si>
  <si>
    <t>Reste du monde</t>
  </si>
  <si>
    <t>Pays</t>
  </si>
  <si>
    <t>Amérique du Nord</t>
  </si>
  <si>
    <t>Pays producteur de VE</t>
  </si>
  <si>
    <t>Other Europe</t>
  </si>
  <si>
    <t>Other America</t>
  </si>
  <si>
    <t>Others</t>
  </si>
  <si>
    <t>Comoros</t>
  </si>
  <si>
    <t>Wallis &amp; Futuna Islands</t>
  </si>
  <si>
    <t>Other</t>
  </si>
  <si>
    <t>Region selon EcoIvent</t>
  </si>
  <si>
    <t>Imports consommés (t)</t>
  </si>
  <si>
    <t>Autoconso (prod - exports) - tonne</t>
  </si>
  <si>
    <t>Net imports (imports - exports) en tonne</t>
  </si>
  <si>
    <t>Net exports (exports - imports) en t</t>
  </si>
  <si>
    <t>Consommé (t) = auto + import consommé</t>
  </si>
  <si>
    <t>Russian Federation</t>
  </si>
  <si>
    <t>Area Nes</t>
  </si>
  <si>
    <t>Czechia</t>
  </si>
  <si>
    <t>Id</t>
  </si>
  <si>
    <t>Code_SH</t>
  </si>
  <si>
    <t>Etape cycle de vie</t>
  </si>
  <si>
    <t>Country Code</t>
  </si>
  <si>
    <t>Country Exchange</t>
  </si>
  <si>
    <t>Value Exchange 2022 (USD thousand)</t>
  </si>
  <si>
    <t>Part of Country Code in Exchange (%)</t>
  </si>
  <si>
    <t>Quantity Exchange 2022</t>
  </si>
  <si>
    <t>Quantity Unit</t>
  </si>
  <si>
    <t>Quantity Exchange 2022_B</t>
  </si>
  <si>
    <t>Quantity Unit_B</t>
  </si>
  <si>
    <t>Country Code Target</t>
  </si>
  <si>
    <t>Country Target</t>
  </si>
  <si>
    <t>Type</t>
  </si>
  <si>
    <t>03-Aluminium brut</t>
  </si>
  <si>
    <t>Tons</t>
  </si>
  <si>
    <t>Import</t>
  </si>
  <si>
    <t>United States of America</t>
  </si>
  <si>
    <t>Korea  Republic of</t>
  </si>
  <si>
    <t>Venezuela (Bolivarian Republic of)</t>
  </si>
  <si>
    <t>Viet Nam</t>
  </si>
  <si>
    <t>Taiwan  Province of China</t>
  </si>
  <si>
    <t>Iran (Islamic Republic of)</t>
  </si>
  <si>
    <t>No quantity</t>
  </si>
  <si>
    <t>Bosnia and Herzegovina</t>
  </si>
  <si>
    <t>Export</t>
  </si>
  <si>
    <t>Tanzania  United Republic of</t>
  </si>
  <si>
    <t>North Macedonia</t>
  </si>
  <si>
    <t>Cabo Verde</t>
  </si>
  <si>
    <t>Production</t>
  </si>
  <si>
    <t>RoW</t>
  </si>
  <si>
    <t>RER</t>
  </si>
  <si>
    <t xml:space="preserve">% RIR </t>
  </si>
  <si>
    <t>EOL Potentially recycled tonnes</t>
  </si>
  <si>
    <t>Import Alu product (t)</t>
  </si>
  <si>
    <t>Data Compens8</t>
  </si>
  <si>
    <t>New scraps (t) = % new scrap x (prod+import alu primaire + import produit alu)</t>
  </si>
  <si>
    <t>Production (t) alu primaire</t>
  </si>
  <si>
    <t>Exports (t) alu primaire</t>
  </si>
  <si>
    <t>Import (t) alu primaire</t>
  </si>
  <si>
    <t>Hong Kong, China</t>
  </si>
  <si>
    <t>Korea, Republic of</t>
  </si>
  <si>
    <t>Turks and Caicos Islands</t>
  </si>
  <si>
    <t>Türkiye</t>
  </si>
  <si>
    <t>Taipei, Chinese</t>
  </si>
  <si>
    <t>7601</t>
  </si>
  <si>
    <t>Importation depuis :</t>
  </si>
  <si>
    <t xml:space="preserve">Importation vers : </t>
  </si>
  <si>
    <t>Scrap RER</t>
  </si>
  <si>
    <t>Scrap RoW</t>
  </si>
  <si>
    <t>=RoW</t>
  </si>
  <si>
    <t>=Amerique</t>
  </si>
  <si>
    <t>Nom compens8</t>
  </si>
  <si>
    <t>Bosnia &amp; Herzegovina</t>
  </si>
  <si>
    <t>British Virgin Islands</t>
  </si>
  <si>
    <t>Congo, Democratic Republic of the</t>
  </si>
  <si>
    <t>Côte d'Ivoire</t>
  </si>
  <si>
    <t>Iran</t>
  </si>
  <si>
    <t>Korea, Democratic People's Republic of</t>
  </si>
  <si>
    <t>Korea, South</t>
  </si>
  <si>
    <t>Libya, State of</t>
  </si>
  <si>
    <t>Macedonia, North</t>
  </si>
  <si>
    <t>Moldova, Republic of</t>
  </si>
  <si>
    <t>Russia</t>
  </si>
  <si>
    <t>Tanzania, United Republic of</t>
  </si>
  <si>
    <t>Taiwan</t>
  </si>
  <si>
    <t>Venezuela</t>
  </si>
  <si>
    <t>Nom compens8 Alu</t>
  </si>
  <si>
    <t>Région Ecoinvent</t>
  </si>
  <si>
    <t>Pays Compens8</t>
  </si>
  <si>
    <t>Total</t>
  </si>
  <si>
    <t>Mix Pays (Primaire + secondaire)</t>
  </si>
  <si>
    <t>Zone retenue pour la modélisation dans Ecobalyse</t>
  </si>
  <si>
    <t>% Scrap</t>
  </si>
  <si>
    <t>% Autoconso</t>
  </si>
  <si>
    <t>% Import</t>
  </si>
  <si>
    <t>Origine</t>
  </si>
  <si>
    <t>Mix vierge (Primaire seul)</t>
  </si>
  <si>
    <t>Tableau de correspondance avec Compens8 et régions EcoInvent</t>
  </si>
  <si>
    <t>Résultat</t>
  </si>
  <si>
    <t>Auteurs :</t>
  </si>
  <si>
    <t>- Analyse et calcul de données GES : ADEME - STM (Caroline MIR, Laurent Gagnepain)</t>
  </si>
  <si>
    <t>- Refonte du fichier pour diffusion libre, intégration de données de Coût Environnemental : Ecobalyse (Nicolas Planchenault)</t>
  </si>
  <si>
    <t>*Pour l'aluminium issu du recyclage, calcul selon la CFF</t>
  </si>
  <si>
    <t>Données ArrièrePlan</t>
  </si>
  <si>
    <t>Autoconsommation</t>
  </si>
  <si>
    <t>Correspondance Pays</t>
  </si>
  <si>
    <t>compens8-Prod</t>
  </si>
  <si>
    <t>Onglet</t>
  </si>
  <si>
    <t>Synthèse par pays analysé des quantités d'autoconsommation, y compris recyclage</t>
  </si>
  <si>
    <t>Synthèse par pays analysé des quantités importées</t>
  </si>
  <si>
    <t>Table de correspondance pays Analyse / Conpens8 / Ecoinvent</t>
  </si>
  <si>
    <t>compens8-Import</t>
  </si>
  <si>
    <t>Table de données de production, pays par pays (compens8)</t>
  </si>
  <si>
    <t>Table de données d'importation, pays par pays (compens8)</t>
  </si>
  <si>
    <t>Données retraitées par Compens8 à partir d’UN Comtrade (United Nations Statistics Division), 2022</t>
  </si>
  <si>
    <t>Table de données d'exportation, pays par pays (compens8) (utiliser pour calculer des imports nets</t>
  </si>
  <si>
    <t>- Données Production, Import et Export (onglets dédiés) : COMPENS8 (Clément Bonnault, Nancy, compens-8.com), basé sur des données 2022</t>
  </si>
  <si>
    <t>- Données Taux de recyclage (colonnes Colonne L, M et O de l'onglet "autoconsommation") : COMPENS8 (Clément Bonnault, Nancy, compens-8.com), basé sur des données 2022</t>
  </si>
  <si>
    <t>Description</t>
  </si>
  <si>
    <t>Construction du mix marché par pays. Calcul des émissions et Cout Environnemental, selon les données d'Arrière plan complétées</t>
  </si>
  <si>
    <t>Les indicateurs d'impacts des données d'arrière plan ne peuvent être fournies pour des raisons de licence (base de données Ecoinvent).</t>
  </si>
  <si>
    <t>Ce fichier permet de construire des données marché à partir de données ICV de production pour l'aluminium</t>
  </si>
  <si>
    <t>Il fournit le pourcentage de chaque données ICV d'arrière plan à prendre en compte pour construire la données ICV recherchée.</t>
  </si>
  <si>
    <t>Pour cette raison, les indicateurs d'impacts des données construite sont à zero. Elles sont complétées automatiquement si les données d'arrière plan sont fournies.</t>
  </si>
  <si>
    <t>Données ICV de production, à compléter</t>
  </si>
  <si>
    <t>Indicateur d'impact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</si>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</sst>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theme="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/>
      <right/>
      <top/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4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5" fillId="0" borderId="0" xfId="0" applyFont="1"/>
    <xf numFmtId="0" fontId="0" fillId="0" borderId="4" xfId="0" applyBorder="1" applyAlignment="1">
      <alignment horizontal="left"/>
    </xf>
    <xf numFmtId="0" fontId="6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0" fillId="0" borderId="4" xfId="0" applyNumberFormat="1" applyBorder="1"/>
    <xf numFmtId="9" fontId="0" fillId="0" borderId="4" xfId="2" applyFont="1" applyBorder="1"/>
    <xf numFmtId="3" fontId="0" fillId="3" borderId="4" xfId="0" applyNumberFormat="1" applyFill="1" applyBorder="1"/>
    <xf numFmtId="0" fontId="2" fillId="5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3" fillId="7" borderId="4" xfId="0" applyFont="1" applyFill="1" applyBorder="1" applyAlignment="1">
      <alignment horizontal="center" vertical="center" wrapText="1"/>
    </xf>
    <xf numFmtId="3" fontId="0" fillId="0" borderId="4" xfId="2" applyNumberFormat="1" applyFont="1" applyBorder="1"/>
    <xf numFmtId="0" fontId="0" fillId="8" borderId="0" xfId="0" applyFill="1"/>
    <xf numFmtId="9" fontId="0" fillId="8" borderId="4" xfId="2" applyFont="1" applyFill="1" applyBorder="1"/>
    <xf numFmtId="3" fontId="0" fillId="8" borderId="4" xfId="2" applyNumberFormat="1" applyFont="1" applyFill="1" applyBorder="1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2" fontId="7" fillId="0" borderId="4" xfId="0" applyNumberFormat="1" applyFont="1" applyBorder="1" applyAlignment="1">
      <alignment vertical="center"/>
    </xf>
    <xf numFmtId="9" fontId="0" fillId="0" borderId="4" xfId="2" applyFont="1" applyBorder="1" applyAlignment="1">
      <alignment vertical="center"/>
    </xf>
    <xf numFmtId="9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2" fontId="6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9" fontId="0" fillId="0" borderId="4" xfId="0" applyNumberFormat="1" applyBorder="1" applyAlignment="1">
      <alignment vertical="center"/>
    </xf>
    <xf numFmtId="9" fontId="0" fillId="0" borderId="4" xfId="0" quotePrefix="1" applyNumberFormat="1" applyBorder="1" applyAlignment="1">
      <alignment vertical="center"/>
    </xf>
    <xf numFmtId="164" fontId="0" fillId="0" borderId="4" xfId="2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4" fontId="2" fillId="4" borderId="4" xfId="0" applyNumberFormat="1" applyFont="1" applyFill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8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left"/>
    </xf>
    <xf numFmtId="0" fontId="0" fillId="0" borderId="5" xfId="0" applyBorder="1" applyAlignment="1">
      <alignment horizontal="right"/>
    </xf>
    <xf numFmtId="0" fontId="0" fillId="0" borderId="1" xfId="0" applyBorder="1"/>
    <xf numFmtId="0" fontId="3" fillId="0" borderId="4" xfId="0" applyFont="1" applyBorder="1" applyAlignment="1">
      <alignment horizontal="left" vertical="center"/>
    </xf>
    <xf numFmtId="3" fontId="0" fillId="0" borderId="1" xfId="0" applyNumberFormat="1" applyBorder="1"/>
    <xf numFmtId="0" fontId="0" fillId="0" borderId="4" xfId="0" applyBorder="1" applyAlignment="1">
      <alignment wrapText="1"/>
    </xf>
    <xf numFmtId="2" fontId="7" fillId="10" borderId="4" xfId="0" applyNumberFormat="1" applyFont="1" applyFill="1" applyBorder="1" applyAlignment="1">
      <alignment vertical="center"/>
    </xf>
    <xf numFmtId="0" fontId="3" fillId="0" borderId="6" xfId="0" applyFont="1" applyBorder="1" applyAlignment="1">
      <alignment horizontal="right" vertical="top"/>
    </xf>
    <xf numFmtId="0" fontId="0" fillId="0" borderId="0" xfId="0" quotePrefix="1"/>
    <xf numFmtId="0" fontId="12" fillId="0" borderId="0" xfId="0" applyFont="1"/>
    <xf numFmtId="0" fontId="3" fillId="0" borderId="0" xfId="0" applyFont="1"/>
    <xf numFmtId="0" fontId="11" fillId="12" borderId="4" xfId="0" applyFont="1" applyFill="1" applyBorder="1"/>
    <xf numFmtId="0" fontId="0" fillId="9" borderId="4" xfId="0" applyFill="1" applyBorder="1"/>
    <xf numFmtId="0" fontId="11" fillId="14" borderId="4" xfId="0" applyFont="1" applyFill="1" applyBorder="1"/>
    <xf numFmtId="0" fontId="0" fillId="13" borderId="4" xfId="0" applyFill="1" applyBorder="1"/>
    <xf numFmtId="0" fontId="3" fillId="0" borderId="4" xfId="0" applyFont="1" applyBorder="1"/>
    <xf numFmtId="0" fontId="3" fillId="10" borderId="4" xfId="0" applyFont="1" applyFill="1" applyBorder="1" applyAlignment="1">
      <alignment vertical="center"/>
    </xf>
    <xf numFmtId="2" fontId="10" fillId="10" borderId="4" xfId="0" applyNumberFormat="1" applyFont="1" applyFill="1" applyBorder="1" applyAlignment="1">
      <alignment vertical="center"/>
    </xf>
    <xf numFmtId="1" fontId="7" fillId="11" borderId="4" xfId="0" applyNumberFormat="1" applyFont="1" applyFill="1" applyBorder="1" applyAlignment="1">
      <alignment vertical="center"/>
    </xf>
    <xf numFmtId="0" fontId="3" fillId="15" borderId="4" xfId="0" applyFont="1" applyFill="1" applyBorder="1" applyAlignment="1">
      <alignment vertical="center"/>
    </xf>
    <xf numFmtId="1" fontId="0" fillId="2" borderId="4" xfId="0" applyNumberFormat="1" applyFill="1" applyBorder="1" applyAlignment="1">
      <alignment vertical="center"/>
    </xf>
    <xf numFmtId="1" fontId="7" fillId="2" borderId="4" xfId="0" applyNumberFormat="1" applyFont="1" applyFill="1" applyBorder="1" applyAlignment="1">
      <alignment vertic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9" borderId="1" xfId="0" applyFill="1" applyBorder="1"/>
    <xf numFmtId="3" fontId="0" fillId="9" borderId="4" xfId="0" applyNumberFormat="1" applyFill="1" applyBorder="1"/>
    <xf numFmtId="3" fontId="0" fillId="9" borderId="4" xfId="2" applyNumberFormat="1" applyFont="1" applyFill="1" applyBorder="1"/>
  </cellXfs>
  <cellStyles count="3">
    <cellStyle name="Normal" xfId="0" builtinId="0"/>
    <cellStyle name="Normal 2" xfId="1" xr:uid="{00000000-0005-0000-0000-00000D000000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 Caroline" id="{2D9A4197-6D8B-4DED-8F0B-DE53FBD80121}" userId="S::caroline.mir@ademe.fr::75fc3b91-fc87-4515-bae9-bbab3cbb9543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4-06-17T13:36:20.31" personId="{2D9A4197-6D8B-4DED-8F0B-DE53FBD80121}" id="{BB025EFF-88A9-4FB7-81F4-8494E7DFC765}">
    <text>Rapport interne ADEME - STM - réalisé par Compens8 en 2025. Commanditaires : Caroline MIR et Laurent Gagnepain - nom du fichier 20221206_Tableau de Bord Aluminium_avec Recyclage.xlsx</text>
  </threadedComment>
  <threadedComment ref="B35" dT="2024-03-29T09:36:36.03" personId="{2D9A4197-6D8B-4DED-8F0B-DE53FBD80121}" id="{7C071B44-ECF1-43C1-9A2E-D81AE539B9B2}">
    <text>Calcul Europe sur la base de tous les pays producteur en Europe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E4BD-201B-4C11-8309-8C2F44C81788}">
  <sheetPr>
    <tabColor rgb="FFFF0000"/>
  </sheetPr>
  <dimension ref="A2:B21"/>
  <sheetViews>
    <sheetView showGridLines="0" tabSelected="1" workbookViewId="0">
      <selection activeCell="A3" sqref="A3"/>
    </sheetView>
  </sheetViews>
  <sheetFormatPr baseColWidth="10" defaultRowHeight="14.3" x14ac:dyDescent="0.25"/>
  <cols>
    <col min="1" max="1" width="21.875" customWidth="1"/>
    <col min="2" max="2" width="59.5" customWidth="1"/>
  </cols>
  <sheetData>
    <row r="2" spans="1:2" x14ac:dyDescent="0.25">
      <c r="A2" s="50" t="s">
        <v>314</v>
      </c>
    </row>
    <row r="3" spans="1:2" x14ac:dyDescent="0.25">
      <c r="A3" t="s">
        <v>315</v>
      </c>
    </row>
    <row r="4" spans="1:2" x14ac:dyDescent="0.25">
      <c r="A4" t="s">
        <v>313</v>
      </c>
    </row>
    <row r="5" spans="1:2" x14ac:dyDescent="0.25">
      <c r="A5" t="s">
        <v>316</v>
      </c>
    </row>
    <row r="7" spans="1:2" x14ac:dyDescent="0.25">
      <c r="A7" s="55" t="s">
        <v>300</v>
      </c>
      <c r="B7" s="55" t="s">
        <v>311</v>
      </c>
    </row>
    <row r="8" spans="1:2" ht="28.55" x14ac:dyDescent="0.25">
      <c r="A8" s="51" t="s">
        <v>291</v>
      </c>
      <c r="B8" s="45" t="s">
        <v>312</v>
      </c>
    </row>
    <row r="9" spans="1:2" x14ac:dyDescent="0.25">
      <c r="A9" s="52" t="s">
        <v>296</v>
      </c>
      <c r="B9" s="45" t="s">
        <v>317</v>
      </c>
    </row>
    <row r="10" spans="1:2" ht="28.55" x14ac:dyDescent="0.25">
      <c r="A10" s="53" t="s">
        <v>297</v>
      </c>
      <c r="B10" s="45" t="s">
        <v>301</v>
      </c>
    </row>
    <row r="11" spans="1:2" x14ac:dyDescent="0.25">
      <c r="A11" s="53" t="s">
        <v>228</v>
      </c>
      <c r="B11" s="45" t="s">
        <v>302</v>
      </c>
    </row>
    <row r="12" spans="1:2" x14ac:dyDescent="0.25">
      <c r="A12" s="2" t="s">
        <v>298</v>
      </c>
      <c r="B12" s="45" t="s">
        <v>303</v>
      </c>
    </row>
    <row r="13" spans="1:2" x14ac:dyDescent="0.25">
      <c r="A13" s="54" t="s">
        <v>299</v>
      </c>
      <c r="B13" s="45" t="s">
        <v>305</v>
      </c>
    </row>
    <row r="14" spans="1:2" x14ac:dyDescent="0.25">
      <c r="A14" s="54" t="s">
        <v>304</v>
      </c>
      <c r="B14" s="45" t="s">
        <v>306</v>
      </c>
    </row>
    <row r="15" spans="1:2" ht="28.55" x14ac:dyDescent="0.25">
      <c r="A15" s="54" t="s">
        <v>299</v>
      </c>
      <c r="B15" s="45" t="s">
        <v>308</v>
      </c>
    </row>
    <row r="17" spans="1:1" x14ac:dyDescent="0.25">
      <c r="A17" s="49" t="s">
        <v>292</v>
      </c>
    </row>
    <row r="18" spans="1:1" x14ac:dyDescent="0.25">
      <c r="A18" s="48" t="s">
        <v>293</v>
      </c>
    </row>
    <row r="19" spans="1:1" x14ac:dyDescent="0.25">
      <c r="A19" s="48" t="s">
        <v>294</v>
      </c>
    </row>
    <row r="20" spans="1:1" x14ac:dyDescent="0.25">
      <c r="A20" s="48" t="s">
        <v>309</v>
      </c>
    </row>
    <row r="21" spans="1:1" x14ac:dyDescent="0.25">
      <c r="A21" s="48" t="s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ADFF-CF61-4A44-9FA0-BF2744E3BB2A}">
  <sheetPr>
    <tabColor theme="1"/>
    <outlinePr summaryRight="0"/>
  </sheetPr>
  <dimension ref="A1:BD29"/>
  <sheetViews>
    <sheetView showGridLines="0" zoomScale="70" zoomScaleNormal="70" workbookViewId="0">
      <pane xSplit="1" ySplit="2" topLeftCell="B3" activePane="bottomRight" state="frozen"/>
      <selection pane="topRight" activeCell="B1" sqref="B1"/>
      <selection pane="bottomLeft" activeCell="A7" sqref="A7"/>
      <selection pane="bottomRight" activeCell="B21" sqref="B21"/>
    </sheetView>
  </sheetViews>
  <sheetFormatPr baseColWidth="10" defaultColWidth="10.875" defaultRowHeight="14.3" outlineLevelCol="1" x14ac:dyDescent="0.25"/>
  <cols>
    <col min="1" max="1" width="18.125" style="20" customWidth="1"/>
    <col min="2" max="2" width="14.375" style="20" customWidth="1"/>
    <col min="3" max="3" width="10.875" style="20"/>
    <col min="4" max="15" width="10.875" style="20" customWidth="1" outlineLevel="1"/>
    <col min="16" max="16" width="1.125" style="20" customWidth="1"/>
    <col min="17" max="17" width="10.875" style="20" collapsed="1"/>
    <col min="18" max="27" width="10.875" style="20" hidden="1" customWidth="1" outlineLevel="1"/>
    <col min="28" max="28" width="1.125" style="20" customWidth="1"/>
    <col min="29" max="29" width="10.875" style="20" customWidth="1" collapsed="1"/>
    <col min="30" max="31" width="10.875" style="20" hidden="1" customWidth="1" outlineLevel="1"/>
    <col min="32" max="32" width="1.125" style="20" hidden="1" customWidth="1" outlineLevel="1"/>
    <col min="33" max="33" width="10.875" style="20" collapsed="1"/>
    <col min="34" max="43" width="10.875" style="20" hidden="1" customWidth="1" outlineLevel="1"/>
    <col min="44" max="44" width="1.125" style="20" customWidth="1"/>
    <col min="45" max="45" width="10.875" style="20" collapsed="1"/>
    <col min="46" max="55" width="10.875" style="20" hidden="1" customWidth="1" outlineLevel="1"/>
    <col min="56" max="16384" width="10.875" style="20"/>
  </cols>
  <sheetData>
    <row r="1" spans="1:56" x14ac:dyDescent="0.25">
      <c r="C1" s="22" t="s">
        <v>283</v>
      </c>
      <c r="Q1" s="22" t="s">
        <v>289</v>
      </c>
    </row>
    <row r="2" spans="1:56" ht="28.55" x14ac:dyDescent="0.25">
      <c r="A2" s="6" t="s">
        <v>196</v>
      </c>
      <c r="B2" s="47" t="s">
        <v>288</v>
      </c>
      <c r="C2" s="59" t="s">
        <v>319</v>
      </c>
      <c r="D2" s="46" t="s">
        <v>260</v>
      </c>
      <c r="E2" s="46" t="s">
        <v>261</v>
      </c>
      <c r="F2" s="46" t="s">
        <v>195</v>
      </c>
      <c r="G2" s="46" t="s">
        <v>185</v>
      </c>
      <c r="H2" s="46" t="s">
        <v>186</v>
      </c>
      <c r="I2" s="46" t="s">
        <v>187</v>
      </c>
      <c r="J2" s="46" t="s">
        <v>188</v>
      </c>
      <c r="K2" s="46" t="s">
        <v>189</v>
      </c>
      <c r="L2" s="46" t="s">
        <v>190</v>
      </c>
      <c r="M2" s="46" t="s">
        <v>191</v>
      </c>
      <c r="N2" s="46" t="s">
        <v>192</v>
      </c>
      <c r="O2" s="46" t="s">
        <v>193</v>
      </c>
      <c r="Q2" s="59" t="s">
        <v>319</v>
      </c>
      <c r="R2" s="27" t="s">
        <v>195</v>
      </c>
      <c r="S2" s="23" t="s">
        <v>185</v>
      </c>
      <c r="T2" s="23" t="s">
        <v>186</v>
      </c>
      <c r="U2" s="23" t="s">
        <v>187</v>
      </c>
      <c r="V2" s="23" t="s">
        <v>188</v>
      </c>
      <c r="W2" s="23" t="s">
        <v>189</v>
      </c>
      <c r="X2" s="23" t="s">
        <v>190</v>
      </c>
      <c r="Y2" s="23" t="s">
        <v>191</v>
      </c>
      <c r="Z2" s="23" t="s">
        <v>192</v>
      </c>
      <c r="AA2" s="23" t="s">
        <v>193</v>
      </c>
      <c r="AC2" s="56" t="s">
        <v>285</v>
      </c>
      <c r="AD2" s="46" t="s">
        <v>243</v>
      </c>
      <c r="AE2" s="46" t="s">
        <v>242</v>
      </c>
      <c r="AG2" s="56" t="s">
        <v>286</v>
      </c>
      <c r="AH2" s="46" t="s">
        <v>195</v>
      </c>
      <c r="AI2" s="46" t="s">
        <v>185</v>
      </c>
      <c r="AJ2" s="46" t="s">
        <v>186</v>
      </c>
      <c r="AK2" s="46" t="s">
        <v>187</v>
      </c>
      <c r="AL2" s="46" t="s">
        <v>188</v>
      </c>
      <c r="AM2" s="46" t="s">
        <v>189</v>
      </c>
      <c r="AN2" s="46" t="s">
        <v>190</v>
      </c>
      <c r="AO2" s="46" t="s">
        <v>191</v>
      </c>
      <c r="AP2" s="46" t="s">
        <v>192</v>
      </c>
      <c r="AQ2" s="46" t="s">
        <v>193</v>
      </c>
      <c r="AS2" s="57" t="s">
        <v>287</v>
      </c>
      <c r="AT2" s="46" t="s">
        <v>195</v>
      </c>
      <c r="AU2" s="46" t="s">
        <v>185</v>
      </c>
      <c r="AV2" s="46" t="s">
        <v>186</v>
      </c>
      <c r="AW2" s="46" t="s">
        <v>187</v>
      </c>
      <c r="AX2" s="46" t="s">
        <v>188</v>
      </c>
      <c r="AY2" s="46" t="s">
        <v>189</v>
      </c>
      <c r="AZ2" s="46" t="s">
        <v>190</v>
      </c>
      <c r="BA2" s="46" t="s">
        <v>191</v>
      </c>
      <c r="BB2" s="46" t="s">
        <v>192</v>
      </c>
      <c r="BC2" s="46" t="s">
        <v>193</v>
      </c>
    </row>
    <row r="3" spans="1:56" x14ac:dyDescent="0.25">
      <c r="A3" s="28" t="s">
        <v>37</v>
      </c>
      <c r="B3" s="29" t="s">
        <v>188</v>
      </c>
      <c r="C3" s="58">
        <f>SUMPRODUCT('Données ArrièrePlan'!$B$3:$M$3,$D3:$O3)</f>
        <v>0</v>
      </c>
      <c r="D3" s="32">
        <f>$AC3*AD3</f>
        <v>0.4193324671396953</v>
      </c>
      <c r="E3" s="32">
        <f t="shared" ref="E3:E29" si="0">$AC3*AE3</f>
        <v>0</v>
      </c>
      <c r="F3" s="32">
        <f>$AG3*AH3+$AS3*AT3</f>
        <v>5.0913231210528726E-3</v>
      </c>
      <c r="G3" s="32">
        <f t="shared" ref="G3:G29" si="1">$AG3*AI3+$AS3*AU3</f>
        <v>0</v>
      </c>
      <c r="H3" s="32">
        <f t="shared" ref="H3:H29" si="2">$AG3*AJ3+$AS3*AV3</f>
        <v>2.2005262802766615E-2</v>
      </c>
      <c r="I3" s="32">
        <f t="shared" ref="I3:I29" si="3">$AG3*AK3+$AS3*AW3</f>
        <v>1.4121508907710316E-2</v>
      </c>
      <c r="J3" s="32">
        <f t="shared" ref="J3:J29" si="4">$AG3*AL3+$AS3*AX3</f>
        <v>0.44189803118386517</v>
      </c>
      <c r="K3" s="32">
        <f t="shared" ref="K3:K29" si="5">$AG3*AM3+$AS3*AY3</f>
        <v>5.7799056836752197E-2</v>
      </c>
      <c r="L3" s="32">
        <f t="shared" ref="L3:L29" si="6">$AG3*AN3+$AS3*AZ3</f>
        <v>2.9672390303581712E-2</v>
      </c>
      <c r="M3" s="32">
        <f t="shared" ref="M3:M29" si="7">$AG3*AO3+$AS3*BA3</f>
        <v>0</v>
      </c>
      <c r="N3" s="32">
        <f t="shared" ref="N3:N29" si="8">$AG3*AP3+$AS3*BB3</f>
        <v>0</v>
      </c>
      <c r="O3" s="32">
        <f t="shared" ref="O3:O29" si="9">$AG3*AQ3+$AS3*BC3</f>
        <v>1.0079959704575828E-2</v>
      </c>
      <c r="Q3" s="58">
        <f>SUMPRODUCT('Données ArrièrePlan'!$D$3:$M$3,$R3:$AA3)</f>
        <v>0</v>
      </c>
      <c r="R3" s="32">
        <f>($AG3*AH3+$AS3*AT3)/($AS3+$AG3)</f>
        <v>8.7680519969380276E-3</v>
      </c>
      <c r="S3" s="32">
        <f t="shared" ref="S3:AA18" si="10">($AG3*AI3+$AS3*AU3)/($AS3+$AG3)</f>
        <v>0</v>
      </c>
      <c r="T3" s="32">
        <f t="shared" si="10"/>
        <v>3.7896492497817298E-2</v>
      </c>
      <c r="U3" s="32">
        <f t="shared" si="10"/>
        <v>2.4319439452984929E-2</v>
      </c>
      <c r="V3" s="32">
        <f t="shared" si="10"/>
        <v>0.76101728816681702</v>
      </c>
      <c r="W3" s="32">
        <f t="shared" si="10"/>
        <v>9.9538984988605042E-2</v>
      </c>
      <c r="X3" s="32">
        <f t="shared" si="10"/>
        <v>5.1100481126297462E-2</v>
      </c>
      <c r="Y3" s="32">
        <f t="shared" si="10"/>
        <v>0</v>
      </c>
      <c r="Z3" s="32">
        <f t="shared" si="10"/>
        <v>0</v>
      </c>
      <c r="AA3" s="32">
        <f t="shared" si="10"/>
        <v>1.7359261770540278E-2</v>
      </c>
      <c r="AC3" s="24">
        <f>(AutoConsommation!M3+AutoConsommation!O3)/SUM(AutoConsommation!$I3,AutoConsommation!$J3,AutoConsommation!$M3,AutoConsommation!$O3)</f>
        <v>0.4193324671396953</v>
      </c>
      <c r="AD3" s="24">
        <f>IF(_xlfn.XLOOKUP($A3,AutoConsommation!$B:$B,AutoConsommation!$A:$A)=Résultats!AD$2,1,0)</f>
        <v>1</v>
      </c>
      <c r="AE3" s="24">
        <f>IF(_xlfn.XLOOKUP($A3,AutoConsommation!$B:$B,AutoConsommation!$A:$A)=Résultats!AE$2,1,0)</f>
        <v>0</v>
      </c>
      <c r="AG3" s="24">
        <f>(AutoConsommation!I3)/SUM(AutoConsommation!$I3,AutoConsommation!$J3,AutoConsommation!$M3,AutoConsommation!$O3)</f>
        <v>8.6566238995135519E-2</v>
      </c>
      <c r="AH3" s="24">
        <f>IF(_xlfn.XLOOKUP($A3,'Correspondances pays'!$A$4:$A$205,'Correspondances pays'!$C$4:$C$205)=Résultats!AH$2,1,0)</f>
        <v>0</v>
      </c>
      <c r="AI3" s="24">
        <f>IF(_xlfn.XLOOKUP($A3,'Correspondances pays'!$A$4:$A$205,'Correspondances pays'!$C$4:$C$205)=Résultats!AI$2,1,0)</f>
        <v>0</v>
      </c>
      <c r="AJ3" s="24">
        <f>IF(_xlfn.XLOOKUP($A3,'Correspondances pays'!$A$4:$A$205,'Correspondances pays'!$C$4:$C$205)=Résultats!AJ$2,1,0)</f>
        <v>0</v>
      </c>
      <c r="AK3" s="24">
        <f>IF(_xlfn.XLOOKUP($A3,'Correspondances pays'!$A$4:$A$205,'Correspondances pays'!$C$4:$C$205)=Résultats!AK$2,1,0)</f>
        <v>0</v>
      </c>
      <c r="AL3" s="24">
        <f>IF(_xlfn.XLOOKUP($A3,'Correspondances pays'!$A$4:$A$205,'Correspondances pays'!$C$4:$C$205)=Résultats!AL$2,1,0)</f>
        <v>1</v>
      </c>
      <c r="AM3" s="24">
        <f>IF(_xlfn.XLOOKUP($A3,'Correspondances pays'!$A$4:$A$205,'Correspondances pays'!$C$4:$C$205)=Résultats!AM$2,1,0)</f>
        <v>0</v>
      </c>
      <c r="AN3" s="24">
        <f>IF(_xlfn.XLOOKUP($A3,'Correspondances pays'!$A$4:$A$205,'Correspondances pays'!$C$4:$C$205)=Résultats!AN$2,1,0)</f>
        <v>0</v>
      </c>
      <c r="AO3" s="24">
        <f>IF(_xlfn.XLOOKUP($A3,'Correspondances pays'!$A$4:$A$205,'Correspondances pays'!$C$4:$C$205)=Résultats!AO$2,1,0)</f>
        <v>0</v>
      </c>
      <c r="AP3" s="24">
        <f>IF(_xlfn.XLOOKUP($A3,'Correspondances pays'!$A$4:$A$205,'Correspondances pays'!$C$4:$C$205)=Résultats!AP$2,1,0)</f>
        <v>0</v>
      </c>
      <c r="AQ3" s="24">
        <f>IF(_xlfn.XLOOKUP($A3,'Correspondances pays'!$A$4:$A$205,'Correspondances pays'!$C$4:$C$205)=Résultats!AQ$2,1,0)</f>
        <v>0</v>
      </c>
      <c r="AS3" s="24">
        <f>(AutoConsommation!J3)/SUM(AutoConsommation!$I3,AutoConsommation!$J3,AutoConsommation!$M3,AutoConsommation!$O3)</f>
        <v>0.49410129386516916</v>
      </c>
      <c r="AT3" s="24">
        <f>SUMIF(Import!$E$2:$CN$2,AT$2,Import!$E4:CN4)/Import!$D4</f>
        <v>1.0304209246701949E-2</v>
      </c>
      <c r="AU3" s="24">
        <f>SUMIF(Import!$E$2:$CN$2,AU$2,Import!$E4:CO4)/Import!$D4</f>
        <v>0</v>
      </c>
      <c r="AV3" s="24">
        <f>SUMIF(Import!$E$2:$CN$2,AV$2,Import!$E4:CP4)/Import!$D4</f>
        <v>4.453593438427917E-2</v>
      </c>
      <c r="AW3" s="24">
        <f>SUMIF(Import!$E$2:$CN$2,AW$2,Import!$E4:CQ4)/Import!$D4</f>
        <v>2.8580190100784896E-2</v>
      </c>
      <c r="AX3" s="24">
        <f>SUMIF(Import!$E$2:$CN$2,AX$2,Import!$E4:CR4)/Import!$D4</f>
        <v>0.71914766587454615</v>
      </c>
      <c r="AY3" s="24">
        <f>SUMIF(Import!$E$2:$CN$2,AY$2,Import!$E4:CS4)/Import!$D4</f>
        <v>0.11697815317303027</v>
      </c>
      <c r="AZ3" s="24">
        <f>SUMIF(Import!$E$2:$CN$2,AZ$2,Import!$E4:CT4)/Import!$D4</f>
        <v>6.0053253597993496E-2</v>
      </c>
      <c r="BA3" s="24">
        <f>SUMIF(Import!$E$2:$CN$2,BA$2,Import!$E4:CU4)/Import!$D4</f>
        <v>0</v>
      </c>
      <c r="BB3" s="24">
        <f>SUMIF(Import!$E$2:$CN$2,BB$2,Import!$E4:CV4)/Import!$D4</f>
        <v>0</v>
      </c>
      <c r="BC3" s="24">
        <f>SUMIF(Import!$E$2:$CN$2,BC$2,Import!$E4:CW4)/Import!$D4</f>
        <v>2.0400593622664054E-2</v>
      </c>
      <c r="BD3" s="25"/>
    </row>
    <row r="4" spans="1:56" x14ac:dyDescent="0.25">
      <c r="A4" s="28" t="s">
        <v>5</v>
      </c>
      <c r="B4" s="29" t="s">
        <v>188</v>
      </c>
      <c r="C4" s="58">
        <f>SUMPRODUCT('Données ArrièrePlan'!$B$3:$M$3,$D4:$O4)</f>
        <v>0</v>
      </c>
      <c r="D4" s="32">
        <f t="shared" ref="D4:D29" si="11">$AC4*AD4</f>
        <v>0.52270721192711134</v>
      </c>
      <c r="E4" s="32">
        <f t="shared" si="0"/>
        <v>0</v>
      </c>
      <c r="F4" s="32">
        <f>$AG4*AH4+$AS4*AT4</f>
        <v>5.9135359036508626E-3</v>
      </c>
      <c r="G4" s="32">
        <f t="shared" si="1"/>
        <v>1.1200932711621047E-3</v>
      </c>
      <c r="H4" s="32">
        <f t="shared" si="2"/>
        <v>1.6192652724408686E-3</v>
      </c>
      <c r="I4" s="32">
        <f t="shared" si="3"/>
        <v>4.1873052023645449E-3</v>
      </c>
      <c r="J4" s="32">
        <f t="shared" si="4"/>
        <v>0.41543894179596647</v>
      </c>
      <c r="K4" s="32">
        <f t="shared" si="5"/>
        <v>2.7700567520439843E-2</v>
      </c>
      <c r="L4" s="32">
        <f t="shared" si="6"/>
        <v>1.3455903093704383E-2</v>
      </c>
      <c r="M4" s="32">
        <f t="shared" si="7"/>
        <v>9.035535005725363E-4</v>
      </c>
      <c r="N4" s="32">
        <f t="shared" si="8"/>
        <v>0</v>
      </c>
      <c r="O4" s="32">
        <f t="shared" si="9"/>
        <v>6.9536225125871034E-3</v>
      </c>
      <c r="Q4" s="58">
        <f>SUMPRODUCT('Données ArrièrePlan'!$D$3:$M$3,R4:AA4)</f>
        <v>0</v>
      </c>
      <c r="R4" s="32">
        <f t="shared" ref="R4:AA29" si="12">($AG4*AH4+$AS4*AT4)/($AS4+$AG4)</f>
        <v>1.2389744935236252E-2</v>
      </c>
      <c r="S4" s="32">
        <f t="shared" si="10"/>
        <v>2.3467634524388667E-3</v>
      </c>
      <c r="T4" s="32">
        <f t="shared" si="10"/>
        <v>3.3926036866779269E-3</v>
      </c>
      <c r="U4" s="32">
        <f t="shared" si="10"/>
        <v>8.7730326269356701E-3</v>
      </c>
      <c r="V4" s="32">
        <f t="shared" si="10"/>
        <v>0.87040691202005682</v>
      </c>
      <c r="W4" s="32">
        <f t="shared" si="10"/>
        <v>5.8036844915011813E-2</v>
      </c>
      <c r="X4" s="32">
        <f t="shared" si="10"/>
        <v>2.819213579160449E-2</v>
      </c>
      <c r="Y4" s="32">
        <f t="shared" si="10"/>
        <v>1.8930801452515392E-3</v>
      </c>
      <c r="Z4" s="32">
        <f t="shared" si="10"/>
        <v>0</v>
      </c>
      <c r="AA4" s="32">
        <f t="shared" si="10"/>
        <v>1.4568882426786629E-2</v>
      </c>
      <c r="AC4" s="24">
        <f>(AutoConsommation!M4+AutoConsommation!O4)/SUM(AutoConsommation!$I4,AutoConsommation!$J4,AutoConsommation!$M4,AutoConsommation!$O4)</f>
        <v>0.52270721192711134</v>
      </c>
      <c r="AD4" s="24">
        <f>IF(_xlfn.XLOOKUP($A4,AutoConsommation!$B:$B,AutoConsommation!$A:$A)=Résultats!AD$2,1,0)</f>
        <v>1</v>
      </c>
      <c r="AE4" s="24">
        <f>IF(_xlfn.XLOOKUP($A4,AutoConsommation!$B:$B,AutoConsommation!$A:$A)=Résultats!AE$2,1,0)</f>
        <v>0</v>
      </c>
      <c r="AG4" s="24">
        <f>(AutoConsommation!I4)/SUM(AutoConsommation!$I4,AutoConsommation!$J4,AutoConsommation!$M4,AutoConsommation!$O4)</f>
        <v>0</v>
      </c>
      <c r="AH4" s="24">
        <f>IF(_xlfn.XLOOKUP($A4,'Correspondances pays'!$A$4:$A$205,'Correspondances pays'!$C$4:$C$205)=Résultats!AH$2,1,0)</f>
        <v>0</v>
      </c>
      <c r="AI4" s="24">
        <f>IF(_xlfn.XLOOKUP($A4,'Correspondances pays'!$A$4:$A$205,'Correspondances pays'!$C$4:$C$205)=Résultats!AI$2,1,0)</f>
        <v>0</v>
      </c>
      <c r="AJ4" s="24">
        <f>IF(_xlfn.XLOOKUP($A4,'Correspondances pays'!$A$4:$A$205,'Correspondances pays'!$C$4:$C$205)=Résultats!AJ$2,1,0)</f>
        <v>0</v>
      </c>
      <c r="AK4" s="24">
        <f>IF(_xlfn.XLOOKUP($A4,'Correspondances pays'!$A$4:$A$205,'Correspondances pays'!$C$4:$C$205)=Résultats!AK$2,1,0)</f>
        <v>0</v>
      </c>
      <c r="AL4" s="24">
        <f>IF(_xlfn.XLOOKUP($A4,'Correspondances pays'!$A$4:$A$205,'Correspondances pays'!$C$4:$C$205)=Résultats!AL$2,1,0)</f>
        <v>1</v>
      </c>
      <c r="AM4" s="24">
        <f>IF(_xlfn.XLOOKUP($A4,'Correspondances pays'!$A$4:$A$205,'Correspondances pays'!$C$4:$C$205)=Résultats!AM$2,1,0)</f>
        <v>0</v>
      </c>
      <c r="AN4" s="24">
        <f>IF(_xlfn.XLOOKUP($A4,'Correspondances pays'!$A$4:$A$205,'Correspondances pays'!$C$4:$C$205)=Résultats!AN$2,1,0)</f>
        <v>0</v>
      </c>
      <c r="AO4" s="24">
        <f>IF(_xlfn.XLOOKUP($A4,'Correspondances pays'!$A$4:$A$205,'Correspondances pays'!$C$4:$C$205)=Résultats!AO$2,1,0)</f>
        <v>0</v>
      </c>
      <c r="AP4" s="24">
        <f>IF(_xlfn.XLOOKUP($A4,'Correspondances pays'!$A$4:$A$205,'Correspondances pays'!$C$4:$C$205)=Résultats!AP$2,1,0)</f>
        <v>0</v>
      </c>
      <c r="AQ4" s="24">
        <f>IF(_xlfn.XLOOKUP($A4,'Correspondances pays'!$A$4:$A$205,'Correspondances pays'!$C$4:$C$205)=Résultats!AQ$2,1,0)</f>
        <v>0</v>
      </c>
      <c r="AS4" s="24">
        <f>(AutoConsommation!J4)/SUM(AutoConsommation!$I4,AutoConsommation!$J4,AutoConsommation!$M4,AutoConsommation!$O4)</f>
        <v>0.47729278807288872</v>
      </c>
      <c r="AT4" s="24">
        <f>SUMIF(Import!$E$2:$CN$2,AT$2,Import!$E5:CN5)/Import!$D5</f>
        <v>1.2389744935236252E-2</v>
      </c>
      <c r="AU4" s="24">
        <f>SUMIF(Import!$E$2:$CN$2,AU$2,Import!$E5:CO5)/Import!$D5</f>
        <v>2.3467634524388667E-3</v>
      </c>
      <c r="AV4" s="24">
        <f>SUMIF(Import!$E$2:$CN$2,AV$2,Import!$E5:CP5)/Import!$D5</f>
        <v>3.3926036866779269E-3</v>
      </c>
      <c r="AW4" s="24">
        <f>SUMIF(Import!$E$2:$CN$2,AW$2,Import!$E5:CQ5)/Import!$D5</f>
        <v>8.7730326269356701E-3</v>
      </c>
      <c r="AX4" s="24">
        <f>SUMIF(Import!$E$2:$CN$2,AX$2,Import!$E5:CR5)/Import!$D5</f>
        <v>0.87040691202005682</v>
      </c>
      <c r="AY4" s="24">
        <f>SUMIF(Import!$E$2:$CN$2,AY$2,Import!$E5:CS5)/Import!$D5</f>
        <v>5.8036844915011813E-2</v>
      </c>
      <c r="AZ4" s="24">
        <f>SUMIF(Import!$E$2:$CN$2,AZ$2,Import!$E5:CT5)/Import!$D5</f>
        <v>2.819213579160449E-2</v>
      </c>
      <c r="BA4" s="24">
        <f>SUMIF(Import!$E$2:$CN$2,BA$2,Import!$E5:CU5)/Import!$D5</f>
        <v>1.8930801452515392E-3</v>
      </c>
      <c r="BB4" s="24">
        <f>SUMIF(Import!$E$2:$CN$2,BB$2,Import!$E5:CV5)/Import!$D5</f>
        <v>0</v>
      </c>
      <c r="BC4" s="24">
        <f>SUMIF(Import!$E$2:$CN$2,BC$2,Import!$E5:CW5)/Import!$D5</f>
        <v>1.4568882426786629E-2</v>
      </c>
      <c r="BD4" s="25"/>
    </row>
    <row r="5" spans="1:56" x14ac:dyDescent="0.25">
      <c r="A5" s="28" t="s">
        <v>11</v>
      </c>
      <c r="B5" s="29" t="s">
        <v>188</v>
      </c>
      <c r="C5" s="58">
        <f>SUMPRODUCT('Données ArrièrePlan'!$B$3:$M$3,$D5:$O5)</f>
        <v>0</v>
      </c>
      <c r="D5" s="32">
        <f t="shared" si="11"/>
        <v>0.55148443800296121</v>
      </c>
      <c r="E5" s="32">
        <f t="shared" si="0"/>
        <v>0</v>
      </c>
      <c r="F5" s="32">
        <f t="shared" ref="F5:F29" si="13">$AG5*AH5+$AS5*AT5</f>
        <v>9.025248638252838E-4</v>
      </c>
      <c r="G5" s="32">
        <f t="shared" si="1"/>
        <v>0</v>
      </c>
      <c r="H5" s="32">
        <f t="shared" si="2"/>
        <v>3.4823262723326122E-2</v>
      </c>
      <c r="I5" s="32">
        <f t="shared" si="3"/>
        <v>3.1532596225446297E-2</v>
      </c>
      <c r="J5" s="32">
        <f t="shared" si="4"/>
        <v>0.34263874770508568</v>
      </c>
      <c r="K5" s="32">
        <f t="shared" si="5"/>
        <v>1.1377897721482792E-2</v>
      </c>
      <c r="L5" s="32">
        <f t="shared" si="6"/>
        <v>2.6425471680007997E-2</v>
      </c>
      <c r="M5" s="32">
        <f t="shared" si="7"/>
        <v>6.1478168392593076E-4</v>
      </c>
      <c r="N5" s="32">
        <f t="shared" si="8"/>
        <v>2.0027939393875682E-4</v>
      </c>
      <c r="O5" s="32">
        <f t="shared" si="9"/>
        <v>0</v>
      </c>
      <c r="Q5" s="58">
        <f>SUMPRODUCT('Données ArrièrePlan'!$D$3:$M$3,R5:AA5)</f>
        <v>0</v>
      </c>
      <c r="R5" s="32">
        <f t="shared" si="12"/>
        <v>2.0122487162022762E-3</v>
      </c>
      <c r="S5" s="32">
        <f t="shared" si="10"/>
        <v>0</v>
      </c>
      <c r="T5" s="32">
        <f t="shared" si="10"/>
        <v>7.7641147094815913E-2</v>
      </c>
      <c r="U5" s="32">
        <f t="shared" si="10"/>
        <v>7.03043526183256E-2</v>
      </c>
      <c r="V5" s="32">
        <f t="shared" si="10"/>
        <v>0.76393948557652902</v>
      </c>
      <c r="W5" s="32">
        <f t="shared" si="10"/>
        <v>2.5367899545830942E-2</v>
      </c>
      <c r="X5" s="32">
        <f t="shared" si="10"/>
        <v>5.8917624981276485E-2</v>
      </c>
      <c r="Y5" s="32">
        <f t="shared" si="10"/>
        <v>1.370703128311944E-3</v>
      </c>
      <c r="Z5" s="32">
        <f t="shared" si="10"/>
        <v>4.465383387078085E-4</v>
      </c>
      <c r="AA5" s="32">
        <f t="shared" si="10"/>
        <v>0</v>
      </c>
      <c r="AC5" s="24">
        <f>(AutoConsommation!M5+AutoConsommation!O5)/SUM(AutoConsommation!$I5,AutoConsommation!$J5,AutoConsommation!$M5,AutoConsommation!$O5)</f>
        <v>0.55148443800296121</v>
      </c>
      <c r="AD5" s="24">
        <f>IF(_xlfn.XLOOKUP($A5,AutoConsommation!$B:$B,AutoConsommation!$A:$A)=Résultats!AD$2,1,0)</f>
        <v>1</v>
      </c>
      <c r="AE5" s="24">
        <f>IF(_xlfn.XLOOKUP($A5,AutoConsommation!$B:$B,AutoConsommation!$A:$A)=Résultats!AE$2,1,0)</f>
        <v>0</v>
      </c>
      <c r="AG5" s="24">
        <f>(AutoConsommation!I5)/SUM(AutoConsommation!$I5,AutoConsommation!$J5,AutoConsommation!$M5,AutoConsommation!$O5)</f>
        <v>0</v>
      </c>
      <c r="AH5" s="24">
        <f>IF(_xlfn.XLOOKUP($A5,'Correspondances pays'!$A$4:$A$205,'Correspondances pays'!$C$4:$C$205)=Résultats!AH$2,1,0)</f>
        <v>0</v>
      </c>
      <c r="AI5" s="24">
        <f>IF(_xlfn.XLOOKUP($A5,'Correspondances pays'!$A$4:$A$205,'Correspondances pays'!$C$4:$C$205)=Résultats!AI$2,1,0)</f>
        <v>0</v>
      </c>
      <c r="AJ5" s="24">
        <f>IF(_xlfn.XLOOKUP($A5,'Correspondances pays'!$A$4:$A$205,'Correspondances pays'!$C$4:$C$205)=Résultats!AJ$2,1,0)</f>
        <v>0</v>
      </c>
      <c r="AK5" s="24">
        <f>IF(_xlfn.XLOOKUP($A5,'Correspondances pays'!$A$4:$A$205,'Correspondances pays'!$C$4:$C$205)=Résultats!AK$2,1,0)</f>
        <v>0</v>
      </c>
      <c r="AL5" s="24">
        <f>IF(_xlfn.XLOOKUP($A5,'Correspondances pays'!$A$4:$A$205,'Correspondances pays'!$C$4:$C$205)=Résultats!AL$2,1,0)</f>
        <v>1</v>
      </c>
      <c r="AM5" s="24">
        <f>IF(_xlfn.XLOOKUP($A5,'Correspondances pays'!$A$4:$A$205,'Correspondances pays'!$C$4:$C$205)=Résultats!AM$2,1,0)</f>
        <v>0</v>
      </c>
      <c r="AN5" s="24">
        <f>IF(_xlfn.XLOOKUP($A5,'Correspondances pays'!$A$4:$A$205,'Correspondances pays'!$C$4:$C$205)=Résultats!AN$2,1,0)</f>
        <v>0</v>
      </c>
      <c r="AO5" s="24">
        <f>IF(_xlfn.XLOOKUP($A5,'Correspondances pays'!$A$4:$A$205,'Correspondances pays'!$C$4:$C$205)=Résultats!AO$2,1,0)</f>
        <v>0</v>
      </c>
      <c r="AP5" s="24">
        <f>IF(_xlfn.XLOOKUP($A5,'Correspondances pays'!$A$4:$A$205,'Correspondances pays'!$C$4:$C$205)=Résultats!AP$2,1,0)</f>
        <v>0</v>
      </c>
      <c r="AQ5" s="24">
        <f>IF(_xlfn.XLOOKUP($A5,'Correspondances pays'!$A$4:$A$205,'Correspondances pays'!$C$4:$C$205)=Résultats!AQ$2,1,0)</f>
        <v>0</v>
      </c>
      <c r="AS5" s="24">
        <f>(AutoConsommation!J5)/SUM(AutoConsommation!$I5,AutoConsommation!$J5,AutoConsommation!$M5,AutoConsommation!$O5)</f>
        <v>0.44851556199703885</v>
      </c>
      <c r="AT5" s="24">
        <f>SUMIF(Import!$E$2:$CN$2,AT$2,Import!$E6:CN6)/Import!$D6</f>
        <v>2.0122487162022762E-3</v>
      </c>
      <c r="AU5" s="24">
        <f>SUMIF(Import!$E$2:$CN$2,AU$2,Import!$E6:CO6)/Import!$D6</f>
        <v>0</v>
      </c>
      <c r="AV5" s="24">
        <f>SUMIF(Import!$E$2:$CN$2,AV$2,Import!$E6:CP6)/Import!$D6</f>
        <v>7.7641147094815913E-2</v>
      </c>
      <c r="AW5" s="24">
        <f>SUMIF(Import!$E$2:$CN$2,AW$2,Import!$E6:CQ6)/Import!$D6</f>
        <v>7.03043526183256E-2</v>
      </c>
      <c r="AX5" s="24">
        <f>SUMIF(Import!$E$2:$CN$2,AX$2,Import!$E6:CR6)/Import!$D6</f>
        <v>0.76393948557652902</v>
      </c>
      <c r="AY5" s="24">
        <f>SUMIF(Import!$E$2:$CN$2,AY$2,Import!$E6:CS6)/Import!$D6</f>
        <v>2.5367899545830942E-2</v>
      </c>
      <c r="AZ5" s="24">
        <f>SUMIF(Import!$E$2:$CN$2,AZ$2,Import!$E6:CT6)/Import!$D6</f>
        <v>5.8917624981276479E-2</v>
      </c>
      <c r="BA5" s="24">
        <f>SUMIF(Import!$E$2:$CN$2,BA$2,Import!$E6:CU6)/Import!$D6</f>
        <v>1.3707031283119438E-3</v>
      </c>
      <c r="BB5" s="24">
        <f>SUMIF(Import!$E$2:$CN$2,BB$2,Import!$E6:CV6)/Import!$D6</f>
        <v>4.465383387078085E-4</v>
      </c>
      <c r="BC5" s="24">
        <f>SUMIF(Import!$E$2:$CN$2,BC$2,Import!$E6:CW6)/Import!$D6</f>
        <v>0</v>
      </c>
      <c r="BD5" s="25"/>
    </row>
    <row r="6" spans="1:56" x14ac:dyDescent="0.25">
      <c r="A6" s="28" t="s">
        <v>14</v>
      </c>
      <c r="B6" s="29" t="s">
        <v>242</v>
      </c>
      <c r="C6" s="58">
        <f>SUMPRODUCT('Données ArrièrePlan'!$B$3:$M$3,$D6:$O6)</f>
        <v>0</v>
      </c>
      <c r="D6" s="32">
        <f t="shared" si="11"/>
        <v>0</v>
      </c>
      <c r="E6" s="32">
        <f t="shared" si="0"/>
        <v>0.39920395433427536</v>
      </c>
      <c r="F6" s="32">
        <f t="shared" si="13"/>
        <v>1.3188800250071067E-4</v>
      </c>
      <c r="G6" s="32">
        <f t="shared" si="1"/>
        <v>2.0285312059753976E-4</v>
      </c>
      <c r="H6" s="32">
        <f t="shared" si="2"/>
        <v>1.9094303143770402E-2</v>
      </c>
      <c r="I6" s="32">
        <f t="shared" si="3"/>
        <v>5.0116771468023853E-2</v>
      </c>
      <c r="J6" s="32">
        <f t="shared" si="4"/>
        <v>6.4370717971793555E-3</v>
      </c>
      <c r="K6" s="32">
        <f t="shared" si="5"/>
        <v>5.3660340997141932E-2</v>
      </c>
      <c r="L6" s="32">
        <f t="shared" si="6"/>
        <v>4.7151634599619545E-3</v>
      </c>
      <c r="M6" s="32">
        <f t="shared" si="7"/>
        <v>2.4241282652529096E-2</v>
      </c>
      <c r="N6" s="32">
        <f t="shared" si="8"/>
        <v>0.43864543719019355</v>
      </c>
      <c r="O6" s="32">
        <f t="shared" si="9"/>
        <v>3.5509338338262403E-3</v>
      </c>
      <c r="Q6" s="58">
        <f>SUMPRODUCT('Données ArrièrePlan'!$D$3:$M$3,R6:AA6)</f>
        <v>0</v>
      </c>
      <c r="R6" s="32">
        <f t="shared" si="12"/>
        <v>2.1952208815650476E-4</v>
      </c>
      <c r="S6" s="32">
        <f t="shared" si="10"/>
        <v>3.3764057213919263E-4</v>
      </c>
      <c r="T6" s="32">
        <f t="shared" si="10"/>
        <v>3.1781672468587173E-2</v>
      </c>
      <c r="U6" s="32">
        <f t="shared" si="10"/>
        <v>8.3417279174151218E-2</v>
      </c>
      <c r="V6" s="32">
        <f t="shared" si="10"/>
        <v>1.071423795748626E-2</v>
      </c>
      <c r="W6" s="32">
        <f t="shared" si="10"/>
        <v>8.9315403096041468E-2</v>
      </c>
      <c r="X6" s="32">
        <f t="shared" si="10"/>
        <v>7.8481932329251911E-3</v>
      </c>
      <c r="Y6" s="32">
        <f t="shared" si="10"/>
        <v>4.0348605533293808E-2</v>
      </c>
      <c r="Z6" s="32">
        <f t="shared" si="10"/>
        <v>0.73010706437680239</v>
      </c>
      <c r="AA6" s="32">
        <f t="shared" si="10"/>
        <v>5.9103815004167577E-3</v>
      </c>
      <c r="AC6" s="24">
        <f>(AutoConsommation!M6+AutoConsommation!O6)/SUM(AutoConsommation!$I6,AutoConsommation!$J6,AutoConsommation!$M6,AutoConsommation!$O6)</f>
        <v>0.39920395433427536</v>
      </c>
      <c r="AD6" s="24">
        <f>IF(_xlfn.XLOOKUP($A6,AutoConsommation!$B:$B,AutoConsommation!$A:$A)=Résultats!AD$2,1,0)</f>
        <v>0</v>
      </c>
      <c r="AE6" s="24">
        <f>IF(_xlfn.XLOOKUP($A6,AutoConsommation!$B:$B,AutoConsommation!$A:$A)=Résultats!AE$2,1,0)</f>
        <v>1</v>
      </c>
      <c r="AG6" s="24">
        <f>(AutoConsommation!I6)/SUM(AutoConsommation!$I6,AutoConsommation!$J6,AutoConsommation!$M6,AutoConsommation!$O6)</f>
        <v>0.39144626935109406</v>
      </c>
      <c r="AH6" s="24">
        <f>IF(_xlfn.XLOOKUP($A6,'Correspondances pays'!$A$4:$A$205,'Correspondances pays'!$C$4:$C$205)=Résultats!AH$2,1,0)</f>
        <v>0</v>
      </c>
      <c r="AI6" s="24">
        <f>IF(_xlfn.XLOOKUP($A6,'Correspondances pays'!$A$4:$A$205,'Correspondances pays'!$C$4:$C$205)=Résultats!AI$2,1,0)</f>
        <v>0</v>
      </c>
      <c r="AJ6" s="24">
        <f>IF(_xlfn.XLOOKUP($A6,'Correspondances pays'!$A$4:$A$205,'Correspondances pays'!$C$4:$C$205)=Résultats!AJ$2,1,0)</f>
        <v>0</v>
      </c>
      <c r="AK6" s="24">
        <f>IF(_xlfn.XLOOKUP($A6,'Correspondances pays'!$A$4:$A$205,'Correspondances pays'!$C$4:$C$205)=Résultats!AK$2,1,0)</f>
        <v>0</v>
      </c>
      <c r="AL6" s="24">
        <f>IF(_xlfn.XLOOKUP($A6,'Correspondances pays'!$A$4:$A$205,'Correspondances pays'!$C$4:$C$205)=Résultats!AL$2,1,0)</f>
        <v>0</v>
      </c>
      <c r="AM6" s="24">
        <f>IF(_xlfn.XLOOKUP($A6,'Correspondances pays'!$A$4:$A$205,'Correspondances pays'!$C$4:$C$205)=Résultats!AM$2,1,0)</f>
        <v>0</v>
      </c>
      <c r="AN6" s="24">
        <f>IF(_xlfn.XLOOKUP($A6,'Correspondances pays'!$A$4:$A$205,'Correspondances pays'!$C$4:$C$205)=Résultats!AN$2,1,0)</f>
        <v>0</v>
      </c>
      <c r="AO6" s="24">
        <f>IF(_xlfn.XLOOKUP($A6,'Correspondances pays'!$A$4:$A$205,'Correspondances pays'!$C$4:$C$205)=Résultats!AO$2,1,0)</f>
        <v>0</v>
      </c>
      <c r="AP6" s="24">
        <f>IF(_xlfn.XLOOKUP($A6,'Correspondances pays'!$A$4:$A$205,'Correspondances pays'!$C$4:$C$205)=Résultats!AP$2,1,0)</f>
        <v>1</v>
      </c>
      <c r="AQ6" s="24">
        <f>IF(_xlfn.XLOOKUP($A6,'Correspondances pays'!$A$4:$A$205,'Correspondances pays'!$C$4:$C$205)=Résultats!AQ$2,1,0)</f>
        <v>0</v>
      </c>
      <c r="AS6" s="24">
        <f>(AutoConsommation!J6)/SUM(AutoConsommation!$I6,AutoConsommation!$J6,AutoConsommation!$M6,AutoConsommation!$O6)</f>
        <v>0.20934977631463059</v>
      </c>
      <c r="AT6" s="24">
        <f>SUMIF(Import!$E$2:$CN$2,AT$2,Import!$E7:CN7)/Import!$D7</f>
        <v>6.2998874334834224E-4</v>
      </c>
      <c r="AU6" s="24">
        <f>SUMIF(Import!$E$2:$CN$2,AU$2,Import!$E7:CO7)/Import!$D7</f>
        <v>9.6896745804338929E-4</v>
      </c>
      <c r="AV6" s="24">
        <f>SUMIF(Import!$E$2:$CN$2,AV$2,Import!$E7:CP7)/Import!$D7</f>
        <v>9.120765963978715E-2</v>
      </c>
      <c r="AW6" s="24">
        <f>SUMIF(Import!$E$2:$CN$2,AW$2,Import!$E7:CQ7)/Import!$D7</f>
        <v>0.23939252455996726</v>
      </c>
      <c r="AX6" s="24">
        <f>SUMIF(Import!$E$2:$CN$2,AX$2,Import!$E7:CR7)/Import!$D7</f>
        <v>3.0747927752762996E-2</v>
      </c>
      <c r="AY6" s="24">
        <f>SUMIF(Import!$E$2:$CN$2,AY$2,Import!$E7:CS7)/Import!$D7</f>
        <v>0.25631907490790012</v>
      </c>
      <c r="AZ6" s="24">
        <f>SUMIF(Import!$E$2:$CN$2,AZ$2,Import!$E7:CT7)/Import!$D7</f>
        <v>2.2522897052803928E-2</v>
      </c>
      <c r="BA6" s="24">
        <f>SUMIF(Import!$E$2:$CN$2,BA$2,Import!$E7:CU7)/Import!$D7</f>
        <v>0.11579321019238641</v>
      </c>
      <c r="BB6" s="24">
        <f>SUMIF(Import!$E$2:$CN$2,BB$2,Import!$E7:CV7)/Import!$D7</f>
        <v>0.22545602230863693</v>
      </c>
      <c r="BC6" s="24">
        <f>SUMIF(Import!$E$2:$CN$2,BC$2,Import!$E7:CW7)/Import!$D7</f>
        <v>1.6961727384363488E-2</v>
      </c>
      <c r="BD6" s="25"/>
    </row>
    <row r="7" spans="1:56" x14ac:dyDescent="0.25">
      <c r="A7" s="28" t="s">
        <v>18</v>
      </c>
      <c r="B7" s="29" t="s">
        <v>242</v>
      </c>
      <c r="C7" s="58">
        <f>SUMPRODUCT('Données ArrièrePlan'!$B$3:$M$3,$D7:$O7)</f>
        <v>0</v>
      </c>
      <c r="D7" s="32">
        <f t="shared" si="11"/>
        <v>0</v>
      </c>
      <c r="E7" s="32">
        <f t="shared" si="0"/>
        <v>0.19368231441282965</v>
      </c>
      <c r="F7" s="32">
        <f t="shared" si="13"/>
        <v>0</v>
      </c>
      <c r="G7" s="32">
        <f t="shared" si="1"/>
        <v>0.77132333382197382</v>
      </c>
      <c r="H7" s="32">
        <f t="shared" si="2"/>
        <v>9.8142954051085485E-4</v>
      </c>
      <c r="I7" s="32">
        <f t="shared" si="3"/>
        <v>8.1829589223733797E-3</v>
      </c>
      <c r="J7" s="32">
        <f t="shared" si="4"/>
        <v>2.3740068751620041E-4</v>
      </c>
      <c r="K7" s="32">
        <f t="shared" si="5"/>
        <v>1.3871240858003317E-3</v>
      </c>
      <c r="L7" s="32">
        <f t="shared" si="6"/>
        <v>1.0075469152561588E-2</v>
      </c>
      <c r="M7" s="32">
        <f t="shared" si="7"/>
        <v>5.479059601606217E-4</v>
      </c>
      <c r="N7" s="32">
        <f t="shared" si="8"/>
        <v>2.8042507435699306E-4</v>
      </c>
      <c r="O7" s="32">
        <f t="shared" si="9"/>
        <v>1.3105399009605391E-2</v>
      </c>
      <c r="Q7" s="58">
        <f>SUMPRODUCT('Données ArrièrePlan'!$D$3:$M$3,R7:AA7)</f>
        <v>0</v>
      </c>
      <c r="R7" s="32">
        <f t="shared" si="12"/>
        <v>0</v>
      </c>
      <c r="S7" s="32">
        <f t="shared" si="10"/>
        <v>0.95659979634489445</v>
      </c>
      <c r="T7" s="32">
        <f t="shared" si="10"/>
        <v>1.2171747662909885E-3</v>
      </c>
      <c r="U7" s="32">
        <f t="shared" si="10"/>
        <v>1.0148554432877717E-2</v>
      </c>
      <c r="V7" s="32">
        <f t="shared" si="10"/>
        <v>2.9442574776630668E-4</v>
      </c>
      <c r="W7" s="32">
        <f t="shared" si="10"/>
        <v>1.720319559641323E-3</v>
      </c>
      <c r="X7" s="32">
        <f t="shared" si="10"/>
        <v>1.2495656901317386E-2</v>
      </c>
      <c r="Y7" s="32">
        <f t="shared" si="10"/>
        <v>6.7951623777373789E-4</v>
      </c>
      <c r="Z7" s="32">
        <f t="shared" si="10"/>
        <v>3.4778484878796137E-4</v>
      </c>
      <c r="AA7" s="32">
        <f t="shared" si="10"/>
        <v>1.6253393970965525E-2</v>
      </c>
      <c r="AC7" s="24">
        <f>(AutoConsommation!M7+AutoConsommation!O7)/SUM(AutoConsommation!$I7,AutoConsommation!$J7,AutoConsommation!$M7,AutoConsommation!$O7)</f>
        <v>0.19368231441282965</v>
      </c>
      <c r="AD7" s="24">
        <f>IF(_xlfn.XLOOKUP($A7,AutoConsommation!$B:$B,AutoConsommation!$A:$A)=Résultats!AD$2,1,0)</f>
        <v>0</v>
      </c>
      <c r="AE7" s="24">
        <f>IF(_xlfn.XLOOKUP($A7,AutoConsommation!$B:$B,AutoConsommation!$A:$A)=Résultats!AE$2,1,0)</f>
        <v>1</v>
      </c>
      <c r="AG7" s="24">
        <f>(AutoConsommation!I7)/SUM(AutoConsommation!$I7,AutoConsommation!$J7,AutoConsommation!$M7,AutoConsommation!$O7)</f>
        <v>0.77095059164874369</v>
      </c>
      <c r="AH7" s="24">
        <f>IF(_xlfn.XLOOKUP($A7,'Correspondances pays'!$A$4:$A$205,'Correspondances pays'!$C$4:$C$205)=Résultats!AH$2,1,0)</f>
        <v>0</v>
      </c>
      <c r="AI7" s="24">
        <f>IF(_xlfn.XLOOKUP($A7,'Correspondances pays'!$A$4:$A$205,'Correspondances pays'!$C$4:$C$205)=Résultats!AI$2,1,0)</f>
        <v>1</v>
      </c>
      <c r="AJ7" s="24">
        <f>IF(_xlfn.XLOOKUP($A7,'Correspondances pays'!$A$4:$A$205,'Correspondances pays'!$C$4:$C$205)=Résultats!AJ$2,1,0)</f>
        <v>0</v>
      </c>
      <c r="AK7" s="24">
        <f>IF(_xlfn.XLOOKUP($A7,'Correspondances pays'!$A$4:$A$205,'Correspondances pays'!$C$4:$C$205)=Résultats!AK$2,1,0)</f>
        <v>0</v>
      </c>
      <c r="AL7" s="24">
        <f>IF(_xlfn.XLOOKUP($A7,'Correspondances pays'!$A$4:$A$205,'Correspondances pays'!$C$4:$C$205)=Résultats!AL$2,1,0)</f>
        <v>0</v>
      </c>
      <c r="AM7" s="24">
        <f>IF(_xlfn.XLOOKUP($A7,'Correspondances pays'!$A$4:$A$205,'Correspondances pays'!$C$4:$C$205)=Résultats!AM$2,1,0)</f>
        <v>0</v>
      </c>
      <c r="AN7" s="24">
        <f>IF(_xlfn.XLOOKUP($A7,'Correspondances pays'!$A$4:$A$205,'Correspondances pays'!$C$4:$C$205)=Résultats!AN$2,1,0)</f>
        <v>0</v>
      </c>
      <c r="AO7" s="24">
        <f>IF(_xlfn.XLOOKUP($A7,'Correspondances pays'!$A$4:$A$205,'Correspondances pays'!$C$4:$C$205)=Résultats!AO$2,1,0)</f>
        <v>0</v>
      </c>
      <c r="AP7" s="24">
        <f>IF(_xlfn.XLOOKUP($A7,'Correspondances pays'!$A$4:$A$205,'Correspondances pays'!$C$4:$C$205)=Résultats!AP$2,1,0)</f>
        <v>0</v>
      </c>
      <c r="AQ7" s="24">
        <f>IF(_xlfn.XLOOKUP($A7,'Correspondances pays'!$A$4:$A$205,'Correspondances pays'!$C$4:$C$205)=Résultats!AQ$2,1,0)</f>
        <v>0</v>
      </c>
      <c r="AS7" s="24">
        <f>(AutoConsommation!J7)/SUM(AutoConsommation!$I7,AutoConsommation!$J7,AutoConsommation!$M7,AutoConsommation!$O7)</f>
        <v>3.5367093938426721E-2</v>
      </c>
      <c r="AT7" s="24">
        <f>SUMIF(Import!$E$2:$CN$2,AT$2,Import!$E8:CN8)/Import!$D8</f>
        <v>0</v>
      </c>
      <c r="AU7" s="24">
        <f>SUMIF(Import!$E$2:$CN$2,AU$2,Import!$E8:CO8)/Import!$D8</f>
        <v>1.0539236666688616E-2</v>
      </c>
      <c r="AV7" s="24">
        <f>SUMIF(Import!$E$2:$CN$2,AV$2,Import!$E8:CP8)/Import!$D8</f>
        <v>2.7749793133116919E-2</v>
      </c>
      <c r="AW7" s="24">
        <f>SUMIF(Import!$E$2:$CN$2,AW$2,Import!$E8:CQ8)/Import!$D8</f>
        <v>0.23137210358927759</v>
      </c>
      <c r="AX7" s="24">
        <f>SUMIF(Import!$E$2:$CN$2,AX$2,Import!$E8:CR8)/Import!$D8</f>
        <v>6.7124736889468337E-3</v>
      </c>
      <c r="AY7" s="24">
        <f>SUMIF(Import!$E$2:$CN$2,AY$2,Import!$E8:CS8)/Import!$D8</f>
        <v>3.9220753851455313E-2</v>
      </c>
      <c r="AZ7" s="24">
        <f>SUMIF(Import!$E$2:$CN$2,AZ$2,Import!$E8:CT8)/Import!$D8</f>
        <v>0.28488258521049942</v>
      </c>
      <c r="BA7" s="24">
        <f>SUMIF(Import!$E$2:$CN$2,BA$2,Import!$E8:CU8)/Import!$D8</f>
        <v>1.5491970053137901E-2</v>
      </c>
      <c r="BB7" s="24">
        <f>SUMIF(Import!$E$2:$CN$2,BB$2,Import!$E8:CV8)/Import!$D8</f>
        <v>7.9289826539100591E-3</v>
      </c>
      <c r="BC7" s="24">
        <f>SUMIF(Import!$E$2:$CN$2,BC$2,Import!$E8:CW8)/Import!$D8</f>
        <v>0.37055345945079859</v>
      </c>
      <c r="BD7" s="25"/>
    </row>
    <row r="8" spans="1:56" x14ac:dyDescent="0.25">
      <c r="A8" s="40" t="s">
        <v>271</v>
      </c>
      <c r="B8" s="29" t="s">
        <v>242</v>
      </c>
      <c r="C8" s="58">
        <f>SUMPRODUCT('Données ArrièrePlan'!$B$3:$M$3,$D8:$O8)</f>
        <v>0</v>
      </c>
      <c r="D8" s="32">
        <f t="shared" si="11"/>
        <v>0</v>
      </c>
      <c r="E8" s="32">
        <f t="shared" si="0"/>
        <v>0.47078651112650161</v>
      </c>
      <c r="F8" s="32">
        <f t="shared" si="13"/>
        <v>9.5631421897193313E-4</v>
      </c>
      <c r="G8" s="32">
        <f t="shared" si="1"/>
        <v>1.0167936901608322E-2</v>
      </c>
      <c r="H8" s="32">
        <f t="shared" si="2"/>
        <v>2.7313309569180171E-4</v>
      </c>
      <c r="I8" s="32">
        <f t="shared" si="3"/>
        <v>0.19031210372022472</v>
      </c>
      <c r="J8" s="32">
        <f t="shared" si="4"/>
        <v>3.3890800445023558E-3</v>
      </c>
      <c r="K8" s="32">
        <f t="shared" si="5"/>
        <v>0.11169297178326364</v>
      </c>
      <c r="L8" s="32">
        <f t="shared" si="6"/>
        <v>4.8804076500226307E-2</v>
      </c>
      <c r="M8" s="32">
        <f t="shared" si="7"/>
        <v>0.10854253481344099</v>
      </c>
      <c r="N8" s="32">
        <f t="shared" si="8"/>
        <v>0</v>
      </c>
      <c r="O8" s="32">
        <f t="shared" si="9"/>
        <v>5.5075337795568301E-2</v>
      </c>
      <c r="Q8" s="58">
        <f>SUMPRODUCT('Données ArrièrePlan'!$D$3:$M$3,R8:AA8)</f>
        <v>0</v>
      </c>
      <c r="R8" s="32">
        <f t="shared" si="12"/>
        <v>1.8070480799867285E-3</v>
      </c>
      <c r="S8" s="32">
        <f t="shared" si="10"/>
        <v>1.9213298820580205E-2</v>
      </c>
      <c r="T8" s="32">
        <f t="shared" si="10"/>
        <v>5.1611136419293089E-4</v>
      </c>
      <c r="U8" s="32">
        <f t="shared" si="10"/>
        <v>0.35961310080234249</v>
      </c>
      <c r="V8" s="32">
        <f t="shared" si="10"/>
        <v>6.4039940699857547E-3</v>
      </c>
      <c r="W8" s="32">
        <f t="shared" si="10"/>
        <v>0.21105465777340077</v>
      </c>
      <c r="X8" s="32">
        <f t="shared" si="10"/>
        <v>9.2220016167978452E-2</v>
      </c>
      <c r="Y8" s="32">
        <f t="shared" si="10"/>
        <v>0.20510160284177237</v>
      </c>
      <c r="Z8" s="32">
        <f t="shared" si="10"/>
        <v>0</v>
      </c>
      <c r="AA8" s="32">
        <f t="shared" si="10"/>
        <v>0.10407017007976027</v>
      </c>
      <c r="AC8" s="24">
        <f>(AutoConsommation!M8+AutoConsommation!O8)/SUM(AutoConsommation!$I8,AutoConsommation!$J8,AutoConsommation!$M8,AutoConsommation!$O8)</f>
        <v>0.47078651112650161</v>
      </c>
      <c r="AD8" s="24">
        <f>IF(_xlfn.XLOOKUP($A8,AutoConsommation!$B:$B,AutoConsommation!$A:$A)=Résultats!AD$2,1,0)</f>
        <v>0</v>
      </c>
      <c r="AE8" s="24">
        <f>IF(_xlfn.XLOOKUP($A8,AutoConsommation!$B:$B,AutoConsommation!$A:$A)=Résultats!AE$2,1,0)</f>
        <v>1</v>
      </c>
      <c r="AG8" s="24">
        <f>(AutoConsommation!I8)/SUM(AutoConsommation!$I8,AutoConsommation!$J8,AutoConsommation!$M8,AutoConsommation!$O8)</f>
        <v>0</v>
      </c>
      <c r="AH8" s="24">
        <f>IF(_xlfn.XLOOKUP($A8,'Correspondances pays'!$A$4:$A$205,'Correspondances pays'!$C$4:$C$205)=Résultats!AH$2,1,0)</f>
        <v>0</v>
      </c>
      <c r="AI8" s="24">
        <f>IF(_xlfn.XLOOKUP($A8,'Correspondances pays'!$A$4:$A$205,'Correspondances pays'!$C$4:$C$205)=Résultats!AI$2,1,0)</f>
        <v>0</v>
      </c>
      <c r="AJ8" s="24">
        <f>IF(_xlfn.XLOOKUP($A8,'Correspondances pays'!$A$4:$A$205,'Correspondances pays'!$C$4:$C$205)=Résultats!AJ$2,1,0)</f>
        <v>0</v>
      </c>
      <c r="AK8" s="24">
        <f>IF(_xlfn.XLOOKUP($A8,'Correspondances pays'!$A$4:$A$205,'Correspondances pays'!$C$4:$C$205)=Résultats!AK$2,1,0)</f>
        <v>1</v>
      </c>
      <c r="AL8" s="24">
        <f>IF(_xlfn.XLOOKUP($A8,'Correspondances pays'!$A$4:$A$205,'Correspondances pays'!$C$4:$C$205)=Résultats!AL$2,1,0)</f>
        <v>0</v>
      </c>
      <c r="AM8" s="24">
        <f>IF(_xlfn.XLOOKUP($A8,'Correspondances pays'!$A$4:$A$205,'Correspondances pays'!$C$4:$C$205)=Résultats!AM$2,1,0)</f>
        <v>0</v>
      </c>
      <c r="AN8" s="24">
        <f>IF(_xlfn.XLOOKUP($A8,'Correspondances pays'!$A$4:$A$205,'Correspondances pays'!$C$4:$C$205)=Résultats!AN$2,1,0)</f>
        <v>0</v>
      </c>
      <c r="AO8" s="24">
        <f>IF(_xlfn.XLOOKUP($A8,'Correspondances pays'!$A$4:$A$205,'Correspondances pays'!$C$4:$C$205)=Résultats!AO$2,1,0)</f>
        <v>0</v>
      </c>
      <c r="AP8" s="24">
        <f>IF(_xlfn.XLOOKUP($A8,'Correspondances pays'!$A$4:$A$205,'Correspondances pays'!$C$4:$C$205)=Résultats!AP$2,1,0)</f>
        <v>0</v>
      </c>
      <c r="AQ8" s="24">
        <f>IF(_xlfn.XLOOKUP($A8,'Correspondances pays'!$A$4:$A$205,'Correspondances pays'!$C$4:$C$205)=Résultats!AQ$2,1,0)</f>
        <v>0</v>
      </c>
      <c r="AS8" s="24">
        <f>(AutoConsommation!J8)/SUM(AutoConsommation!$I8,AutoConsommation!$J8,AutoConsommation!$M8,AutoConsommation!$O8)</f>
        <v>0.52921348887349839</v>
      </c>
      <c r="AT8" s="24">
        <f>SUMIF(Import!$E$2:$CN$2,AT$2,Import!$E9:CN9)/Import!$D9</f>
        <v>1.8070480799867285E-3</v>
      </c>
      <c r="AU8" s="24">
        <f>SUMIF(Import!$E$2:$CN$2,AU$2,Import!$E9:CO9)/Import!$D9</f>
        <v>1.9213298820580205E-2</v>
      </c>
      <c r="AV8" s="24">
        <f>SUMIF(Import!$E$2:$CN$2,AV$2,Import!$E9:CP9)/Import!$D9</f>
        <v>5.1611136419293089E-4</v>
      </c>
      <c r="AW8" s="24">
        <f>SUMIF(Import!$E$2:$CN$2,AW$2,Import!$E9:CQ9)/Import!$D9</f>
        <v>0.35961310080234249</v>
      </c>
      <c r="AX8" s="24">
        <f>SUMIF(Import!$E$2:$CN$2,AX$2,Import!$E9:CR9)/Import!$D9</f>
        <v>6.4039940699857547E-3</v>
      </c>
      <c r="AY8" s="24">
        <f>SUMIF(Import!$E$2:$CN$2,AY$2,Import!$E9:CS9)/Import!$D9</f>
        <v>0.21105465777340077</v>
      </c>
      <c r="AZ8" s="24">
        <f>SUMIF(Import!$E$2:$CN$2,AZ$2,Import!$E9:CT9)/Import!$D9</f>
        <v>9.2220016167978452E-2</v>
      </c>
      <c r="BA8" s="24">
        <f>SUMIF(Import!$E$2:$CN$2,BA$2,Import!$E9:CU9)/Import!$D9</f>
        <v>0.20510160284177237</v>
      </c>
      <c r="BB8" s="24">
        <f>SUMIF(Import!$E$2:$CN$2,BB$2,Import!$E9:CV9)/Import!$D9</f>
        <v>0</v>
      </c>
      <c r="BC8" s="24">
        <f>SUMIF(Import!$E$2:$CN$2,BC$2,Import!$E9:CW9)/Import!$D9</f>
        <v>0.10407017007976027</v>
      </c>
      <c r="BD8" s="25"/>
    </row>
    <row r="9" spans="1:56" x14ac:dyDescent="0.25">
      <c r="A9" s="28" t="s">
        <v>98</v>
      </c>
      <c r="B9" s="29" t="s">
        <v>188</v>
      </c>
      <c r="C9" s="58">
        <f>SUMPRODUCT('Données ArrièrePlan'!$B$3:$M$3,$D9:$O9)</f>
        <v>0</v>
      </c>
      <c r="D9" s="32">
        <f t="shared" si="11"/>
        <v>0.54287318089011638</v>
      </c>
      <c r="E9" s="32">
        <f t="shared" si="0"/>
        <v>0</v>
      </c>
      <c r="F9" s="32">
        <f t="shared" si="13"/>
        <v>0</v>
      </c>
      <c r="G9" s="32">
        <f t="shared" si="1"/>
        <v>0</v>
      </c>
      <c r="H9" s="32">
        <f t="shared" si="2"/>
        <v>7.6333661871054143E-2</v>
      </c>
      <c r="I9" s="32">
        <f t="shared" si="3"/>
        <v>5.4972073800992713E-2</v>
      </c>
      <c r="J9" s="32">
        <f t="shared" si="4"/>
        <v>0.15611409930349951</v>
      </c>
      <c r="K9" s="32">
        <f t="shared" si="5"/>
        <v>0.10873980677654238</v>
      </c>
      <c r="L9" s="32">
        <f t="shared" si="6"/>
        <v>1.0366242289898436E-2</v>
      </c>
      <c r="M9" s="32">
        <f t="shared" si="7"/>
        <v>1.3100780928342263E-3</v>
      </c>
      <c r="N9" s="32">
        <f t="shared" si="8"/>
        <v>8.1297993324357439E-3</v>
      </c>
      <c r="O9" s="32">
        <f t="shared" si="9"/>
        <v>4.1161057642626619E-2</v>
      </c>
      <c r="Q9" s="58">
        <f>SUMPRODUCT('Données ArrièrePlan'!$D$3:$M$3,R9:AA9)</f>
        <v>0</v>
      </c>
      <c r="R9" s="32">
        <f t="shared" si="12"/>
        <v>0</v>
      </c>
      <c r="S9" s="32">
        <f t="shared" si="10"/>
        <v>0</v>
      </c>
      <c r="T9" s="32">
        <f t="shared" si="10"/>
        <v>0.16698574373669622</v>
      </c>
      <c r="U9" s="32">
        <f t="shared" si="10"/>
        <v>0.12025563039165849</v>
      </c>
      <c r="V9" s="32">
        <f t="shared" si="10"/>
        <v>0.34151157354426176</v>
      </c>
      <c r="W9" s="32">
        <f t="shared" si="10"/>
        <v>0.23787667279789068</v>
      </c>
      <c r="X9" s="32">
        <f t="shared" si="10"/>
        <v>2.2676950589080636E-2</v>
      </c>
      <c r="Y9" s="32">
        <f t="shared" si="10"/>
        <v>2.8658963728822717E-3</v>
      </c>
      <c r="Z9" s="32">
        <f t="shared" si="10"/>
        <v>1.7784559978926785E-2</v>
      </c>
      <c r="AA9" s="32">
        <f t="shared" si="10"/>
        <v>9.0042972588603151E-2</v>
      </c>
      <c r="AC9" s="24">
        <f>(AutoConsommation!M9+AutoConsommation!O9)/SUM(AutoConsommation!$I9,AutoConsommation!$J9,AutoConsommation!$M9,AutoConsommation!$O9)</f>
        <v>0.54287318089011638</v>
      </c>
      <c r="AD9" s="24">
        <f>IF(_xlfn.XLOOKUP($A9,AutoConsommation!$B:$B,AutoConsommation!$A:$A)=Résultats!AD$2,1,0)</f>
        <v>1</v>
      </c>
      <c r="AE9" s="24">
        <f>IF(_xlfn.XLOOKUP($A9,AutoConsommation!$B:$B,AutoConsommation!$A:$A)=Résultats!AE$2,1,0)</f>
        <v>0</v>
      </c>
      <c r="AG9" s="24">
        <f>(AutoConsommation!I9)/SUM(AutoConsommation!$I9,AutoConsommation!$J9,AutoConsommation!$M9,AutoConsommation!$O9)</f>
        <v>0</v>
      </c>
      <c r="AH9" s="24">
        <f>IF(_xlfn.XLOOKUP($A9,'Correspondances pays'!$A$4:$A$205,'Correspondances pays'!$C$4:$C$205)=Résultats!AH$2,1,0)</f>
        <v>0</v>
      </c>
      <c r="AI9" s="24">
        <f>IF(_xlfn.XLOOKUP($A9,'Correspondances pays'!$A$4:$A$205,'Correspondances pays'!$C$4:$C$205)=Résultats!AI$2,1,0)</f>
        <v>0</v>
      </c>
      <c r="AJ9" s="24">
        <f>IF(_xlfn.XLOOKUP($A9,'Correspondances pays'!$A$4:$A$205,'Correspondances pays'!$C$4:$C$205)=Résultats!AJ$2,1,0)</f>
        <v>0</v>
      </c>
      <c r="AK9" s="24">
        <f>IF(_xlfn.XLOOKUP($A9,'Correspondances pays'!$A$4:$A$205,'Correspondances pays'!$C$4:$C$205)=Résultats!AK$2,1,0)</f>
        <v>0</v>
      </c>
      <c r="AL9" s="24">
        <f>IF(_xlfn.XLOOKUP($A9,'Correspondances pays'!$A$4:$A$205,'Correspondances pays'!$C$4:$C$205)=Résultats!AL$2,1,0)</f>
        <v>1</v>
      </c>
      <c r="AM9" s="24">
        <f>IF(_xlfn.XLOOKUP($A9,'Correspondances pays'!$A$4:$A$205,'Correspondances pays'!$C$4:$C$205)=Résultats!AM$2,1,0)</f>
        <v>0</v>
      </c>
      <c r="AN9" s="24">
        <f>IF(_xlfn.XLOOKUP($A9,'Correspondances pays'!$A$4:$A$205,'Correspondances pays'!$C$4:$C$205)=Résultats!AN$2,1,0)</f>
        <v>0</v>
      </c>
      <c r="AO9" s="24">
        <f>IF(_xlfn.XLOOKUP($A9,'Correspondances pays'!$A$4:$A$205,'Correspondances pays'!$C$4:$C$205)=Résultats!AO$2,1,0)</f>
        <v>0</v>
      </c>
      <c r="AP9" s="24">
        <f>IF(_xlfn.XLOOKUP($A9,'Correspondances pays'!$A$4:$A$205,'Correspondances pays'!$C$4:$C$205)=Résultats!AP$2,1,0)</f>
        <v>0</v>
      </c>
      <c r="AQ9" s="24">
        <f>IF(_xlfn.XLOOKUP($A9,'Correspondances pays'!$A$4:$A$205,'Correspondances pays'!$C$4:$C$205)=Résultats!AQ$2,1,0)</f>
        <v>0</v>
      </c>
      <c r="AS9" s="24">
        <f>(AutoConsommation!J9)/SUM(AutoConsommation!$I9,AutoConsommation!$J9,AutoConsommation!$M9,AutoConsommation!$O9)</f>
        <v>0.45712681910988379</v>
      </c>
      <c r="AT9" s="24">
        <f>SUMIF(Import!$E$2:$CN$2,AT$2,Import!$E10:CN10)/Import!$D10</f>
        <v>0</v>
      </c>
      <c r="AU9" s="24">
        <f>SUMIF(Import!$E$2:$CN$2,AU$2,Import!$E10:CO10)/Import!$D10</f>
        <v>0</v>
      </c>
      <c r="AV9" s="24">
        <f>SUMIF(Import!$E$2:$CN$2,AV$2,Import!$E10:CP10)/Import!$D10</f>
        <v>0.16698574373669622</v>
      </c>
      <c r="AW9" s="24">
        <f>SUMIF(Import!$E$2:$CN$2,AW$2,Import!$E10:CQ10)/Import!$D10</f>
        <v>0.12025563039165849</v>
      </c>
      <c r="AX9" s="24">
        <f>SUMIF(Import!$E$2:$CN$2,AX$2,Import!$E10:CR10)/Import!$D10</f>
        <v>0.34151157354426176</v>
      </c>
      <c r="AY9" s="24">
        <f>SUMIF(Import!$E$2:$CN$2,AY$2,Import!$E10:CS10)/Import!$D10</f>
        <v>0.23787667279789068</v>
      </c>
      <c r="AZ9" s="24">
        <f>SUMIF(Import!$E$2:$CN$2,AZ$2,Import!$E10:CT10)/Import!$D10</f>
        <v>2.2676950589080636E-2</v>
      </c>
      <c r="BA9" s="24">
        <f>SUMIF(Import!$E$2:$CN$2,BA$2,Import!$E10:CU10)/Import!$D10</f>
        <v>2.8658963728822717E-3</v>
      </c>
      <c r="BB9" s="24">
        <f>SUMIF(Import!$E$2:$CN$2,BB$2,Import!$E10:CV10)/Import!$D10</f>
        <v>1.7784559978926789E-2</v>
      </c>
      <c r="BC9" s="24">
        <f>SUMIF(Import!$E$2:$CN$2,BC$2,Import!$E10:CW10)/Import!$D10</f>
        <v>9.0042972588603151E-2</v>
      </c>
      <c r="BD9" s="25"/>
    </row>
    <row r="10" spans="1:56" x14ac:dyDescent="0.25">
      <c r="A10" s="28" t="s">
        <v>229</v>
      </c>
      <c r="B10" s="29" t="s">
        <v>242</v>
      </c>
      <c r="C10" s="58">
        <f>SUMPRODUCT('Données ArrièrePlan'!$B$3:$M$3,$D10:$O10)</f>
        <v>0</v>
      </c>
      <c r="D10" s="32">
        <f t="shared" si="11"/>
        <v>0</v>
      </c>
      <c r="E10" s="32">
        <f t="shared" si="0"/>
        <v>0.34326988033824835</v>
      </c>
      <c r="F10" s="32">
        <f t="shared" si="13"/>
        <v>0.40417072019697997</v>
      </c>
      <c r="G10" s="32">
        <f t="shared" si="1"/>
        <v>2.4963078719122381E-4</v>
      </c>
      <c r="H10" s="32">
        <f t="shared" si="2"/>
        <v>1.2877586868900188E-2</v>
      </c>
      <c r="I10" s="32">
        <f t="shared" si="3"/>
        <v>2.4802770467359066E-2</v>
      </c>
      <c r="J10" s="32">
        <f t="shared" si="4"/>
        <v>3.2150556142201913E-3</v>
      </c>
      <c r="K10" s="32">
        <f t="shared" si="5"/>
        <v>0.12580877687841904</v>
      </c>
      <c r="L10" s="32">
        <f t="shared" si="6"/>
        <v>2.6645204040267916E-2</v>
      </c>
      <c r="M10" s="32">
        <f t="shared" si="7"/>
        <v>2.9044826866056007E-2</v>
      </c>
      <c r="N10" s="32">
        <f t="shared" si="8"/>
        <v>2.6188033800620548E-2</v>
      </c>
      <c r="O10" s="32">
        <f t="shared" si="9"/>
        <v>3.7275141417374004E-3</v>
      </c>
      <c r="Q10" s="58">
        <f>SUMPRODUCT('Données ArrièrePlan'!$D$3:$M$3,R10:AA10)</f>
        <v>0</v>
      </c>
      <c r="R10" s="32">
        <f t="shared" si="12"/>
        <v>0.61542893815369359</v>
      </c>
      <c r="S10" s="32">
        <f t="shared" si="10"/>
        <v>3.8011167710686996E-4</v>
      </c>
      <c r="T10" s="32">
        <f t="shared" si="10"/>
        <v>1.9608643616852505E-2</v>
      </c>
      <c r="U10" s="32">
        <f t="shared" si="10"/>
        <v>3.7767067056607234E-2</v>
      </c>
      <c r="V10" s="32">
        <f t="shared" si="10"/>
        <v>4.8955507261888688E-3</v>
      </c>
      <c r="W10" s="32">
        <f t="shared" si="10"/>
        <v>0.19156845881108173</v>
      </c>
      <c r="X10" s="32">
        <f t="shared" si="10"/>
        <v>4.0572532372950255E-2</v>
      </c>
      <c r="Y10" s="32">
        <f t="shared" si="10"/>
        <v>4.4226427259062707E-2</v>
      </c>
      <c r="Z10" s="32">
        <f t="shared" si="10"/>
        <v>3.9876401304859713E-2</v>
      </c>
      <c r="AA10" s="32">
        <f t="shared" si="10"/>
        <v>5.6758690215963506E-3</v>
      </c>
      <c r="AC10" s="24">
        <f>(AutoConsommation!M10+AutoConsommation!O10)/SUM(AutoConsommation!$I10,AutoConsommation!$J10,AutoConsommation!$M10,AutoConsommation!$O10)</f>
        <v>0.34326988033824835</v>
      </c>
      <c r="AD10" s="24">
        <f>IF(_xlfn.XLOOKUP($A10,AutoConsommation!$B:$B,AutoConsommation!$A:$A)=Résultats!AD$2,1,0)</f>
        <v>0</v>
      </c>
      <c r="AE10" s="24">
        <f>IF(_xlfn.XLOOKUP($A10,AutoConsommation!$B:$B,AutoConsommation!$A:$A)=Résultats!AE$2,1,0)</f>
        <v>1</v>
      </c>
      <c r="AG10" s="24">
        <f>(AutoConsommation!I10)/SUM(AutoConsommation!$I10,AutoConsommation!$J10,AutoConsommation!$M10,AutoConsommation!$O10)</f>
        <v>4.5792316055252864E-2</v>
      </c>
      <c r="AH10" s="24">
        <f>IF(_xlfn.XLOOKUP($A10,'Correspondances pays'!$A$4:$A$205,'Correspondances pays'!$C$4:$C$205)=Résultats!AH$2,1,0)</f>
        <v>1</v>
      </c>
      <c r="AI10" s="24">
        <f>IF(_xlfn.XLOOKUP($A10,'Correspondances pays'!$A$4:$A$205,'Correspondances pays'!$C$4:$C$205)=Résultats!AI$2,1,0)</f>
        <v>0</v>
      </c>
      <c r="AJ10" s="24">
        <f>IF(_xlfn.XLOOKUP($A10,'Correspondances pays'!$A$4:$A$205,'Correspondances pays'!$C$4:$C$205)=Résultats!AJ$2,1,0)</f>
        <v>0</v>
      </c>
      <c r="AK10" s="24">
        <f>IF(_xlfn.XLOOKUP($A10,'Correspondances pays'!$A$4:$A$205,'Correspondances pays'!$C$4:$C$205)=Résultats!AK$2,1,0)</f>
        <v>0</v>
      </c>
      <c r="AL10" s="24">
        <f>IF(_xlfn.XLOOKUP($A10,'Correspondances pays'!$A$4:$A$205,'Correspondances pays'!$C$4:$C$205)=Résultats!AL$2,1,0)</f>
        <v>0</v>
      </c>
      <c r="AM10" s="24">
        <f>IF(_xlfn.XLOOKUP($A10,'Correspondances pays'!$A$4:$A$205,'Correspondances pays'!$C$4:$C$205)=Résultats!AM$2,1,0)</f>
        <v>0</v>
      </c>
      <c r="AN10" s="24">
        <f>IF(_xlfn.XLOOKUP($A10,'Correspondances pays'!$A$4:$A$205,'Correspondances pays'!$C$4:$C$205)=Résultats!AN$2,1,0)</f>
        <v>0</v>
      </c>
      <c r="AO10" s="24">
        <f>IF(_xlfn.XLOOKUP($A10,'Correspondances pays'!$A$4:$A$205,'Correspondances pays'!$C$4:$C$205)=Résultats!AO$2,1,0)</f>
        <v>0</v>
      </c>
      <c r="AP10" s="24">
        <f>IF(_xlfn.XLOOKUP($A10,'Correspondances pays'!$A$4:$A$205,'Correspondances pays'!$C$4:$C$205)=Résultats!AP$2,1,0)</f>
        <v>0</v>
      </c>
      <c r="AQ10" s="24">
        <f>IF(_xlfn.XLOOKUP($A10,'Correspondances pays'!$A$4:$A$205,'Correspondances pays'!$C$4:$C$205)=Résultats!AQ$2,1,0)</f>
        <v>0</v>
      </c>
      <c r="AS10" s="24">
        <f>(AutoConsommation!J10)/SUM(AutoConsommation!$I10,AutoConsommation!$J10,AutoConsommation!$M10,AutoConsommation!$O10)</f>
        <v>0.61093780360649874</v>
      </c>
      <c r="AT10" s="24">
        <f>SUMIF(Import!$E$2:$CN$2,AT$2,Import!$E11:CN11)/Import!$D11</f>
        <v>0.58660374595603915</v>
      </c>
      <c r="AU10" s="24">
        <f>SUMIF(Import!$E$2:$CN$2,AU$2,Import!$E11:CO11)/Import!$D11</f>
        <v>4.0860261996818491E-4</v>
      </c>
      <c r="AV10" s="24">
        <f>SUMIF(Import!$E$2:$CN$2,AV$2,Import!$E11:CP11)/Import!$D11</f>
        <v>2.1078392584123935E-2</v>
      </c>
      <c r="AW10" s="24">
        <f>SUMIF(Import!$E$2:$CN$2,AW$2,Import!$E11:CQ11)/Import!$D11</f>
        <v>4.0597864988781047E-2</v>
      </c>
      <c r="AX10" s="24">
        <f>SUMIF(Import!$E$2:$CN$2,AX$2,Import!$E11:CR11)/Import!$D11</f>
        <v>5.2624925078150649E-3</v>
      </c>
      <c r="AY10" s="24">
        <f>SUMIF(Import!$E$2:$CN$2,AY$2,Import!$E11:CS11)/Import!$D11</f>
        <v>0.20592730738831755</v>
      </c>
      <c r="AZ10" s="24">
        <f>SUMIF(Import!$E$2:$CN$2,AZ$2,Import!$E11:CT11)/Import!$D11</f>
        <v>4.3613611537828369E-2</v>
      </c>
      <c r="BA10" s="24">
        <f>SUMIF(Import!$E$2:$CN$2,BA$2,Import!$E11:CU11)/Import!$D11</f>
        <v>4.7541380963165278E-2</v>
      </c>
      <c r="BB10" s="24">
        <f>SUMIF(Import!$E$2:$CN$2,BB$2,Import!$E11:CV11)/Import!$D11</f>
        <v>4.2865302566033547E-2</v>
      </c>
      <c r="BC10" s="24">
        <f>SUMIF(Import!$E$2:$CN$2,BC$2,Import!$E11:CW11)/Import!$D11</f>
        <v>6.1012988879278274E-3</v>
      </c>
      <c r="BD10" s="25"/>
    </row>
    <row r="11" spans="1:56" x14ac:dyDescent="0.25">
      <c r="A11" s="28" t="s">
        <v>32</v>
      </c>
      <c r="B11" s="29" t="s">
        <v>188</v>
      </c>
      <c r="C11" s="58">
        <f>SUMPRODUCT('Données ArrièrePlan'!$B$3:$M$3,$D11:$O11)</f>
        <v>0</v>
      </c>
      <c r="D11" s="32">
        <f t="shared" si="11"/>
        <v>0.64350695403616864</v>
      </c>
      <c r="E11" s="32">
        <f t="shared" si="0"/>
        <v>0</v>
      </c>
      <c r="F11" s="32">
        <f t="shared" si="13"/>
        <v>4.7028511727360991E-5</v>
      </c>
      <c r="G11" s="32">
        <f t="shared" si="1"/>
        <v>0</v>
      </c>
      <c r="H11" s="32">
        <f t="shared" si="2"/>
        <v>0</v>
      </c>
      <c r="I11" s="32">
        <f t="shared" si="3"/>
        <v>2.97022179330701E-5</v>
      </c>
      <c r="J11" s="32">
        <f t="shared" si="4"/>
        <v>0.32872051406034841</v>
      </c>
      <c r="K11" s="32">
        <f t="shared" si="5"/>
        <v>2.1094962306228818E-2</v>
      </c>
      <c r="L11" s="32">
        <f t="shared" si="6"/>
        <v>1.6208468388207609E-3</v>
      </c>
      <c r="M11" s="32">
        <f t="shared" si="7"/>
        <v>9.5813606235710012E-4</v>
      </c>
      <c r="N11" s="32">
        <f t="shared" si="8"/>
        <v>1.014825779379895E-4</v>
      </c>
      <c r="O11" s="32">
        <f t="shared" si="9"/>
        <v>3.9203733884778016E-3</v>
      </c>
      <c r="Q11" s="58">
        <f>SUMPRODUCT('Données ArrièrePlan'!$D$3:$M$3,R11:AA11)</f>
        <v>0</v>
      </c>
      <c r="R11" s="32">
        <f t="shared" si="12"/>
        <v>1.3191985723091037E-4</v>
      </c>
      <c r="S11" s="32">
        <f t="shared" si="10"/>
        <v>0</v>
      </c>
      <c r="T11" s="32">
        <f t="shared" si="10"/>
        <v>0</v>
      </c>
      <c r="U11" s="32">
        <f t="shared" si="10"/>
        <v>8.331780456689076E-5</v>
      </c>
      <c r="V11" s="32">
        <f t="shared" si="10"/>
        <v>0.92209516505884215</v>
      </c>
      <c r="W11" s="32">
        <f t="shared" si="10"/>
        <v>5.9173559049926175E-2</v>
      </c>
      <c r="X11" s="32">
        <f t="shared" si="10"/>
        <v>4.5466436363115117E-3</v>
      </c>
      <c r="Y11" s="32">
        <f t="shared" si="10"/>
        <v>2.6876711150609924E-3</v>
      </c>
      <c r="Z11" s="32">
        <f t="shared" si="10"/>
        <v>2.8466916560354339E-4</v>
      </c>
      <c r="AA11" s="32">
        <f t="shared" si="10"/>
        <v>1.0997054312457896E-2</v>
      </c>
      <c r="AC11" s="24">
        <f>(AutoConsommation!M11+AutoConsommation!O11)/SUM(AutoConsommation!$I11,AutoConsommation!$J11,AutoConsommation!$M11,AutoConsommation!$O11)</f>
        <v>0.64350695403616864</v>
      </c>
      <c r="AD11" s="24">
        <f>IF(_xlfn.XLOOKUP($A11,AutoConsommation!$B:$B,AutoConsommation!$A:$A)=Résultats!AD$2,1,0)</f>
        <v>1</v>
      </c>
      <c r="AE11" s="24">
        <f>IF(_xlfn.XLOOKUP($A11,AutoConsommation!$B:$B,AutoConsommation!$A:$A)=Résultats!AE$2,1,0)</f>
        <v>0</v>
      </c>
      <c r="AG11" s="24">
        <f>(AutoConsommation!I11)/SUM(AutoConsommation!$I11,AutoConsommation!$J11,AutoConsommation!$M11,AutoConsommation!$O11)</f>
        <v>0</v>
      </c>
      <c r="AH11" s="24">
        <f>IF(_xlfn.XLOOKUP($A11,'Correspondances pays'!$A$4:$A$205,'Correspondances pays'!$C$4:$C$205)=Résultats!AH$2,1,0)</f>
        <v>0</v>
      </c>
      <c r="AI11" s="24">
        <f>IF(_xlfn.XLOOKUP($A11,'Correspondances pays'!$A$4:$A$205,'Correspondances pays'!$C$4:$C$205)=Résultats!AI$2,1,0)</f>
        <v>0</v>
      </c>
      <c r="AJ11" s="24">
        <f>IF(_xlfn.XLOOKUP($A11,'Correspondances pays'!$A$4:$A$205,'Correspondances pays'!$C$4:$C$205)=Résultats!AJ$2,1,0)</f>
        <v>0</v>
      </c>
      <c r="AK11" s="24">
        <f>IF(_xlfn.XLOOKUP($A11,'Correspondances pays'!$A$4:$A$205,'Correspondances pays'!$C$4:$C$205)=Résultats!AK$2,1,0)</f>
        <v>0</v>
      </c>
      <c r="AL11" s="24">
        <f>IF(_xlfn.XLOOKUP($A11,'Correspondances pays'!$A$4:$A$205,'Correspondances pays'!$C$4:$C$205)=Résultats!AL$2,1,0)</f>
        <v>1</v>
      </c>
      <c r="AM11" s="24">
        <f>IF(_xlfn.XLOOKUP($A11,'Correspondances pays'!$A$4:$A$205,'Correspondances pays'!$C$4:$C$205)=Résultats!AM$2,1,0)</f>
        <v>0</v>
      </c>
      <c r="AN11" s="24">
        <f>IF(_xlfn.XLOOKUP($A11,'Correspondances pays'!$A$4:$A$205,'Correspondances pays'!$C$4:$C$205)=Résultats!AN$2,1,0)</f>
        <v>0</v>
      </c>
      <c r="AO11" s="24">
        <f>IF(_xlfn.XLOOKUP($A11,'Correspondances pays'!$A$4:$A$205,'Correspondances pays'!$C$4:$C$205)=Résultats!AO$2,1,0)</f>
        <v>0</v>
      </c>
      <c r="AP11" s="24">
        <f>IF(_xlfn.XLOOKUP($A11,'Correspondances pays'!$A$4:$A$205,'Correspondances pays'!$C$4:$C$205)=Résultats!AP$2,1,0)</f>
        <v>0</v>
      </c>
      <c r="AQ11" s="24">
        <f>IF(_xlfn.XLOOKUP($A11,'Correspondances pays'!$A$4:$A$205,'Correspondances pays'!$C$4:$C$205)=Résultats!AQ$2,1,0)</f>
        <v>0</v>
      </c>
      <c r="AS11" s="24">
        <f>(AutoConsommation!J11)/SUM(AutoConsommation!$I11,AutoConsommation!$J11,AutoConsommation!$M11,AutoConsommation!$O11)</f>
        <v>0.3564930459638313</v>
      </c>
      <c r="AT11" s="24">
        <f>SUMIF(Import!$E$2:$CN$2,AT$2,Import!$E12:CN12)/Import!$D12</f>
        <v>1.3191985723091037E-4</v>
      </c>
      <c r="AU11" s="24">
        <f>SUMIF(Import!$E$2:$CN$2,AU$2,Import!$E12:CO12)/Import!$D12</f>
        <v>0</v>
      </c>
      <c r="AV11" s="24">
        <f>SUMIF(Import!$E$2:$CN$2,AV$2,Import!$E12:CP12)/Import!$D12</f>
        <v>0</v>
      </c>
      <c r="AW11" s="24">
        <f>SUMIF(Import!$E$2:$CN$2,AW$2,Import!$E12:CQ12)/Import!$D12</f>
        <v>8.331780456689076E-5</v>
      </c>
      <c r="AX11" s="24">
        <f>SUMIF(Import!$E$2:$CN$2,AX$2,Import!$E12:CR12)/Import!$D12</f>
        <v>0.92209516505884204</v>
      </c>
      <c r="AY11" s="24">
        <f>SUMIF(Import!$E$2:$CN$2,AY$2,Import!$E12:CS12)/Import!$D12</f>
        <v>5.9173559049926182E-2</v>
      </c>
      <c r="AZ11" s="24">
        <f>SUMIF(Import!$E$2:$CN$2,AZ$2,Import!$E12:CT12)/Import!$D12</f>
        <v>4.5466436363115117E-3</v>
      </c>
      <c r="BA11" s="24">
        <f>SUMIF(Import!$E$2:$CN$2,BA$2,Import!$E12:CU12)/Import!$D12</f>
        <v>2.6876711150609924E-3</v>
      </c>
      <c r="BB11" s="24">
        <f>SUMIF(Import!$E$2:$CN$2,BB$2,Import!$E12:CV12)/Import!$D12</f>
        <v>2.8466916560354339E-4</v>
      </c>
      <c r="BC11" s="24">
        <f>SUMIF(Import!$E$2:$CN$2,BC$2,Import!$E12:CW12)/Import!$D12</f>
        <v>1.0997054312457894E-2</v>
      </c>
      <c r="BD11" s="25"/>
    </row>
    <row r="12" spans="1:56" x14ac:dyDescent="0.25">
      <c r="A12" s="28" t="s">
        <v>33</v>
      </c>
      <c r="B12" s="29" t="s">
        <v>188</v>
      </c>
      <c r="C12" s="58">
        <f>SUMPRODUCT('Données ArrièrePlan'!$B$3:$M$3,$D12:$O12)</f>
        <v>0</v>
      </c>
      <c r="D12" s="32">
        <f t="shared" si="11"/>
        <v>0.44279545612969917</v>
      </c>
      <c r="E12" s="32">
        <f t="shared" si="0"/>
        <v>0</v>
      </c>
      <c r="F12" s="32">
        <f t="shared" si="13"/>
        <v>1.4526884598079737E-2</v>
      </c>
      <c r="G12" s="32">
        <f t="shared" si="1"/>
        <v>0</v>
      </c>
      <c r="H12" s="32">
        <f t="shared" si="2"/>
        <v>3.2914384766081911E-2</v>
      </c>
      <c r="I12" s="32">
        <f t="shared" si="3"/>
        <v>6.6402587802665957E-3</v>
      </c>
      <c r="J12" s="32">
        <f t="shared" si="4"/>
        <v>0.39341486935864922</v>
      </c>
      <c r="K12" s="32">
        <f t="shared" si="5"/>
        <v>5.1963463645957136E-2</v>
      </c>
      <c r="L12" s="32">
        <f t="shared" si="6"/>
        <v>4.7101197653849354E-2</v>
      </c>
      <c r="M12" s="32">
        <f t="shared" si="7"/>
        <v>1.0643485067416771E-2</v>
      </c>
      <c r="N12" s="32">
        <f t="shared" si="8"/>
        <v>0</v>
      </c>
      <c r="O12" s="32">
        <f t="shared" si="9"/>
        <v>0</v>
      </c>
      <c r="Q12" s="58">
        <f>SUMPRODUCT('Données ArrièrePlan'!$D$3:$M$3,R12:AA12)</f>
        <v>0</v>
      </c>
      <c r="R12" s="32">
        <f t="shared" si="12"/>
        <v>2.607100885641939E-2</v>
      </c>
      <c r="S12" s="32">
        <f t="shared" si="10"/>
        <v>0</v>
      </c>
      <c r="T12" s="32">
        <f t="shared" si="10"/>
        <v>5.9070560583481743E-2</v>
      </c>
      <c r="U12" s="32">
        <f t="shared" si="10"/>
        <v>1.1917093737505905E-2</v>
      </c>
      <c r="V12" s="32">
        <f t="shared" si="10"/>
        <v>0.7060510788839216</v>
      </c>
      <c r="W12" s="32">
        <f t="shared" si="10"/>
        <v>9.3257429821054297E-2</v>
      </c>
      <c r="X12" s="32">
        <f t="shared" si="10"/>
        <v>8.4531251893044501E-2</v>
      </c>
      <c r="Y12" s="32">
        <f t="shared" si="10"/>
        <v>1.9101576224572626E-2</v>
      </c>
      <c r="Z12" s="32">
        <f t="shared" si="10"/>
        <v>0</v>
      </c>
      <c r="AA12" s="32">
        <f t="shared" si="10"/>
        <v>0</v>
      </c>
      <c r="AC12" s="24">
        <f>(AutoConsommation!M12+AutoConsommation!O12)/SUM(AutoConsommation!$I12,AutoConsommation!$J12,AutoConsommation!$M12,AutoConsommation!$O12)</f>
        <v>0.44279545612969917</v>
      </c>
      <c r="AD12" s="24">
        <f>IF(_xlfn.XLOOKUP($A12,AutoConsommation!$B:$B,AutoConsommation!$A:$A)=Résultats!AD$2,1,0)</f>
        <v>1</v>
      </c>
      <c r="AE12" s="24">
        <f>IF(_xlfn.XLOOKUP($A12,AutoConsommation!$B:$B,AutoConsommation!$A:$A)=Résultats!AE$2,1,0)</f>
        <v>0</v>
      </c>
      <c r="AG12" s="24">
        <f>(AutoConsommation!I12)/SUM(AutoConsommation!$I12,AutoConsommation!$J12,AutoConsommation!$M12,AutoConsommation!$O12)</f>
        <v>9.4060628440868765E-2</v>
      </c>
      <c r="AH12" s="24">
        <f>IF(_xlfn.XLOOKUP($A12,'Correspondances pays'!$A$4:$A$205,'Correspondances pays'!$C$4:$C$205)=Résultats!AH$2,1,0)</f>
        <v>0</v>
      </c>
      <c r="AI12" s="24">
        <f>IF(_xlfn.XLOOKUP($A12,'Correspondances pays'!$A$4:$A$205,'Correspondances pays'!$C$4:$C$205)=Résultats!AI$2,1,0)</f>
        <v>0</v>
      </c>
      <c r="AJ12" s="24">
        <f>IF(_xlfn.XLOOKUP($A12,'Correspondances pays'!$A$4:$A$205,'Correspondances pays'!$C$4:$C$205)=Résultats!AJ$2,1,0)</f>
        <v>0</v>
      </c>
      <c r="AK12" s="24">
        <f>IF(_xlfn.XLOOKUP($A12,'Correspondances pays'!$A$4:$A$205,'Correspondances pays'!$C$4:$C$205)=Résultats!AK$2,1,0)</f>
        <v>0</v>
      </c>
      <c r="AL12" s="24">
        <f>IF(_xlfn.XLOOKUP($A12,'Correspondances pays'!$A$4:$A$205,'Correspondances pays'!$C$4:$C$205)=Résultats!AL$2,1,0)</f>
        <v>1</v>
      </c>
      <c r="AM12" s="24">
        <f>IF(_xlfn.XLOOKUP($A12,'Correspondances pays'!$A$4:$A$205,'Correspondances pays'!$C$4:$C$205)=Résultats!AM$2,1,0)</f>
        <v>0</v>
      </c>
      <c r="AN12" s="24">
        <f>IF(_xlfn.XLOOKUP($A12,'Correspondances pays'!$A$4:$A$205,'Correspondances pays'!$C$4:$C$205)=Résultats!AN$2,1,0)</f>
        <v>0</v>
      </c>
      <c r="AO12" s="24">
        <f>IF(_xlfn.XLOOKUP($A12,'Correspondances pays'!$A$4:$A$205,'Correspondances pays'!$C$4:$C$205)=Résultats!AO$2,1,0)</f>
        <v>0</v>
      </c>
      <c r="AP12" s="24">
        <f>IF(_xlfn.XLOOKUP($A12,'Correspondances pays'!$A$4:$A$205,'Correspondances pays'!$C$4:$C$205)=Résultats!AP$2,1,0)</f>
        <v>0</v>
      </c>
      <c r="AQ12" s="24">
        <f>IF(_xlfn.XLOOKUP($A12,'Correspondances pays'!$A$4:$A$205,'Correspondances pays'!$C$4:$C$205)=Résultats!AQ$2,1,0)</f>
        <v>0</v>
      </c>
      <c r="AS12" s="24">
        <f>(AutoConsommation!J12)/SUM(AutoConsommation!$I12,AutoConsommation!$J12,AutoConsommation!$M12,AutoConsommation!$O12)</f>
        <v>0.46314391542943195</v>
      </c>
      <c r="AT12" s="24">
        <f>SUMIF(Import!$E$2:$CN$2,AT$2,Import!$E13:CN13)/Import!$D13</f>
        <v>3.1365811174719323E-2</v>
      </c>
      <c r="AU12" s="24">
        <f>SUMIF(Import!$E$2:$CN$2,AU$2,Import!$E13:CO13)/Import!$D13</f>
        <v>0</v>
      </c>
      <c r="AV12" s="24">
        <f>SUMIF(Import!$E$2:$CN$2,AV$2,Import!$E13:CP13)/Import!$D13</f>
        <v>7.1067293922156674E-2</v>
      </c>
      <c r="AW12" s="24">
        <f>SUMIF(Import!$E$2:$CN$2,AW$2,Import!$E13:CQ13)/Import!$D13</f>
        <v>1.4337355105075012E-2</v>
      </c>
      <c r="AX12" s="24">
        <f>SUMIF(Import!$E$2:$CN$2,AX$2,Import!$E13:CR13)/Import!$D13</f>
        <v>0.64635252876034444</v>
      </c>
      <c r="AY12" s="24">
        <f>SUMIF(Import!$E$2:$CN$2,AY$2,Import!$E13:CS13)/Import!$D13</f>
        <v>0.11219722836642701</v>
      </c>
      <c r="AZ12" s="24">
        <f>SUMIF(Import!$E$2:$CN$2,AZ$2,Import!$E13:CT13)/Import!$D13</f>
        <v>0.10169883719659066</v>
      </c>
      <c r="BA12" s="24">
        <f>SUMIF(Import!$E$2:$CN$2,BA$2,Import!$E13:CU13)/Import!$D13</f>
        <v>2.298094547468689E-2</v>
      </c>
      <c r="BB12" s="24">
        <f>SUMIF(Import!$E$2:$CN$2,BB$2,Import!$E13:CV13)/Import!$D13</f>
        <v>0</v>
      </c>
      <c r="BC12" s="24">
        <f>SUMIF(Import!$E$2:$CN$2,BC$2,Import!$E13:CW13)/Import!$D13</f>
        <v>0</v>
      </c>
      <c r="BD12" s="25"/>
    </row>
    <row r="13" spans="1:56" x14ac:dyDescent="0.25">
      <c r="A13" s="28" t="s">
        <v>43</v>
      </c>
      <c r="B13" s="29" t="s">
        <v>188</v>
      </c>
      <c r="C13" s="58">
        <f>SUMPRODUCT('Données ArrièrePlan'!$B$3:$M$3,$D13:$O13)</f>
        <v>0</v>
      </c>
      <c r="D13" s="32">
        <f t="shared" si="11"/>
        <v>0.4429274441716165</v>
      </c>
      <c r="E13" s="32">
        <f t="shared" si="0"/>
        <v>0</v>
      </c>
      <c r="F13" s="32">
        <f t="shared" si="13"/>
        <v>0</v>
      </c>
      <c r="G13" s="32">
        <f t="shared" si="1"/>
        <v>3.972468572495247E-6</v>
      </c>
      <c r="H13" s="32">
        <f t="shared" si="2"/>
        <v>8.1832852593402084E-4</v>
      </c>
      <c r="I13" s="32">
        <f t="shared" si="3"/>
        <v>3.1700299208512069E-3</v>
      </c>
      <c r="J13" s="32">
        <f t="shared" si="4"/>
        <v>0.54948712708920366</v>
      </c>
      <c r="K13" s="32">
        <f t="shared" si="5"/>
        <v>4.7669622869942961E-5</v>
      </c>
      <c r="L13" s="32">
        <f t="shared" si="6"/>
        <v>3.5454282009520078E-3</v>
      </c>
      <c r="M13" s="32">
        <f t="shared" si="7"/>
        <v>0</v>
      </c>
      <c r="N13" s="32">
        <f t="shared" si="8"/>
        <v>0</v>
      </c>
      <c r="O13" s="32">
        <f t="shared" si="9"/>
        <v>0</v>
      </c>
      <c r="Q13" s="58">
        <f>SUMPRODUCT('Données ArrièrePlan'!$D$3:$M$3,R13:AA13)</f>
        <v>0</v>
      </c>
      <c r="R13" s="32">
        <f t="shared" si="12"/>
        <v>0</v>
      </c>
      <c r="S13" s="32">
        <f t="shared" si="10"/>
        <v>7.1309715959495955E-6</v>
      </c>
      <c r="T13" s="32">
        <f t="shared" si="10"/>
        <v>1.4689801487656167E-3</v>
      </c>
      <c r="U13" s="32">
        <f t="shared" si="10"/>
        <v>5.6905153335677769E-3</v>
      </c>
      <c r="V13" s="32">
        <f t="shared" si="10"/>
        <v>0.98638340973753424</v>
      </c>
      <c r="W13" s="32">
        <f t="shared" si="10"/>
        <v>8.5571659151395139E-5</v>
      </c>
      <c r="X13" s="32">
        <f t="shared" si="10"/>
        <v>6.3643921493850139E-3</v>
      </c>
      <c r="Y13" s="32">
        <f t="shared" si="10"/>
        <v>0</v>
      </c>
      <c r="Z13" s="32">
        <f t="shared" si="10"/>
        <v>0</v>
      </c>
      <c r="AA13" s="32">
        <f t="shared" si="10"/>
        <v>0</v>
      </c>
      <c r="AC13" s="24">
        <f>(AutoConsommation!M13+AutoConsommation!O13)/SUM(AutoConsommation!$I13,AutoConsommation!$J13,AutoConsommation!$M13,AutoConsommation!$O13)</f>
        <v>0.4429274441716165</v>
      </c>
      <c r="AD13" s="24">
        <f>IF(_xlfn.XLOOKUP($A13,AutoConsommation!$B:$B,AutoConsommation!$A:$A)=Résultats!AD$2,1,0)</f>
        <v>1</v>
      </c>
      <c r="AE13" s="24">
        <f>IF(_xlfn.XLOOKUP($A13,AutoConsommation!$B:$B,AutoConsommation!$A:$A)=Résultats!AE$2,1,0)</f>
        <v>0</v>
      </c>
      <c r="AG13" s="24">
        <f>(AutoConsommation!I13)/SUM(AutoConsommation!$I13,AutoConsommation!$J13,AutoConsommation!$M13,AutoConsommation!$O13)</f>
        <v>0</v>
      </c>
      <c r="AH13" s="24">
        <f>IF(_xlfn.XLOOKUP($A13,'Correspondances pays'!$A$4:$A$205,'Correspondances pays'!$C$4:$C$205)=Résultats!AH$2,1,0)</f>
        <v>0</v>
      </c>
      <c r="AI13" s="24">
        <f>IF(_xlfn.XLOOKUP($A13,'Correspondances pays'!$A$4:$A$205,'Correspondances pays'!$C$4:$C$205)=Résultats!AI$2,1,0)</f>
        <v>0</v>
      </c>
      <c r="AJ13" s="24">
        <f>IF(_xlfn.XLOOKUP($A13,'Correspondances pays'!$A$4:$A$205,'Correspondances pays'!$C$4:$C$205)=Résultats!AJ$2,1,0)</f>
        <v>0</v>
      </c>
      <c r="AK13" s="24">
        <f>IF(_xlfn.XLOOKUP($A13,'Correspondances pays'!$A$4:$A$205,'Correspondances pays'!$C$4:$C$205)=Résultats!AK$2,1,0)</f>
        <v>0</v>
      </c>
      <c r="AL13" s="24">
        <f>IF(_xlfn.XLOOKUP($A13,'Correspondances pays'!$A$4:$A$205,'Correspondances pays'!$C$4:$C$205)=Résultats!AL$2,1,0)</f>
        <v>1</v>
      </c>
      <c r="AM13" s="24">
        <f>IF(_xlfn.XLOOKUP($A13,'Correspondances pays'!$A$4:$A$205,'Correspondances pays'!$C$4:$C$205)=Résultats!AM$2,1,0)</f>
        <v>0</v>
      </c>
      <c r="AN13" s="24">
        <f>IF(_xlfn.XLOOKUP($A13,'Correspondances pays'!$A$4:$A$205,'Correspondances pays'!$C$4:$C$205)=Résultats!AN$2,1,0)</f>
        <v>0</v>
      </c>
      <c r="AO13" s="24">
        <f>IF(_xlfn.XLOOKUP($A13,'Correspondances pays'!$A$4:$A$205,'Correspondances pays'!$C$4:$C$205)=Résultats!AO$2,1,0)</f>
        <v>0</v>
      </c>
      <c r="AP13" s="24">
        <f>IF(_xlfn.XLOOKUP($A13,'Correspondances pays'!$A$4:$A$205,'Correspondances pays'!$C$4:$C$205)=Résultats!AP$2,1,0)</f>
        <v>0</v>
      </c>
      <c r="AQ13" s="24">
        <f>IF(_xlfn.XLOOKUP($A13,'Correspondances pays'!$A$4:$A$205,'Correspondances pays'!$C$4:$C$205)=Résultats!AQ$2,1,0)</f>
        <v>0</v>
      </c>
      <c r="AS13" s="24">
        <f>(AutoConsommation!J13)/SUM(AutoConsommation!$I13,AutoConsommation!$J13,AutoConsommation!$M13,AutoConsommation!$O13)</f>
        <v>0.55707255582838333</v>
      </c>
      <c r="AT13" s="24">
        <f>SUMIF(Import!$E$2:$CN$2,AT$2,Import!$E14:CN14)/Import!$D14</f>
        <v>0</v>
      </c>
      <c r="AU13" s="24">
        <f>SUMIF(Import!$E$2:$CN$2,AU$2,Import!$E14:CO14)/Import!$D14</f>
        <v>7.1309715959495955E-6</v>
      </c>
      <c r="AV13" s="24">
        <f>SUMIF(Import!$E$2:$CN$2,AV$2,Import!$E14:CP14)/Import!$D14</f>
        <v>1.4689801487656167E-3</v>
      </c>
      <c r="AW13" s="24">
        <f>SUMIF(Import!$E$2:$CN$2,AW$2,Import!$E14:CQ14)/Import!$D14</f>
        <v>5.6905153335677769E-3</v>
      </c>
      <c r="AX13" s="24">
        <f>SUMIF(Import!$E$2:$CN$2,AX$2,Import!$E14:CR14)/Import!$D14</f>
        <v>0.98638340973753424</v>
      </c>
      <c r="AY13" s="24">
        <f>SUMIF(Import!$E$2:$CN$2,AY$2,Import!$E14:CS14)/Import!$D14</f>
        <v>8.5571659151395139E-5</v>
      </c>
      <c r="AZ13" s="24">
        <f>SUMIF(Import!$E$2:$CN$2,AZ$2,Import!$E14:CT14)/Import!$D14</f>
        <v>6.3643921493850139E-3</v>
      </c>
      <c r="BA13" s="24">
        <f>SUMIF(Import!$E$2:$CN$2,BA$2,Import!$E14:CU14)/Import!$D14</f>
        <v>0</v>
      </c>
      <c r="BB13" s="24">
        <f>SUMIF(Import!$E$2:$CN$2,BB$2,Import!$E14:CV14)/Import!$D14</f>
        <v>0</v>
      </c>
      <c r="BC13" s="24">
        <f>SUMIF(Import!$E$2:$CN$2,BC$2,Import!$E14:CW14)/Import!$D14</f>
        <v>0</v>
      </c>
      <c r="BD13" s="25"/>
    </row>
    <row r="14" spans="1:56" x14ac:dyDescent="0.25">
      <c r="A14" s="28" t="s">
        <v>45</v>
      </c>
      <c r="B14" s="29" t="s">
        <v>242</v>
      </c>
      <c r="C14" s="58">
        <f>SUMPRODUCT('Données ArrièrePlan'!$B$3:$M$3,$D14:$O14)</f>
        <v>0</v>
      </c>
      <c r="D14" s="32">
        <f t="shared" si="11"/>
        <v>0</v>
      </c>
      <c r="E14" s="32">
        <f t="shared" si="0"/>
        <v>0.66215134498763695</v>
      </c>
      <c r="F14" s="32">
        <f t="shared" si="13"/>
        <v>3.2103268986533409E-4</v>
      </c>
      <c r="G14" s="32">
        <f t="shared" si="1"/>
        <v>5.2670774829976813E-5</v>
      </c>
      <c r="H14" s="32">
        <f t="shared" si="2"/>
        <v>4.3069151615069567E-4</v>
      </c>
      <c r="I14" s="32">
        <f t="shared" si="3"/>
        <v>0.29676389642539597</v>
      </c>
      <c r="J14" s="32">
        <f t="shared" si="4"/>
        <v>5.75061246504337E-5</v>
      </c>
      <c r="K14" s="32">
        <f t="shared" si="5"/>
        <v>3.0982331283512493E-2</v>
      </c>
      <c r="L14" s="32">
        <f t="shared" si="6"/>
        <v>1.4381711894558913E-3</v>
      </c>
      <c r="M14" s="32">
        <f t="shared" si="7"/>
        <v>0</v>
      </c>
      <c r="N14" s="32">
        <f t="shared" si="8"/>
        <v>4.5245059034275167E-5</v>
      </c>
      <c r="O14" s="32">
        <f t="shared" si="9"/>
        <v>7.7571099494679625E-3</v>
      </c>
      <c r="Q14" s="58">
        <f>SUMPRODUCT('Données ArrièrePlan'!$D$3:$M$3,R14:AA14)</f>
        <v>0</v>
      </c>
      <c r="R14" s="32">
        <f t="shared" si="12"/>
        <v>9.5022633685958122E-4</v>
      </c>
      <c r="S14" s="32">
        <f t="shared" si="10"/>
        <v>1.5590050174404103E-4</v>
      </c>
      <c r="T14" s="32">
        <f t="shared" si="10"/>
        <v>1.2748060699988143E-3</v>
      </c>
      <c r="U14" s="32">
        <f t="shared" si="10"/>
        <v>0.87839300829697364</v>
      </c>
      <c r="V14" s="32">
        <f t="shared" si="10"/>
        <v>1.7021267895333004E-4</v>
      </c>
      <c r="W14" s="32">
        <f t="shared" si="10"/>
        <v>9.1704764319333304E-2</v>
      </c>
      <c r="X14" s="32">
        <f t="shared" si="10"/>
        <v>4.2568504213913883E-3</v>
      </c>
      <c r="Y14" s="32">
        <f t="shared" si="10"/>
        <v>0</v>
      </c>
      <c r="Z14" s="32">
        <f t="shared" si="10"/>
        <v>1.3392108674406149E-4</v>
      </c>
      <c r="AA14" s="32">
        <f t="shared" si="10"/>
        <v>2.2960310288001898E-2</v>
      </c>
      <c r="AC14" s="24">
        <f>(AutoConsommation!M14+AutoConsommation!O14)/SUM(AutoConsommation!$I14,AutoConsommation!$J14,AutoConsommation!$M14,AutoConsommation!$O14)</f>
        <v>0.66215134498763695</v>
      </c>
      <c r="AD14" s="24">
        <f>IF(_xlfn.XLOOKUP($A14,AutoConsommation!$B:$B,AutoConsommation!$A:$A)=Résultats!AD$2,1,0)</f>
        <v>0</v>
      </c>
      <c r="AE14" s="24">
        <f>IF(_xlfn.XLOOKUP($A14,AutoConsommation!$B:$B,AutoConsommation!$A:$A)=Résultats!AE$2,1,0)</f>
        <v>1</v>
      </c>
      <c r="AG14" s="24">
        <f>(AutoConsommation!I14)/SUM(AutoConsommation!$I14,AutoConsommation!$J14,AutoConsommation!$M14,AutoConsommation!$O14)</f>
        <v>0.29348708346671132</v>
      </c>
      <c r="AH14" s="24">
        <f>IF(_xlfn.XLOOKUP($A14,'Correspondances pays'!$A$4:$A$205,'Correspondances pays'!$C$4:$C$205)=Résultats!AH$2,1,0)</f>
        <v>0</v>
      </c>
      <c r="AI14" s="24">
        <f>IF(_xlfn.XLOOKUP($A14,'Correspondances pays'!$A$4:$A$205,'Correspondances pays'!$C$4:$C$205)=Résultats!AI$2,1,0)</f>
        <v>0</v>
      </c>
      <c r="AJ14" s="24">
        <f>IF(_xlfn.XLOOKUP($A14,'Correspondances pays'!$A$4:$A$205,'Correspondances pays'!$C$4:$C$205)=Résultats!AJ$2,1,0)</f>
        <v>0</v>
      </c>
      <c r="AK14" s="24">
        <f>IF(_xlfn.XLOOKUP($A14,'Correspondances pays'!$A$4:$A$205,'Correspondances pays'!$C$4:$C$205)=Résultats!AK$2,1,0)</f>
        <v>1</v>
      </c>
      <c r="AL14" s="24">
        <f>IF(_xlfn.XLOOKUP($A14,'Correspondances pays'!$A$4:$A$205,'Correspondances pays'!$C$4:$C$205)=Résultats!AL$2,1,0)</f>
        <v>0</v>
      </c>
      <c r="AM14" s="24">
        <f>IF(_xlfn.XLOOKUP($A14,'Correspondances pays'!$A$4:$A$205,'Correspondances pays'!$C$4:$C$205)=Résultats!AM$2,1,0)</f>
        <v>0</v>
      </c>
      <c r="AN14" s="24">
        <f>IF(_xlfn.XLOOKUP($A14,'Correspondances pays'!$A$4:$A$205,'Correspondances pays'!$C$4:$C$205)=Résultats!AN$2,1,0)</f>
        <v>0</v>
      </c>
      <c r="AO14" s="24">
        <f>IF(_xlfn.XLOOKUP($A14,'Correspondances pays'!$A$4:$A$205,'Correspondances pays'!$C$4:$C$205)=Résultats!AO$2,1,0)</f>
        <v>0</v>
      </c>
      <c r="AP14" s="24">
        <f>IF(_xlfn.XLOOKUP($A14,'Correspondances pays'!$A$4:$A$205,'Correspondances pays'!$C$4:$C$205)=Résultats!AP$2,1,0)</f>
        <v>0</v>
      </c>
      <c r="AQ14" s="24">
        <f>IF(_xlfn.XLOOKUP($A14,'Correspondances pays'!$A$4:$A$205,'Correspondances pays'!$C$4:$C$205)=Résultats!AQ$2,1,0)</f>
        <v>0</v>
      </c>
      <c r="AS14" s="24">
        <f>(AutoConsommation!J14)/SUM(AutoConsommation!$I14,AutoConsommation!$J14,AutoConsommation!$M14,AutoConsommation!$O14)</f>
        <v>4.4361571545651686E-2</v>
      </c>
      <c r="AT14" s="24">
        <f>SUMIF(Import!$E$2:$CN$2,AT$2,Import!$E15:CN15)/Import!$D15</f>
        <v>7.2367294187259618E-3</v>
      </c>
      <c r="AU14" s="24">
        <f>SUMIF(Import!$E$2:$CN$2,AU$2,Import!$E15:CO15)/Import!$D15</f>
        <v>1.1873063328194826E-3</v>
      </c>
      <c r="AV14" s="24">
        <f>SUMIF(Import!$E$2:$CN$2,AV$2,Import!$E15:CP15)/Import!$D15</f>
        <v>9.7086622755796388E-3</v>
      </c>
      <c r="AW14" s="24">
        <f>SUMIF(Import!$E$2:$CN$2,AW$2,Import!$E15:CQ15)/Import!$D15</f>
        <v>7.3866025131966176E-2</v>
      </c>
      <c r="AX14" s="24">
        <f>SUMIF(Import!$E$2:$CN$2,AX$2,Import!$E15:CR15)/Import!$D15</f>
        <v>1.2963049469799598E-3</v>
      </c>
      <c r="AY14" s="24">
        <f>SUMIF(Import!$E$2:$CN$2,AY$2,Import!$E15:CS15)/Import!$D15</f>
        <v>0.69840472742560844</v>
      </c>
      <c r="AZ14" s="24">
        <f>SUMIF(Import!$E$2:$CN$2,AZ$2,Import!$E15:CT15)/Import!$D15</f>
        <v>3.2419302097444758E-2</v>
      </c>
      <c r="BA14" s="24">
        <f>SUMIF(Import!$E$2:$CN$2,BA$2,Import!$E15:CU15)/Import!$D15</f>
        <v>0</v>
      </c>
      <c r="BB14" s="24">
        <f>SUMIF(Import!$E$2:$CN$2,BB$2,Import!$E15:CV15)/Import!$D15</f>
        <v>1.0199156039301786E-3</v>
      </c>
      <c r="BC14" s="24">
        <f>SUMIF(Import!$E$2:$CN$2,BC$2,Import!$E15:CW15)/Import!$D15</f>
        <v>0.1748610267669454</v>
      </c>
      <c r="BD14" s="25"/>
    </row>
    <row r="15" spans="1:56" x14ac:dyDescent="0.25">
      <c r="A15" s="28" t="s">
        <v>46</v>
      </c>
      <c r="B15" s="29" t="s">
        <v>242</v>
      </c>
      <c r="C15" s="58">
        <f>SUMPRODUCT('Données ArrièrePlan'!$B$3:$M$3,$D15:$O15)</f>
        <v>0</v>
      </c>
      <c r="D15" s="32">
        <f t="shared" si="11"/>
        <v>0</v>
      </c>
      <c r="E15" s="32">
        <f t="shared" si="0"/>
        <v>0.60481893959854682</v>
      </c>
      <c r="F15" s="32">
        <f t="shared" si="13"/>
        <v>0</v>
      </c>
      <c r="G15" s="32">
        <f t="shared" si="1"/>
        <v>8.0853014374379847E-3</v>
      </c>
      <c r="H15" s="32">
        <f t="shared" si="2"/>
        <v>1.7071330717884463E-2</v>
      </c>
      <c r="I15" s="32">
        <f t="shared" si="3"/>
        <v>0.15364669849421317</v>
      </c>
      <c r="J15" s="32">
        <f t="shared" si="4"/>
        <v>1.4087005701992623E-2</v>
      </c>
      <c r="K15" s="32">
        <f t="shared" si="5"/>
        <v>8.6799234748211815E-2</v>
      </c>
      <c r="L15" s="32">
        <f t="shared" si="6"/>
        <v>1.9660185448838109E-2</v>
      </c>
      <c r="M15" s="32">
        <f t="shared" si="7"/>
        <v>4.5095417566087169E-2</v>
      </c>
      <c r="N15" s="32">
        <f t="shared" si="8"/>
        <v>0</v>
      </c>
      <c r="O15" s="32">
        <f t="shared" si="9"/>
        <v>4.7585109598727943E-2</v>
      </c>
      <c r="Q15" s="58">
        <f>SUMPRODUCT('Données ArrièrePlan'!$D$3:$M$3,R15:AA15)</f>
        <v>0</v>
      </c>
      <c r="R15" s="32">
        <f t="shared" si="12"/>
        <v>0</v>
      </c>
      <c r="S15" s="32">
        <f t="shared" si="10"/>
        <v>2.0459739212259714E-2</v>
      </c>
      <c r="T15" s="32">
        <f t="shared" si="10"/>
        <v>4.3198757300115007E-2</v>
      </c>
      <c r="U15" s="32">
        <f t="shared" si="10"/>
        <v>0.38880076473839076</v>
      </c>
      <c r="V15" s="32">
        <f t="shared" si="10"/>
        <v>3.5646965691326499E-2</v>
      </c>
      <c r="W15" s="32">
        <f t="shared" si="10"/>
        <v>0.21964421741273471</v>
      </c>
      <c r="X15" s="32">
        <f t="shared" si="10"/>
        <v>4.9749817030365497E-2</v>
      </c>
      <c r="Y15" s="32">
        <f t="shared" si="10"/>
        <v>0.11411330674672522</v>
      </c>
      <c r="Z15" s="32">
        <f t="shared" si="10"/>
        <v>0</v>
      </c>
      <c r="AA15" s="32">
        <f t="shared" si="10"/>
        <v>0.12041343669250645</v>
      </c>
      <c r="AC15" s="24">
        <f>(AutoConsommation!M15+AutoConsommation!O15)/SUM(AutoConsommation!$I15,AutoConsommation!$J15,AutoConsommation!$M15,AutoConsommation!$O15)</f>
        <v>0.60481893959854682</v>
      </c>
      <c r="AD15" s="24">
        <f>IF(_xlfn.XLOOKUP($A15,AutoConsommation!$B:$B,AutoConsommation!$A:$A)=Résultats!AD$2,1,0)</f>
        <v>0</v>
      </c>
      <c r="AE15" s="24">
        <f>IF(_xlfn.XLOOKUP($A15,AutoConsommation!$B:$B,AutoConsommation!$A:$A)=Résultats!AE$2,1,0)</f>
        <v>1</v>
      </c>
      <c r="AG15" s="24">
        <f>(AutoConsommation!I15)/SUM(AutoConsommation!$I15,AutoConsommation!$J15,AutoConsommation!$M15,AutoConsommation!$O15)</f>
        <v>0.11062189250956361</v>
      </c>
      <c r="AH15" s="24">
        <f>IF(_xlfn.XLOOKUP($A15,'Correspondances pays'!$A$4:$A$205,'Correspondances pays'!$C$4:$C$205)=Résultats!AH$2,1,0)</f>
        <v>0</v>
      </c>
      <c r="AI15" s="24">
        <f>IF(_xlfn.XLOOKUP($A15,'Correspondances pays'!$A$4:$A$205,'Correspondances pays'!$C$4:$C$205)=Résultats!AI$2,1,0)</f>
        <v>0</v>
      </c>
      <c r="AJ15" s="24">
        <f>IF(_xlfn.XLOOKUP($A15,'Correspondances pays'!$A$4:$A$205,'Correspondances pays'!$C$4:$C$205)=Résultats!AJ$2,1,0)</f>
        <v>0</v>
      </c>
      <c r="AK15" s="24">
        <f>IF(_xlfn.XLOOKUP($A15,'Correspondances pays'!$A$4:$A$205,'Correspondances pays'!$C$4:$C$205)=Résultats!AK$2,1,0)</f>
        <v>1</v>
      </c>
      <c r="AL15" s="24">
        <f>IF(_xlfn.XLOOKUP($A15,'Correspondances pays'!$A$4:$A$205,'Correspondances pays'!$C$4:$C$205)=Résultats!AL$2,1,0)</f>
        <v>0</v>
      </c>
      <c r="AM15" s="24">
        <f>IF(_xlfn.XLOOKUP($A15,'Correspondances pays'!$A$4:$A$205,'Correspondances pays'!$C$4:$C$205)=Résultats!AM$2,1,0)</f>
        <v>0</v>
      </c>
      <c r="AN15" s="24">
        <f>IF(_xlfn.XLOOKUP($A15,'Correspondances pays'!$A$4:$A$205,'Correspondances pays'!$C$4:$C$205)=Résultats!AN$2,1,0)</f>
        <v>0</v>
      </c>
      <c r="AO15" s="24">
        <f>IF(_xlfn.XLOOKUP($A15,'Correspondances pays'!$A$4:$A$205,'Correspondances pays'!$C$4:$C$205)=Résultats!AO$2,1,0)</f>
        <v>0</v>
      </c>
      <c r="AP15" s="24">
        <f>IF(_xlfn.XLOOKUP($A15,'Correspondances pays'!$A$4:$A$205,'Correspondances pays'!$C$4:$C$205)=Résultats!AP$2,1,0)</f>
        <v>0</v>
      </c>
      <c r="AQ15" s="24">
        <f>IF(_xlfn.XLOOKUP($A15,'Correspondances pays'!$A$4:$A$205,'Correspondances pays'!$C$4:$C$205)=Résultats!AQ$2,1,0)</f>
        <v>0</v>
      </c>
      <c r="AS15" s="24">
        <f>(AutoConsommation!J15)/SUM(AutoConsommation!$I15,AutoConsommation!$J15,AutoConsommation!$M15,AutoConsommation!$O15)</f>
        <v>0.28455916789188951</v>
      </c>
      <c r="AT15" s="24">
        <f>SUMIF(Import!$E$2:$CN$2,AT$2,Import!$E16:CN16)/Import!$D16</f>
        <v>0</v>
      </c>
      <c r="AU15" s="24">
        <f>SUMIF(Import!$E$2:$CN$2,AU$2,Import!$E16:CO16)/Import!$D16</f>
        <v>2.8413428030931599E-2</v>
      </c>
      <c r="AV15" s="24">
        <f>SUMIF(Import!$E$2:$CN$2,AV$2,Import!$E16:CP16)/Import!$D16</f>
        <v>5.9992200723507354E-2</v>
      </c>
      <c r="AW15" s="24">
        <f>SUMIF(Import!$E$2:$CN$2,AW$2,Import!$E16:CQ16)/Import!$D16</f>
        <v>0.15119810162291328</v>
      </c>
      <c r="AX15" s="24">
        <f>SUMIF(Import!$E$2:$CN$2,AX$2,Import!$E16:CR16)/Import!$D16</f>
        <v>4.9504662971690289E-2</v>
      </c>
      <c r="AY15" s="24">
        <f>SUMIF(Import!$E$2:$CN$2,AY$2,Import!$E16:CS16)/Import!$D16</f>
        <v>0.30503053333775848</v>
      </c>
      <c r="AZ15" s="24">
        <f>SUMIF(Import!$E$2:$CN$2,AZ$2,Import!$E16:CT16)/Import!$D16</f>
        <v>6.9089973781155625E-2</v>
      </c>
      <c r="BA15" s="24">
        <f>SUMIF(Import!$E$2:$CN$2,BA$2,Import!$E16:CU16)/Import!$D16</f>
        <v>0.15847466064850155</v>
      </c>
      <c r="BB15" s="24">
        <f>SUMIF(Import!$E$2:$CN$2,BB$2,Import!$E16:CV16)/Import!$D16</f>
        <v>0</v>
      </c>
      <c r="BC15" s="24">
        <f>SUMIF(Import!$E$2:$CN$2,BC$2,Import!$E16:CW16)/Import!$D16</f>
        <v>0.16722395539477614</v>
      </c>
      <c r="BD15" s="25"/>
    </row>
    <row r="16" spans="1:56" x14ac:dyDescent="0.25">
      <c r="A16" s="28" t="s">
        <v>50</v>
      </c>
      <c r="B16" s="29" t="s">
        <v>188</v>
      </c>
      <c r="C16" s="58">
        <f>SUMPRODUCT('Données ArrièrePlan'!$B$3:$M$3,$D16:$O16)</f>
        <v>0</v>
      </c>
      <c r="D16" s="32">
        <f t="shared" si="11"/>
        <v>0.51116573962126644</v>
      </c>
      <c r="E16" s="32">
        <f t="shared" si="0"/>
        <v>0</v>
      </c>
      <c r="F16" s="32">
        <f t="shared" si="13"/>
        <v>0</v>
      </c>
      <c r="G16" s="32">
        <f t="shared" si="1"/>
        <v>0</v>
      </c>
      <c r="H16" s="32">
        <f t="shared" si="2"/>
        <v>0.10265624540876034</v>
      </c>
      <c r="I16" s="32">
        <f t="shared" si="3"/>
        <v>9.1097151746864849E-2</v>
      </c>
      <c r="J16" s="32">
        <f t="shared" si="4"/>
        <v>0.14124481233068598</v>
      </c>
      <c r="K16" s="32">
        <f t="shared" si="5"/>
        <v>8.8938868142246025E-2</v>
      </c>
      <c r="L16" s="32">
        <f t="shared" si="6"/>
        <v>3.6677240424574847E-2</v>
      </c>
      <c r="M16" s="32">
        <f t="shared" si="7"/>
        <v>1.2223840723427366E-2</v>
      </c>
      <c r="N16" s="32">
        <f t="shared" si="8"/>
        <v>0</v>
      </c>
      <c r="O16" s="32">
        <f t="shared" si="9"/>
        <v>1.5996101602174139E-2</v>
      </c>
      <c r="Q16" s="58">
        <f>SUMPRODUCT('Données ArrièrePlan'!$D$3:$M$3,R16:AA16)</f>
        <v>0</v>
      </c>
      <c r="R16" s="32">
        <f t="shared" si="12"/>
        <v>0</v>
      </c>
      <c r="S16" s="32">
        <f t="shared" si="10"/>
        <v>0</v>
      </c>
      <c r="T16" s="32">
        <f t="shared" si="10"/>
        <v>0.21000214945905279</v>
      </c>
      <c r="U16" s="32">
        <f t="shared" si="10"/>
        <v>0.18635590655263323</v>
      </c>
      <c r="V16" s="32">
        <f t="shared" si="10"/>
        <v>0.28894212983610007</v>
      </c>
      <c r="W16" s="32">
        <f t="shared" si="10"/>
        <v>0.18194074219212655</v>
      </c>
      <c r="X16" s="32">
        <f t="shared" si="10"/>
        <v>7.5030012004801916E-2</v>
      </c>
      <c r="Y16" s="32">
        <f t="shared" si="10"/>
        <v>2.5006104756153374E-2</v>
      </c>
      <c r="Z16" s="32">
        <f t="shared" si="10"/>
        <v>0</v>
      </c>
      <c r="AA16" s="32">
        <f t="shared" si="10"/>
        <v>3.2722955199132028E-2</v>
      </c>
      <c r="AC16" s="24">
        <f>(AutoConsommation!M16+AutoConsommation!O16)/SUM(AutoConsommation!$I16,AutoConsommation!$J16,AutoConsommation!$M16,AutoConsommation!$O16)</f>
        <v>0.51116573962126644</v>
      </c>
      <c r="AD16" s="24">
        <f>IF(_xlfn.XLOOKUP($A16,AutoConsommation!$B:$B,AutoConsommation!$A:$A)=Résultats!AD$2,1,0)</f>
        <v>1</v>
      </c>
      <c r="AE16" s="24">
        <f>IF(_xlfn.XLOOKUP($A16,AutoConsommation!$B:$B,AutoConsommation!$A:$A)=Résultats!AE$2,1,0)</f>
        <v>0</v>
      </c>
      <c r="AG16" s="24">
        <f>(AutoConsommation!I16)/SUM(AutoConsommation!$I16,AutoConsommation!$J16,AutoConsommation!$M16,AutoConsommation!$O16)</f>
        <v>0</v>
      </c>
      <c r="AH16" s="24">
        <f>IF(_xlfn.XLOOKUP($A16,'Correspondances pays'!$A$4:$A$205,'Correspondances pays'!$C$4:$C$205)=Résultats!AH$2,1,0)</f>
        <v>0</v>
      </c>
      <c r="AI16" s="24">
        <f>IF(_xlfn.XLOOKUP($A16,'Correspondances pays'!$A$4:$A$205,'Correspondances pays'!$C$4:$C$205)=Résultats!AI$2,1,0)</f>
        <v>0</v>
      </c>
      <c r="AJ16" s="24">
        <f>IF(_xlfn.XLOOKUP($A16,'Correspondances pays'!$A$4:$A$205,'Correspondances pays'!$C$4:$C$205)=Résultats!AJ$2,1,0)</f>
        <v>0</v>
      </c>
      <c r="AK16" s="24">
        <f>IF(_xlfn.XLOOKUP($A16,'Correspondances pays'!$A$4:$A$205,'Correspondances pays'!$C$4:$C$205)=Résultats!AK$2,1,0)</f>
        <v>0</v>
      </c>
      <c r="AL16" s="24">
        <f>IF(_xlfn.XLOOKUP($A16,'Correspondances pays'!$A$4:$A$205,'Correspondances pays'!$C$4:$C$205)=Résultats!AL$2,1,0)</f>
        <v>1</v>
      </c>
      <c r="AM16" s="24">
        <f>IF(_xlfn.XLOOKUP($A16,'Correspondances pays'!$A$4:$A$205,'Correspondances pays'!$C$4:$C$205)=Résultats!AM$2,1,0)</f>
        <v>0</v>
      </c>
      <c r="AN16" s="24">
        <f>IF(_xlfn.XLOOKUP($A16,'Correspondances pays'!$A$4:$A$205,'Correspondances pays'!$C$4:$C$205)=Résultats!AN$2,1,0)</f>
        <v>0</v>
      </c>
      <c r="AO16" s="24">
        <f>IF(_xlfn.XLOOKUP($A16,'Correspondances pays'!$A$4:$A$205,'Correspondances pays'!$C$4:$C$205)=Résultats!AO$2,1,0)</f>
        <v>0</v>
      </c>
      <c r="AP16" s="24">
        <f>IF(_xlfn.XLOOKUP($A16,'Correspondances pays'!$A$4:$A$205,'Correspondances pays'!$C$4:$C$205)=Résultats!AP$2,1,0)</f>
        <v>0</v>
      </c>
      <c r="AQ16" s="24">
        <f>IF(_xlfn.XLOOKUP($A16,'Correspondances pays'!$A$4:$A$205,'Correspondances pays'!$C$4:$C$205)=Résultats!AQ$2,1,0)</f>
        <v>0</v>
      </c>
      <c r="AS16" s="24">
        <f>(AutoConsommation!J16)/SUM(AutoConsommation!$I16,AutoConsommation!$J16,AutoConsommation!$M16,AutoConsommation!$O16)</f>
        <v>0.48883426037873356</v>
      </c>
      <c r="AT16" s="24">
        <f>SUMIF(Import!$E$2:$CN$2,AT$2,Import!$E17:CN17)/Import!$D17</f>
        <v>0</v>
      </c>
      <c r="AU16" s="24">
        <f>SUMIF(Import!$E$2:$CN$2,AU$2,Import!$E17:CO17)/Import!$D17</f>
        <v>0</v>
      </c>
      <c r="AV16" s="24">
        <f>SUMIF(Import!$E$2:$CN$2,AV$2,Import!$E17:CP17)/Import!$D17</f>
        <v>0.21000214945905279</v>
      </c>
      <c r="AW16" s="24">
        <f>SUMIF(Import!$E$2:$CN$2,AW$2,Import!$E17:CQ17)/Import!$D17</f>
        <v>0.18635590655263323</v>
      </c>
      <c r="AX16" s="24">
        <f>SUMIF(Import!$E$2:$CN$2,AX$2,Import!$E17:CR17)/Import!$D17</f>
        <v>0.28894212983610007</v>
      </c>
      <c r="AY16" s="24">
        <f>SUMIF(Import!$E$2:$CN$2,AY$2,Import!$E17:CS17)/Import!$D17</f>
        <v>0.18194074219212655</v>
      </c>
      <c r="AZ16" s="24">
        <f>SUMIF(Import!$E$2:$CN$2,AZ$2,Import!$E17:CT17)/Import!$D17</f>
        <v>7.5030012004801916E-2</v>
      </c>
      <c r="BA16" s="24">
        <f>SUMIF(Import!$E$2:$CN$2,BA$2,Import!$E17:CU17)/Import!$D17</f>
        <v>2.5006104756153374E-2</v>
      </c>
      <c r="BB16" s="24">
        <f>SUMIF(Import!$E$2:$CN$2,BB$2,Import!$E17:CV17)/Import!$D17</f>
        <v>0</v>
      </c>
      <c r="BC16" s="24">
        <f>SUMIF(Import!$E$2:$CN$2,BC$2,Import!$E17:CW17)/Import!$D17</f>
        <v>3.2722955199132028E-2</v>
      </c>
      <c r="BD16" s="25"/>
    </row>
    <row r="17" spans="1:56" x14ac:dyDescent="0.25">
      <c r="A17" s="28" t="s">
        <v>51</v>
      </c>
      <c r="B17" s="29" t="s">
        <v>242</v>
      </c>
      <c r="C17" s="58">
        <f>SUMPRODUCT('Données ArrièrePlan'!$B$3:$M$3,$D17:$O17)</f>
        <v>0</v>
      </c>
      <c r="D17" s="32">
        <f t="shared" si="11"/>
        <v>0</v>
      </c>
      <c r="E17" s="32">
        <f t="shared" si="0"/>
        <v>0.21428845238630204</v>
      </c>
      <c r="F17" s="32">
        <f t="shared" si="13"/>
        <v>0</v>
      </c>
      <c r="G17" s="32">
        <f t="shared" si="1"/>
        <v>5.7538760150417582E-2</v>
      </c>
      <c r="H17" s="32">
        <f t="shared" si="2"/>
        <v>5.1662181697620407E-2</v>
      </c>
      <c r="I17" s="32">
        <f t="shared" si="3"/>
        <v>4.9134960272236516E-2</v>
      </c>
      <c r="J17" s="32">
        <f t="shared" si="4"/>
        <v>1.285660077334979E-2</v>
      </c>
      <c r="K17" s="32">
        <f t="shared" si="5"/>
        <v>0.22289793776967426</v>
      </c>
      <c r="L17" s="32">
        <f t="shared" si="6"/>
        <v>0.13392322283327254</v>
      </c>
      <c r="M17" s="32">
        <f t="shared" si="7"/>
        <v>0.17467226988006204</v>
      </c>
      <c r="N17" s="32">
        <f t="shared" si="8"/>
        <v>4.7356701778606472E-2</v>
      </c>
      <c r="O17" s="32">
        <f t="shared" si="9"/>
        <v>3.5668912458458289E-2</v>
      </c>
      <c r="Q17" s="58">
        <f>SUMPRODUCT('Données ArrièrePlan'!$D$3:$M$3,R17:AA17)</f>
        <v>0</v>
      </c>
      <c r="R17" s="32">
        <f t="shared" si="12"/>
        <v>0</v>
      </c>
      <c r="S17" s="32">
        <f t="shared" si="10"/>
        <v>7.3231404483197218E-2</v>
      </c>
      <c r="T17" s="32">
        <f t="shared" si="10"/>
        <v>6.5752096751695674E-2</v>
      </c>
      <c r="U17" s="32">
        <f t="shared" si="10"/>
        <v>6.2535621910439529E-2</v>
      </c>
      <c r="V17" s="32">
        <f t="shared" si="10"/>
        <v>1.6363003461508055E-2</v>
      </c>
      <c r="W17" s="32">
        <f t="shared" si="10"/>
        <v>0.28368927305019581</v>
      </c>
      <c r="X17" s="32">
        <f t="shared" si="10"/>
        <v>0.17044833213921032</v>
      </c>
      <c r="Y17" s="32">
        <f t="shared" si="10"/>
        <v>0.22231093638697699</v>
      </c>
      <c r="Z17" s="32">
        <f t="shared" si="10"/>
        <v>6.0272375940552958E-2</v>
      </c>
      <c r="AA17" s="32">
        <f t="shared" si="10"/>
        <v>4.5396955876223458E-2</v>
      </c>
      <c r="AC17" s="24">
        <f>(AutoConsommation!M17+AutoConsommation!O17)/SUM(AutoConsommation!$I17,AutoConsommation!$J17,AutoConsommation!$M17,AutoConsommation!$O17)</f>
        <v>0.21428845238630204</v>
      </c>
      <c r="AD17" s="24">
        <f>IF(_xlfn.XLOOKUP($A17,AutoConsommation!$B:$B,AutoConsommation!$A:$A)=Résultats!AD$2,1,0)</f>
        <v>0</v>
      </c>
      <c r="AE17" s="24">
        <f>IF(_xlfn.XLOOKUP($A17,AutoConsommation!$B:$B,AutoConsommation!$A:$A)=Résultats!AE$2,1,0)</f>
        <v>1</v>
      </c>
      <c r="AG17" s="24">
        <f>(AutoConsommation!I17)/SUM(AutoConsommation!$I17,AutoConsommation!$J17,AutoConsommation!$M17,AutoConsommation!$O17)</f>
        <v>0</v>
      </c>
      <c r="AH17" s="24">
        <f>IF(_xlfn.XLOOKUP($A17,'Correspondances pays'!$A$4:$A$205,'Correspondances pays'!$C$4:$C$205)=Résultats!AH$2,1,0)</f>
        <v>0</v>
      </c>
      <c r="AI17" s="24">
        <f>IF(_xlfn.XLOOKUP($A17,'Correspondances pays'!$A$4:$A$205,'Correspondances pays'!$C$4:$C$205)=Résultats!AI$2,1,0)</f>
        <v>0</v>
      </c>
      <c r="AJ17" s="24">
        <f>IF(_xlfn.XLOOKUP($A17,'Correspondances pays'!$A$4:$A$205,'Correspondances pays'!$C$4:$C$205)=Résultats!AJ$2,1,0)</f>
        <v>0</v>
      </c>
      <c r="AK17" s="24">
        <f>IF(_xlfn.XLOOKUP($A17,'Correspondances pays'!$A$4:$A$205,'Correspondances pays'!$C$4:$C$205)=Résultats!AK$2,1,0)</f>
        <v>1</v>
      </c>
      <c r="AL17" s="24">
        <f>IF(_xlfn.XLOOKUP($A17,'Correspondances pays'!$A$4:$A$205,'Correspondances pays'!$C$4:$C$205)=Résultats!AL$2,1,0)</f>
        <v>0</v>
      </c>
      <c r="AM17" s="24">
        <f>IF(_xlfn.XLOOKUP($A17,'Correspondances pays'!$A$4:$A$205,'Correspondances pays'!$C$4:$C$205)=Résultats!AM$2,1,0)</f>
        <v>0</v>
      </c>
      <c r="AN17" s="24">
        <f>IF(_xlfn.XLOOKUP($A17,'Correspondances pays'!$A$4:$A$205,'Correspondances pays'!$C$4:$C$205)=Résultats!AN$2,1,0)</f>
        <v>0</v>
      </c>
      <c r="AO17" s="24">
        <f>IF(_xlfn.XLOOKUP($A17,'Correspondances pays'!$A$4:$A$205,'Correspondances pays'!$C$4:$C$205)=Résultats!AO$2,1,0)</f>
        <v>0</v>
      </c>
      <c r="AP17" s="24">
        <f>IF(_xlfn.XLOOKUP($A17,'Correspondances pays'!$A$4:$A$205,'Correspondances pays'!$C$4:$C$205)=Résultats!AP$2,1,0)</f>
        <v>0</v>
      </c>
      <c r="AQ17" s="24">
        <f>IF(_xlfn.XLOOKUP($A17,'Correspondances pays'!$A$4:$A$205,'Correspondances pays'!$C$4:$C$205)=Résultats!AQ$2,1,0)</f>
        <v>0</v>
      </c>
      <c r="AS17" s="24">
        <f>(AutoConsommation!J17)/SUM(AutoConsommation!$I17,AutoConsommation!$J17,AutoConsommation!$M17,AutoConsommation!$O17)</f>
        <v>0.78571154761369788</v>
      </c>
      <c r="AT17" s="24">
        <f>SUMIF(Import!$E$2:$CN$2,AT$2,Import!$E18:CN18)/Import!$D18</f>
        <v>0</v>
      </c>
      <c r="AU17" s="24">
        <f>SUMIF(Import!$E$2:$CN$2,AU$2,Import!$E18:CO18)/Import!$D18</f>
        <v>7.3231404483197218E-2</v>
      </c>
      <c r="AV17" s="24">
        <f>SUMIF(Import!$E$2:$CN$2,AV$2,Import!$E18:CP18)/Import!$D18</f>
        <v>6.5752096751695674E-2</v>
      </c>
      <c r="AW17" s="24">
        <f>SUMIF(Import!$E$2:$CN$2,AW$2,Import!$E18:CQ18)/Import!$D18</f>
        <v>6.2535621910439529E-2</v>
      </c>
      <c r="AX17" s="24">
        <f>SUMIF(Import!$E$2:$CN$2,AX$2,Import!$E18:CR18)/Import!$D18</f>
        <v>1.6363003461508055E-2</v>
      </c>
      <c r="AY17" s="24">
        <f>SUMIF(Import!$E$2:$CN$2,AY$2,Import!$E18:CS18)/Import!$D18</f>
        <v>0.28368927305019581</v>
      </c>
      <c r="AZ17" s="24">
        <f>SUMIF(Import!$E$2:$CN$2,AZ$2,Import!$E18:CT18)/Import!$D18</f>
        <v>0.17044833213921032</v>
      </c>
      <c r="BA17" s="24">
        <f>SUMIF(Import!$E$2:$CN$2,BA$2,Import!$E18:CU18)/Import!$D18</f>
        <v>0.22231093638697699</v>
      </c>
      <c r="BB17" s="24">
        <f>SUMIF(Import!$E$2:$CN$2,BB$2,Import!$E18:CV18)/Import!$D18</f>
        <v>6.0272375940552958E-2</v>
      </c>
      <c r="BC17" s="24">
        <f>SUMIF(Import!$E$2:$CN$2,BC$2,Import!$E18:CW18)/Import!$D18</f>
        <v>4.5396955876223458E-2</v>
      </c>
      <c r="BD17" s="25"/>
    </row>
    <row r="18" spans="1:56" x14ac:dyDescent="0.25">
      <c r="A18" s="28" t="s">
        <v>73</v>
      </c>
      <c r="B18" s="29" t="s">
        <v>242</v>
      </c>
      <c r="C18" s="58">
        <f>SUMPRODUCT('Données ArrièrePlan'!$B$3:$M$3,$D18:$O18)</f>
        <v>0</v>
      </c>
      <c r="D18" s="32">
        <f t="shared" si="11"/>
        <v>0</v>
      </c>
      <c r="E18" s="32">
        <f t="shared" si="0"/>
        <v>0.3360960562371183</v>
      </c>
      <c r="F18" s="32">
        <f t="shared" si="13"/>
        <v>0</v>
      </c>
      <c r="G18" s="32">
        <f t="shared" si="1"/>
        <v>3.7020826036860077E-4</v>
      </c>
      <c r="H18" s="32">
        <f t="shared" si="2"/>
        <v>0</v>
      </c>
      <c r="I18" s="32">
        <f t="shared" si="3"/>
        <v>3.8251983739946351E-2</v>
      </c>
      <c r="J18" s="32">
        <f t="shared" si="4"/>
        <v>2.0193569178943098E-2</v>
      </c>
      <c r="K18" s="32">
        <f t="shared" si="5"/>
        <v>0.5108228281004652</v>
      </c>
      <c r="L18" s="32">
        <f t="shared" si="6"/>
        <v>9.1157326994947552E-2</v>
      </c>
      <c r="M18" s="32">
        <f t="shared" si="7"/>
        <v>0</v>
      </c>
      <c r="N18" s="32">
        <f t="shared" si="8"/>
        <v>0</v>
      </c>
      <c r="O18" s="32">
        <f t="shared" si="9"/>
        <v>3.1080274882108109E-3</v>
      </c>
      <c r="Q18" s="58">
        <f>SUMPRODUCT('Données ArrièrePlan'!$D$3:$M$3,R18:AA18)</f>
        <v>0</v>
      </c>
      <c r="R18" s="32">
        <f t="shared" si="12"/>
        <v>0</v>
      </c>
      <c r="S18" s="32">
        <f t="shared" si="10"/>
        <v>5.5762322824945215E-4</v>
      </c>
      <c r="T18" s="32">
        <f t="shared" si="10"/>
        <v>0</v>
      </c>
      <c r="U18" s="32">
        <f t="shared" si="10"/>
        <v>5.7616744258425945E-2</v>
      </c>
      <c r="V18" s="32">
        <f t="shared" si="10"/>
        <v>3.041640190369977E-2</v>
      </c>
      <c r="W18" s="32">
        <f t="shared" si="10"/>
        <v>0.76942279511885148</v>
      </c>
      <c r="X18" s="32">
        <f t="shared" si="10"/>
        <v>0.13730499396988835</v>
      </c>
      <c r="Y18" s="32">
        <f t="shared" si="10"/>
        <v>0</v>
      </c>
      <c r="Z18" s="32">
        <f t="shared" si="10"/>
        <v>0</v>
      </c>
      <c r="AA18" s="32">
        <f t="shared" si="10"/>
        <v>4.6814415208849347E-3</v>
      </c>
      <c r="AC18" s="24">
        <f>(AutoConsommation!M18+AutoConsommation!O18)/SUM(AutoConsommation!$I18,AutoConsommation!$J18,AutoConsommation!$M18,AutoConsommation!$O18)</f>
        <v>0.3360960562371183</v>
      </c>
      <c r="AD18" s="24">
        <f>IF(_xlfn.XLOOKUP($A18,AutoConsommation!$B:$B,AutoConsommation!$A:$A)=Résultats!AD$2,1,0)</f>
        <v>0</v>
      </c>
      <c r="AE18" s="24">
        <f>IF(_xlfn.XLOOKUP($A18,AutoConsommation!$B:$B,AutoConsommation!$A:$A)=Résultats!AE$2,1,0)</f>
        <v>1</v>
      </c>
      <c r="AG18" s="24">
        <f>(AutoConsommation!I18)/SUM(AutoConsommation!$I18,AutoConsommation!$J18,AutoConsommation!$M18,AutoConsommation!$O18)</f>
        <v>0</v>
      </c>
      <c r="AH18" s="24">
        <f>IF(_xlfn.XLOOKUP($A18,'Correspondances pays'!$A$4:$A$205,'Correspondances pays'!$C$4:$C$205)=Résultats!AH$2,1,0)</f>
        <v>0</v>
      </c>
      <c r="AI18" s="24">
        <f>IF(_xlfn.XLOOKUP($A18,'Correspondances pays'!$A$4:$A$205,'Correspondances pays'!$C$4:$C$205)=Résultats!AI$2,1,0)</f>
        <v>0</v>
      </c>
      <c r="AJ18" s="24">
        <f>IF(_xlfn.XLOOKUP($A18,'Correspondances pays'!$A$4:$A$205,'Correspondances pays'!$C$4:$C$205)=Résultats!AJ$2,1,0)</f>
        <v>0</v>
      </c>
      <c r="AK18" s="24">
        <f>IF(_xlfn.XLOOKUP($A18,'Correspondances pays'!$A$4:$A$205,'Correspondances pays'!$C$4:$C$205)=Résultats!AK$2,1,0)</f>
        <v>0</v>
      </c>
      <c r="AL18" s="24">
        <f>IF(_xlfn.XLOOKUP($A18,'Correspondances pays'!$A$4:$A$205,'Correspondances pays'!$C$4:$C$205)=Résultats!AL$2,1,0)</f>
        <v>0</v>
      </c>
      <c r="AM18" s="24">
        <f>IF(_xlfn.XLOOKUP($A18,'Correspondances pays'!$A$4:$A$205,'Correspondances pays'!$C$4:$C$205)=Résultats!AM$2,1,0)</f>
        <v>0</v>
      </c>
      <c r="AN18" s="24">
        <f>IF(_xlfn.XLOOKUP($A18,'Correspondances pays'!$A$4:$A$205,'Correspondances pays'!$C$4:$C$205)=Résultats!AN$2,1,0)</f>
        <v>0</v>
      </c>
      <c r="AO18" s="24">
        <f>IF(_xlfn.XLOOKUP($A18,'Correspondances pays'!$A$4:$A$205,'Correspondances pays'!$C$4:$C$205)=Résultats!AO$2,1,0)</f>
        <v>0</v>
      </c>
      <c r="AP18" s="24">
        <f>IF(_xlfn.XLOOKUP($A18,'Correspondances pays'!$A$4:$A$205,'Correspondances pays'!$C$4:$C$205)=Résultats!AP$2,1,0)</f>
        <v>0</v>
      </c>
      <c r="AQ18" s="24">
        <f>IF(_xlfn.XLOOKUP($A18,'Correspondances pays'!$A$4:$A$205,'Correspondances pays'!$C$4:$C$205)=Résultats!AQ$2,1,0)</f>
        <v>1</v>
      </c>
      <c r="AS18" s="24">
        <f>(AutoConsommation!J18)/SUM(AutoConsommation!$I18,AutoConsommation!$J18,AutoConsommation!$M18,AutoConsommation!$O18)</f>
        <v>0.66390394376288164</v>
      </c>
      <c r="AT18" s="24">
        <f>SUMIF(Import!$E$2:$CN$2,AT$2,Import!$E19:CN19)/Import!$D19</f>
        <v>0</v>
      </c>
      <c r="AU18" s="24">
        <f>SUMIF(Import!$E$2:$CN$2,AU$2,Import!$E19:CO19)/Import!$D19</f>
        <v>5.5762322824945215E-4</v>
      </c>
      <c r="AV18" s="24">
        <f>SUMIF(Import!$E$2:$CN$2,AV$2,Import!$E19:CP19)/Import!$D19</f>
        <v>0</v>
      </c>
      <c r="AW18" s="24">
        <f>SUMIF(Import!$E$2:$CN$2,AW$2,Import!$E19:CQ19)/Import!$D19</f>
        <v>5.7616744258425945E-2</v>
      </c>
      <c r="AX18" s="24">
        <f>SUMIF(Import!$E$2:$CN$2,AX$2,Import!$E19:CR19)/Import!$D19</f>
        <v>3.0416401903699767E-2</v>
      </c>
      <c r="AY18" s="24">
        <f>SUMIF(Import!$E$2:$CN$2,AY$2,Import!$E19:CS19)/Import!$D19</f>
        <v>0.76942279511885159</v>
      </c>
      <c r="AZ18" s="24">
        <f>SUMIF(Import!$E$2:$CN$2,AZ$2,Import!$E19:CT19)/Import!$D19</f>
        <v>0.13730499396988835</v>
      </c>
      <c r="BA18" s="24">
        <f>SUMIF(Import!$E$2:$CN$2,BA$2,Import!$E19:CU19)/Import!$D19</f>
        <v>0</v>
      </c>
      <c r="BB18" s="24">
        <f>SUMIF(Import!$E$2:$CN$2,BB$2,Import!$E19:CV19)/Import!$D19</f>
        <v>0</v>
      </c>
      <c r="BC18" s="24">
        <f>SUMIF(Import!$E$2:$CN$2,BC$2,Import!$E19:CW19)/Import!$D19</f>
        <v>4.6814415208849347E-3</v>
      </c>
      <c r="BD18" s="25"/>
    </row>
    <row r="19" spans="1:56" x14ac:dyDescent="0.25">
      <c r="A19" s="28" t="s">
        <v>70</v>
      </c>
      <c r="B19" s="29" t="s">
        <v>242</v>
      </c>
      <c r="C19" s="58">
        <f>SUMPRODUCT('Données ArrièrePlan'!$B$3:$M$3,$D19:$O19)</f>
        <v>0</v>
      </c>
      <c r="D19" s="32">
        <f t="shared" si="11"/>
        <v>0</v>
      </c>
      <c r="E19" s="32">
        <f t="shared" si="0"/>
        <v>0.32079119883973373</v>
      </c>
      <c r="F19" s="32">
        <f t="shared" si="13"/>
        <v>0.19711164769203698</v>
      </c>
      <c r="G19" s="32">
        <f t="shared" si="1"/>
        <v>4.0107325711804679E-3</v>
      </c>
      <c r="H19" s="32">
        <f t="shared" si="2"/>
        <v>6.7685990677144217E-2</v>
      </c>
      <c r="I19" s="32">
        <f t="shared" si="3"/>
        <v>0.1452422798918539</v>
      </c>
      <c r="J19" s="32">
        <f t="shared" si="4"/>
        <v>4.8718115833219051E-4</v>
      </c>
      <c r="K19" s="32">
        <f t="shared" si="5"/>
        <v>0.15930305474892356</v>
      </c>
      <c r="L19" s="32">
        <f t="shared" si="6"/>
        <v>8.7845833488064906E-2</v>
      </c>
      <c r="M19" s="32">
        <f t="shared" si="7"/>
        <v>0</v>
      </c>
      <c r="N19" s="32">
        <f t="shared" si="8"/>
        <v>1.7125428908961486E-3</v>
      </c>
      <c r="O19" s="32">
        <f t="shared" si="9"/>
        <v>1.5809538041834059E-2</v>
      </c>
      <c r="Q19" s="58">
        <f>SUMPRODUCT('Données ArrièrePlan'!$D$3:$M$3,R19:AA19)</f>
        <v>0</v>
      </c>
      <c r="R19" s="32">
        <f t="shared" si="12"/>
        <v>0.2902077348752235</v>
      </c>
      <c r="S19" s="32">
        <f t="shared" si="12"/>
        <v>5.9050067730705008E-3</v>
      </c>
      <c r="T19" s="32">
        <f t="shared" si="12"/>
        <v>9.9654171974095193E-2</v>
      </c>
      <c r="U19" s="32">
        <f t="shared" si="12"/>
        <v>0.21384039730307097</v>
      </c>
      <c r="V19" s="32">
        <f t="shared" si="12"/>
        <v>7.1727745208830863E-4</v>
      </c>
      <c r="W19" s="32">
        <f t="shared" si="12"/>
        <v>0.23454209438510257</v>
      </c>
      <c r="X19" s="32">
        <f t="shared" si="12"/>
        <v>0.12933553472511139</v>
      </c>
      <c r="Y19" s="32">
        <f t="shared" si="12"/>
        <v>0</v>
      </c>
      <c r="Z19" s="32">
        <f t="shared" si="12"/>
        <v>2.5213791222532412E-3</v>
      </c>
      <c r="AA19" s="32">
        <f t="shared" si="12"/>
        <v>2.327640338998439E-2</v>
      </c>
      <c r="AC19" s="24">
        <f>(AutoConsommation!M19+AutoConsommation!O19)/SUM(AutoConsommation!$I19,AutoConsommation!$J19,AutoConsommation!$M19,AutoConsommation!$O19)</f>
        <v>0.32079119883973373</v>
      </c>
      <c r="AD19" s="24">
        <f>IF(_xlfn.XLOOKUP($A19,AutoConsommation!$B:$B,AutoConsommation!$A:$A)=Résultats!AD$2,1,0)</f>
        <v>0</v>
      </c>
      <c r="AE19" s="24">
        <f>IF(_xlfn.XLOOKUP($A19,AutoConsommation!$B:$B,AutoConsommation!$A:$A)=Résultats!AE$2,1,0)</f>
        <v>1</v>
      </c>
      <c r="AG19" s="24">
        <f>(AutoConsommation!I19)/SUM(AutoConsommation!$I19,AutoConsommation!$J19,AutoConsommation!$M19,AutoConsommation!$O19)</f>
        <v>0</v>
      </c>
      <c r="AH19" s="24">
        <f>IF(_xlfn.XLOOKUP($A19,'Correspondances pays'!$A$4:$A$205,'Correspondances pays'!$C$4:$C$205)=Résultats!AH$2,1,0)</f>
        <v>0</v>
      </c>
      <c r="AI19" s="24">
        <f>IF(_xlfn.XLOOKUP($A19,'Correspondances pays'!$A$4:$A$205,'Correspondances pays'!$C$4:$C$205)=Résultats!AI$2,1,0)</f>
        <v>0</v>
      </c>
      <c r="AJ19" s="24">
        <f>IF(_xlfn.XLOOKUP($A19,'Correspondances pays'!$A$4:$A$205,'Correspondances pays'!$C$4:$C$205)=Résultats!AJ$2,1,0)</f>
        <v>0</v>
      </c>
      <c r="AK19" s="24">
        <f>IF(_xlfn.XLOOKUP($A19,'Correspondances pays'!$A$4:$A$205,'Correspondances pays'!$C$4:$C$205)=Résultats!AK$2,1,0)</f>
        <v>0</v>
      </c>
      <c r="AL19" s="24">
        <f>IF(_xlfn.XLOOKUP($A19,'Correspondances pays'!$A$4:$A$205,'Correspondances pays'!$C$4:$C$205)=Résultats!AL$2,1,0)</f>
        <v>0</v>
      </c>
      <c r="AM19" s="24">
        <f>IF(_xlfn.XLOOKUP($A19,'Correspondances pays'!$A$4:$A$205,'Correspondances pays'!$C$4:$C$205)=Résultats!AM$2,1,0)</f>
        <v>0</v>
      </c>
      <c r="AN19" s="24">
        <f>IF(_xlfn.XLOOKUP($A19,'Correspondances pays'!$A$4:$A$205,'Correspondances pays'!$C$4:$C$205)=Résultats!AN$2,1,0)</f>
        <v>0</v>
      </c>
      <c r="AO19" s="24">
        <f>IF(_xlfn.XLOOKUP($A19,'Correspondances pays'!$A$4:$A$205,'Correspondances pays'!$C$4:$C$205)=Résultats!AO$2,1,0)</f>
        <v>0</v>
      </c>
      <c r="AP19" s="24">
        <f>IF(_xlfn.XLOOKUP($A19,'Correspondances pays'!$A$4:$A$205,'Correspondances pays'!$C$4:$C$205)=Résultats!AP$2,1,0)</f>
        <v>0</v>
      </c>
      <c r="AQ19" s="24">
        <f>IF(_xlfn.XLOOKUP($A19,'Correspondances pays'!$A$4:$A$205,'Correspondances pays'!$C$4:$C$205)=Résultats!AQ$2,1,0)</f>
        <v>1</v>
      </c>
      <c r="AS19" s="24">
        <f>(AutoConsommation!J19)/SUM(AutoConsommation!$I19,AutoConsommation!$J19,AutoConsommation!$M19,AutoConsommation!$O19)</f>
        <v>0.67920880116026638</v>
      </c>
      <c r="AT19" s="24">
        <f>SUMIF(Import!$E$2:$CN$2,AT$2,Import!$E20:CN20)/Import!$D20</f>
        <v>0.2902077348752235</v>
      </c>
      <c r="AU19" s="24">
        <f>SUMIF(Import!$E$2:$CN$2,AU$2,Import!$E20:CO20)/Import!$D20</f>
        <v>5.9050067730705008E-3</v>
      </c>
      <c r="AV19" s="24">
        <f>SUMIF(Import!$E$2:$CN$2,AV$2,Import!$E20:CP20)/Import!$D20</f>
        <v>9.9654171974095193E-2</v>
      </c>
      <c r="AW19" s="24">
        <f>SUMIF(Import!$E$2:$CN$2,AW$2,Import!$E20:CQ20)/Import!$D20</f>
        <v>0.21384039730307097</v>
      </c>
      <c r="AX19" s="24">
        <f>SUMIF(Import!$E$2:$CN$2,AX$2,Import!$E20:CR20)/Import!$D20</f>
        <v>7.1727745208830863E-4</v>
      </c>
      <c r="AY19" s="24">
        <f>SUMIF(Import!$E$2:$CN$2,AY$2,Import!$E20:CS20)/Import!$D20</f>
        <v>0.23454209438510257</v>
      </c>
      <c r="AZ19" s="24">
        <f>SUMIF(Import!$E$2:$CN$2,AZ$2,Import!$E20:CT20)/Import!$D20</f>
        <v>0.12933553472511139</v>
      </c>
      <c r="BA19" s="24">
        <f>SUMIF(Import!$E$2:$CN$2,BA$2,Import!$E20:CU20)/Import!$D20</f>
        <v>0</v>
      </c>
      <c r="BB19" s="24">
        <f>SUMIF(Import!$E$2:$CN$2,BB$2,Import!$E20:CV20)/Import!$D20</f>
        <v>2.5213791222532412E-3</v>
      </c>
      <c r="BC19" s="24">
        <f>SUMIF(Import!$E$2:$CN$2,BC$2,Import!$E20:CW20)/Import!$D20</f>
        <v>2.3276403389984393E-2</v>
      </c>
      <c r="BD19" s="25"/>
    </row>
    <row r="20" spans="1:56" x14ac:dyDescent="0.25">
      <c r="A20" s="28" t="s">
        <v>86</v>
      </c>
      <c r="B20" s="29" t="s">
        <v>188</v>
      </c>
      <c r="C20" s="58">
        <f>SUMPRODUCT('Données ArrièrePlan'!$B$3:$M$3,$D20:$O20)</f>
        <v>0</v>
      </c>
      <c r="D20" s="32">
        <f t="shared" si="11"/>
        <v>0.54998328472260694</v>
      </c>
      <c r="E20" s="32">
        <f t="shared" si="0"/>
        <v>0</v>
      </c>
      <c r="F20" s="32">
        <f t="shared" si="13"/>
        <v>8.5406396258173797E-3</v>
      </c>
      <c r="G20" s="32">
        <f t="shared" si="1"/>
        <v>0</v>
      </c>
      <c r="H20" s="32">
        <f t="shared" si="2"/>
        <v>1.3237715202693982E-2</v>
      </c>
      <c r="I20" s="32">
        <f t="shared" si="3"/>
        <v>1.5848659447941033E-2</v>
      </c>
      <c r="J20" s="32">
        <f t="shared" si="4"/>
        <v>0.29142861093179628</v>
      </c>
      <c r="K20" s="32">
        <f t="shared" si="5"/>
        <v>3.5467685354239345E-2</v>
      </c>
      <c r="L20" s="32">
        <f t="shared" si="6"/>
        <v>6.4080347296003828E-2</v>
      </c>
      <c r="M20" s="32">
        <f t="shared" si="7"/>
        <v>0</v>
      </c>
      <c r="N20" s="32">
        <f t="shared" si="8"/>
        <v>1.7811183527547514E-2</v>
      </c>
      <c r="O20" s="32">
        <f t="shared" si="9"/>
        <v>3.6018738913537718E-3</v>
      </c>
      <c r="Q20" s="58">
        <f>SUMPRODUCT('Données ArrièrePlan'!$D$3:$M$3,R20:AA20)</f>
        <v>0</v>
      </c>
      <c r="R20" s="32">
        <f t="shared" si="12"/>
        <v>1.89784942111603E-2</v>
      </c>
      <c r="S20" s="32">
        <f t="shared" si="12"/>
        <v>0</v>
      </c>
      <c r="T20" s="32">
        <f t="shared" si="12"/>
        <v>2.9416052233824624E-2</v>
      </c>
      <c r="U20" s="32">
        <f t="shared" si="12"/>
        <v>3.5217935045305633E-2</v>
      </c>
      <c r="V20" s="32">
        <f t="shared" si="12"/>
        <v>0.64759508044530711</v>
      </c>
      <c r="W20" s="32">
        <f t="shared" si="12"/>
        <v>7.8814151008539404E-2</v>
      </c>
      <c r="X20" s="32">
        <f t="shared" si="12"/>
        <v>0.14239548248003253</v>
      </c>
      <c r="Y20" s="32">
        <f t="shared" si="12"/>
        <v>0</v>
      </c>
      <c r="Z20" s="32">
        <f t="shared" si="12"/>
        <v>3.9578937676945147E-2</v>
      </c>
      <c r="AA20" s="32">
        <f t="shared" si="12"/>
        <v>8.0038668988851973E-3</v>
      </c>
      <c r="AC20" s="24">
        <f>(AutoConsommation!M20+AutoConsommation!O20)/SUM(AutoConsommation!$I20,AutoConsommation!$J20,AutoConsommation!$M20,AutoConsommation!$O20)</f>
        <v>0.54998328472260694</v>
      </c>
      <c r="AD20" s="24">
        <f>IF(_xlfn.XLOOKUP($A20,AutoConsommation!$B:$B,AutoConsommation!$A:$A)=Résultats!AD$2,1,0)</f>
        <v>1</v>
      </c>
      <c r="AE20" s="24">
        <f>IF(_xlfn.XLOOKUP($A20,AutoConsommation!$B:$B,AutoConsommation!$A:$A)=Résultats!AE$2,1,0)</f>
        <v>0</v>
      </c>
      <c r="AG20" s="24">
        <f>(AutoConsommation!I20)/SUM(AutoConsommation!$I20,AutoConsommation!$J20,AutoConsommation!$M20,AutoConsommation!$O20)</f>
        <v>0</v>
      </c>
      <c r="AH20" s="24">
        <f>IF(_xlfn.XLOOKUP($A20,'Correspondances pays'!$A$4:$A$205,'Correspondances pays'!$C$4:$C$205)=Résultats!AH$2,1,0)</f>
        <v>0</v>
      </c>
      <c r="AI20" s="24">
        <f>IF(_xlfn.XLOOKUP($A20,'Correspondances pays'!$A$4:$A$205,'Correspondances pays'!$C$4:$C$205)=Résultats!AI$2,1,0)</f>
        <v>0</v>
      </c>
      <c r="AJ20" s="24">
        <f>IF(_xlfn.XLOOKUP($A20,'Correspondances pays'!$A$4:$A$205,'Correspondances pays'!$C$4:$C$205)=Résultats!AJ$2,1,0)</f>
        <v>0</v>
      </c>
      <c r="AK20" s="24">
        <f>IF(_xlfn.XLOOKUP($A20,'Correspondances pays'!$A$4:$A$205,'Correspondances pays'!$C$4:$C$205)=Résultats!AK$2,1,0)</f>
        <v>0</v>
      </c>
      <c r="AL20" s="24">
        <f>IF(_xlfn.XLOOKUP($A20,'Correspondances pays'!$A$4:$A$205,'Correspondances pays'!$C$4:$C$205)=Résultats!AL$2,1,0)</f>
        <v>1</v>
      </c>
      <c r="AM20" s="24">
        <f>IF(_xlfn.XLOOKUP($A20,'Correspondances pays'!$A$4:$A$205,'Correspondances pays'!$C$4:$C$205)=Résultats!AM$2,1,0)</f>
        <v>0</v>
      </c>
      <c r="AN20" s="24">
        <f>IF(_xlfn.XLOOKUP($A20,'Correspondances pays'!$A$4:$A$205,'Correspondances pays'!$C$4:$C$205)=Résultats!AN$2,1,0)</f>
        <v>0</v>
      </c>
      <c r="AO20" s="24">
        <f>IF(_xlfn.XLOOKUP($A20,'Correspondances pays'!$A$4:$A$205,'Correspondances pays'!$C$4:$C$205)=Résultats!AO$2,1,0)</f>
        <v>0</v>
      </c>
      <c r="AP20" s="24">
        <f>IF(_xlfn.XLOOKUP($A20,'Correspondances pays'!$A$4:$A$205,'Correspondances pays'!$C$4:$C$205)=Résultats!AP$2,1,0)</f>
        <v>0</v>
      </c>
      <c r="AQ20" s="24">
        <f>IF(_xlfn.XLOOKUP($A20,'Correspondances pays'!$A$4:$A$205,'Correspondances pays'!$C$4:$C$205)=Résultats!AQ$2,1,0)</f>
        <v>0</v>
      </c>
      <c r="AS20" s="24">
        <f>(AutoConsommation!J20)/SUM(AutoConsommation!$I20,AutoConsommation!$J20,AutoConsommation!$M20,AutoConsommation!$O20)</f>
        <v>0.45001671527739318</v>
      </c>
      <c r="AT20" s="24">
        <f>SUMIF(Import!$E$2:$CN$2,AT$2,Import!$E21:CN21)/Import!$D21</f>
        <v>1.89784942111603E-2</v>
      </c>
      <c r="AU20" s="24">
        <f>SUMIF(Import!$E$2:$CN$2,AU$2,Import!$E21:CO21)/Import!$D21</f>
        <v>0</v>
      </c>
      <c r="AV20" s="24">
        <f>SUMIF(Import!$E$2:$CN$2,AV$2,Import!$E21:CP21)/Import!$D21</f>
        <v>2.9416052233824624E-2</v>
      </c>
      <c r="AW20" s="24">
        <f>SUMIF(Import!$E$2:$CN$2,AW$2,Import!$E21:CQ21)/Import!$D21</f>
        <v>3.5217935045305633E-2</v>
      </c>
      <c r="AX20" s="24">
        <f>SUMIF(Import!$E$2:$CN$2,AX$2,Import!$E21:CR21)/Import!$D21</f>
        <v>0.64759508044530711</v>
      </c>
      <c r="AY20" s="24">
        <f>SUMIF(Import!$E$2:$CN$2,AY$2,Import!$E21:CS21)/Import!$D21</f>
        <v>7.8814151008539404E-2</v>
      </c>
      <c r="AZ20" s="24">
        <f>SUMIF(Import!$E$2:$CN$2,AZ$2,Import!$E21:CT21)/Import!$D21</f>
        <v>0.14239548248003253</v>
      </c>
      <c r="BA20" s="24">
        <f>SUMIF(Import!$E$2:$CN$2,BA$2,Import!$E21:CU21)/Import!$D21</f>
        <v>0</v>
      </c>
      <c r="BB20" s="24">
        <f>SUMIF(Import!$E$2:$CN$2,BB$2,Import!$E21:CV21)/Import!$D21</f>
        <v>3.9578937676945147E-2</v>
      </c>
      <c r="BC20" s="24">
        <f>SUMIF(Import!$E$2:$CN$2,BC$2,Import!$E21:CW21)/Import!$D21</f>
        <v>8.0038668988851973E-3</v>
      </c>
      <c r="BD20" s="25"/>
    </row>
    <row r="21" spans="1:56" x14ac:dyDescent="0.25">
      <c r="A21" s="28" t="s">
        <v>87</v>
      </c>
      <c r="B21" s="29" t="s">
        <v>188</v>
      </c>
      <c r="C21" s="58">
        <f>SUMPRODUCT('Données ArrièrePlan'!$B$3:$M$3,$D21:$O21)</f>
        <v>0</v>
      </c>
      <c r="D21" s="32">
        <f t="shared" si="11"/>
        <v>0.30480905187934737</v>
      </c>
      <c r="E21" s="32">
        <f t="shared" si="0"/>
        <v>0</v>
      </c>
      <c r="F21" s="32">
        <f t="shared" si="13"/>
        <v>0</v>
      </c>
      <c r="G21" s="32">
        <f t="shared" si="1"/>
        <v>1.1461508944456673E-4</v>
      </c>
      <c r="H21" s="32">
        <f t="shared" si="2"/>
        <v>0</v>
      </c>
      <c r="I21" s="32">
        <f t="shared" si="3"/>
        <v>4.2774351380712302E-3</v>
      </c>
      <c r="J21" s="32">
        <f t="shared" si="4"/>
        <v>0.68942810142337996</v>
      </c>
      <c r="K21" s="32">
        <f t="shared" si="5"/>
        <v>0</v>
      </c>
      <c r="L21" s="32">
        <f t="shared" si="6"/>
        <v>0</v>
      </c>
      <c r="M21" s="32">
        <f t="shared" si="7"/>
        <v>0</v>
      </c>
      <c r="N21" s="32">
        <f t="shared" si="8"/>
        <v>3.4384526833370016E-4</v>
      </c>
      <c r="O21" s="32">
        <f t="shared" si="9"/>
        <v>9.1233611197875106E-4</v>
      </c>
      <c r="Q21" s="58">
        <f>SUMPRODUCT('Données ArrièrePlan'!$D$3:$M$3,R21:AA21)</f>
        <v>0</v>
      </c>
      <c r="R21" s="32">
        <f t="shared" si="12"/>
        <v>0</v>
      </c>
      <c r="S21" s="32">
        <f t="shared" si="12"/>
        <v>1.6486850088369518E-4</v>
      </c>
      <c r="T21" s="32">
        <f t="shared" si="12"/>
        <v>0</v>
      </c>
      <c r="U21" s="32">
        <f t="shared" si="12"/>
        <v>6.1528924529795038E-3</v>
      </c>
      <c r="V21" s="32">
        <f t="shared" si="12"/>
        <v>0.99171041177556785</v>
      </c>
      <c r="W21" s="32">
        <f t="shared" si="12"/>
        <v>0</v>
      </c>
      <c r="X21" s="32">
        <f t="shared" si="12"/>
        <v>0</v>
      </c>
      <c r="Y21" s="32">
        <f t="shared" si="12"/>
        <v>0</v>
      </c>
      <c r="Z21" s="32">
        <f t="shared" si="12"/>
        <v>4.9460550265108553E-4</v>
      </c>
      <c r="AA21" s="32">
        <f t="shared" si="12"/>
        <v>1.3123532670342136E-3</v>
      </c>
      <c r="AC21" s="24">
        <f>(AutoConsommation!M21+AutoConsommation!O21)/SUM(AutoConsommation!$I21,AutoConsommation!$J21,AutoConsommation!$M21,AutoConsommation!$O21)</f>
        <v>0.30480905187934737</v>
      </c>
      <c r="AD21" s="24">
        <f>IF(_xlfn.XLOOKUP($A21,AutoConsommation!$B:$B,AutoConsommation!$A:$A)=Résultats!AD$2,1,0)</f>
        <v>1</v>
      </c>
      <c r="AE21" s="24">
        <f>IF(_xlfn.XLOOKUP($A21,AutoConsommation!$B:$B,AutoConsommation!$A:$A)=Résultats!AE$2,1,0)</f>
        <v>0</v>
      </c>
      <c r="AG21" s="24">
        <f>(AutoConsommation!I21)/SUM(AutoConsommation!$I21,AutoConsommation!$J21,AutoConsommation!$M21,AutoConsommation!$O21)</f>
        <v>0</v>
      </c>
      <c r="AH21" s="24">
        <f>IF(_xlfn.XLOOKUP($A21,'Correspondances pays'!$A$4:$A$205,'Correspondances pays'!$C$4:$C$205)=Résultats!AH$2,1,0)</f>
        <v>0</v>
      </c>
      <c r="AI21" s="24">
        <f>IF(_xlfn.XLOOKUP($A21,'Correspondances pays'!$A$4:$A$205,'Correspondances pays'!$C$4:$C$205)=Résultats!AI$2,1,0)</f>
        <v>0</v>
      </c>
      <c r="AJ21" s="24">
        <f>IF(_xlfn.XLOOKUP($A21,'Correspondances pays'!$A$4:$A$205,'Correspondances pays'!$C$4:$C$205)=Résultats!AJ$2,1,0)</f>
        <v>0</v>
      </c>
      <c r="AK21" s="24">
        <f>IF(_xlfn.XLOOKUP($A21,'Correspondances pays'!$A$4:$A$205,'Correspondances pays'!$C$4:$C$205)=Résultats!AK$2,1,0)</f>
        <v>0</v>
      </c>
      <c r="AL21" s="24">
        <f>IF(_xlfn.XLOOKUP($A21,'Correspondances pays'!$A$4:$A$205,'Correspondances pays'!$C$4:$C$205)=Résultats!AL$2,1,0)</f>
        <v>1</v>
      </c>
      <c r="AM21" s="24">
        <f>IF(_xlfn.XLOOKUP($A21,'Correspondances pays'!$A$4:$A$205,'Correspondances pays'!$C$4:$C$205)=Résultats!AM$2,1,0)</f>
        <v>0</v>
      </c>
      <c r="AN21" s="24">
        <f>IF(_xlfn.XLOOKUP($A21,'Correspondances pays'!$A$4:$A$205,'Correspondances pays'!$C$4:$C$205)=Résultats!AN$2,1,0)</f>
        <v>0</v>
      </c>
      <c r="AO21" s="24">
        <f>IF(_xlfn.XLOOKUP($A21,'Correspondances pays'!$A$4:$A$205,'Correspondances pays'!$C$4:$C$205)=Résultats!AO$2,1,0)</f>
        <v>0</v>
      </c>
      <c r="AP21" s="24">
        <f>IF(_xlfn.XLOOKUP($A21,'Correspondances pays'!$A$4:$A$205,'Correspondances pays'!$C$4:$C$205)=Résultats!AP$2,1,0)</f>
        <v>0</v>
      </c>
      <c r="AQ21" s="24">
        <f>IF(_xlfn.XLOOKUP($A21,'Correspondances pays'!$A$4:$A$205,'Correspondances pays'!$C$4:$C$205)=Résultats!AQ$2,1,0)</f>
        <v>0</v>
      </c>
      <c r="AS21" s="24">
        <f>(AutoConsommation!J21)/SUM(AutoConsommation!$I21,AutoConsommation!$J21,AutoConsommation!$M21,AutoConsommation!$O21)</f>
        <v>0.69519094812065274</v>
      </c>
      <c r="AT21" s="24">
        <f>SUMIF(Import!$E$2:$CN$2,AT$2,Import!$E22:CN22)/Import!$D22</f>
        <v>0</v>
      </c>
      <c r="AU21" s="24">
        <f>SUMIF(Import!$E$2:$CN$2,AU$2,Import!$E22:CO22)/Import!$D22</f>
        <v>1.6486850088369518E-4</v>
      </c>
      <c r="AV21" s="24">
        <f>SUMIF(Import!$E$2:$CN$2,AV$2,Import!$E22:CP22)/Import!$D22</f>
        <v>0</v>
      </c>
      <c r="AW21" s="24">
        <f>SUMIF(Import!$E$2:$CN$2,AW$2,Import!$E22:CQ22)/Import!$D22</f>
        <v>6.1528924529795038E-3</v>
      </c>
      <c r="AX21" s="24">
        <f>SUMIF(Import!$E$2:$CN$2,AX$2,Import!$E22:CR22)/Import!$D22</f>
        <v>0.99171041177556785</v>
      </c>
      <c r="AY21" s="24">
        <f>SUMIF(Import!$E$2:$CN$2,AY$2,Import!$E22:CS22)/Import!$D22</f>
        <v>0</v>
      </c>
      <c r="AZ21" s="24">
        <f>SUMIF(Import!$E$2:$CN$2,AZ$2,Import!$E22:CT22)/Import!$D22</f>
        <v>0</v>
      </c>
      <c r="BA21" s="24">
        <f>SUMIF(Import!$E$2:$CN$2,BA$2,Import!$E22:CU22)/Import!$D22</f>
        <v>0</v>
      </c>
      <c r="BB21" s="24">
        <f>SUMIF(Import!$E$2:$CN$2,BB$2,Import!$E22:CV22)/Import!$D22</f>
        <v>4.9460550265108553E-4</v>
      </c>
      <c r="BC21" s="24">
        <f>SUMIF(Import!$E$2:$CN$2,BC$2,Import!$E22:CW22)/Import!$D22</f>
        <v>1.3123532670342136E-3</v>
      </c>
      <c r="BD21" s="25"/>
    </row>
    <row r="22" spans="1:56" x14ac:dyDescent="0.25">
      <c r="A22" s="40" t="s">
        <v>23</v>
      </c>
      <c r="B22" s="29" t="s">
        <v>188</v>
      </c>
      <c r="C22" s="58">
        <f>SUMPRODUCT('Données ArrièrePlan'!$B$3:$M$3,$D22:$O22)</f>
        <v>0</v>
      </c>
      <c r="D22" s="32">
        <f t="shared" si="11"/>
        <v>0.54032823181828871</v>
      </c>
      <c r="E22" s="32">
        <f t="shared" si="0"/>
        <v>0</v>
      </c>
      <c r="F22" s="32">
        <f t="shared" si="13"/>
        <v>1.5389859267549827E-2</v>
      </c>
      <c r="G22" s="32">
        <f t="shared" si="1"/>
        <v>0</v>
      </c>
      <c r="H22" s="32">
        <f t="shared" si="2"/>
        <v>2.1903277350140977E-2</v>
      </c>
      <c r="I22" s="32">
        <f t="shared" si="3"/>
        <v>1.5492234558206374E-2</v>
      </c>
      <c r="J22" s="32">
        <f t="shared" si="4"/>
        <v>0.28571097510443649</v>
      </c>
      <c r="K22" s="32">
        <f t="shared" si="5"/>
        <v>5.3743671027780597E-2</v>
      </c>
      <c r="L22" s="32">
        <f t="shared" si="6"/>
        <v>3.8392412279658651E-2</v>
      </c>
      <c r="M22" s="32">
        <f t="shared" si="7"/>
        <v>7.1796966135854049E-3</v>
      </c>
      <c r="N22" s="32">
        <f t="shared" si="8"/>
        <v>2.185964198035294E-2</v>
      </c>
      <c r="O22" s="32">
        <f t="shared" si="9"/>
        <v>0</v>
      </c>
      <c r="Q22" s="58">
        <f>SUMPRODUCT('Données ArrièrePlan'!$D$3:$M$3,R22:AA22)</f>
        <v>0</v>
      </c>
      <c r="R22" s="32">
        <f t="shared" si="12"/>
        <v>3.3480105442251384E-2</v>
      </c>
      <c r="S22" s="32">
        <f t="shared" si="12"/>
        <v>0</v>
      </c>
      <c r="T22" s="32">
        <f t="shared" si="12"/>
        <v>4.7649820733568458E-2</v>
      </c>
      <c r="U22" s="32">
        <f t="shared" si="12"/>
        <v>3.3702819338868324E-2</v>
      </c>
      <c r="V22" s="32">
        <f t="shared" si="12"/>
        <v>0.62155432393553711</v>
      </c>
      <c r="W22" s="32">
        <f t="shared" si="12"/>
        <v>0.11691749362892213</v>
      </c>
      <c r="X22" s="32">
        <f t="shared" si="12"/>
        <v>8.3521362278837802E-2</v>
      </c>
      <c r="Y22" s="32">
        <f t="shared" si="12"/>
        <v>1.5619181143069948E-2</v>
      </c>
      <c r="Z22" s="32">
        <f t="shared" si="12"/>
        <v>4.7554893498944845E-2</v>
      </c>
      <c r="AA22" s="32">
        <f t="shared" si="12"/>
        <v>0</v>
      </c>
      <c r="AC22" s="24">
        <f>(AutoConsommation!M22+AutoConsommation!O22)/SUM(AutoConsommation!$I22,AutoConsommation!$J22,AutoConsommation!$M22,AutoConsommation!$O22)</f>
        <v>0.54032823181828871</v>
      </c>
      <c r="AD22" s="24">
        <f>IF(_xlfn.XLOOKUP($A22,AutoConsommation!$B:$B,AutoConsommation!$A:$A)=Résultats!AD$2,1,0)</f>
        <v>1</v>
      </c>
      <c r="AE22" s="24">
        <f>IF(_xlfn.XLOOKUP($A22,AutoConsommation!$B:$B,AutoConsommation!$A:$A)=Résultats!AE$2,1,0)</f>
        <v>0</v>
      </c>
      <c r="AG22" s="24">
        <f>(AutoConsommation!I22)/SUM(AutoConsommation!$I22,AutoConsommation!$J22,AutoConsommation!$M22,AutoConsommation!$O22)</f>
        <v>0</v>
      </c>
      <c r="AH22" s="24">
        <f>IF(_xlfn.XLOOKUP($A22,'Correspondances pays'!$A$4:$A$205,'Correspondances pays'!$C$4:$C$205)=Résultats!AH$2,1,0)</f>
        <v>0</v>
      </c>
      <c r="AI22" s="24">
        <f>IF(_xlfn.XLOOKUP($A22,'Correspondances pays'!$A$4:$A$205,'Correspondances pays'!$C$4:$C$205)=Résultats!AI$2,1,0)</f>
        <v>0</v>
      </c>
      <c r="AJ22" s="24">
        <f>IF(_xlfn.XLOOKUP($A22,'Correspondances pays'!$A$4:$A$205,'Correspondances pays'!$C$4:$C$205)=Résultats!AJ$2,1,0)</f>
        <v>0</v>
      </c>
      <c r="AK22" s="24">
        <f>IF(_xlfn.XLOOKUP($A22,'Correspondances pays'!$A$4:$A$205,'Correspondances pays'!$C$4:$C$205)=Résultats!AK$2,1,0)</f>
        <v>0</v>
      </c>
      <c r="AL22" s="24">
        <f>IF(_xlfn.XLOOKUP($A22,'Correspondances pays'!$A$4:$A$205,'Correspondances pays'!$C$4:$C$205)=Résultats!AL$2,1,0)</f>
        <v>1</v>
      </c>
      <c r="AM22" s="24">
        <f>IF(_xlfn.XLOOKUP($A22,'Correspondances pays'!$A$4:$A$205,'Correspondances pays'!$C$4:$C$205)=Résultats!AM$2,1,0)</f>
        <v>0</v>
      </c>
      <c r="AN22" s="24">
        <f>IF(_xlfn.XLOOKUP($A22,'Correspondances pays'!$A$4:$A$205,'Correspondances pays'!$C$4:$C$205)=Résultats!AN$2,1,0)</f>
        <v>0</v>
      </c>
      <c r="AO22" s="24">
        <f>IF(_xlfn.XLOOKUP($A22,'Correspondances pays'!$A$4:$A$205,'Correspondances pays'!$C$4:$C$205)=Résultats!AO$2,1,0)</f>
        <v>0</v>
      </c>
      <c r="AP22" s="24">
        <f>IF(_xlfn.XLOOKUP($A22,'Correspondances pays'!$A$4:$A$205,'Correspondances pays'!$C$4:$C$205)=Résultats!AP$2,1,0)</f>
        <v>0</v>
      </c>
      <c r="AQ22" s="24">
        <f>IF(_xlfn.XLOOKUP($A22,'Correspondances pays'!$A$4:$A$205,'Correspondances pays'!$C$4:$C$205)=Résultats!AQ$2,1,0)</f>
        <v>0</v>
      </c>
      <c r="AS22" s="24">
        <f>(AutoConsommation!J22)/SUM(AutoConsommation!$I22,AutoConsommation!$J22,AutoConsommation!$M22,AutoConsommation!$O22)</f>
        <v>0.45967176818171124</v>
      </c>
      <c r="AT22" s="24">
        <f>SUMIF(Import!$E$2:$CN$2,AT$2,Import!$E23:CN23)/Import!$D23</f>
        <v>3.3480105442251384E-2</v>
      </c>
      <c r="AU22" s="24">
        <f>SUMIF(Import!$E$2:$CN$2,AU$2,Import!$E23:CO23)/Import!$D23</f>
        <v>0</v>
      </c>
      <c r="AV22" s="24">
        <f>SUMIF(Import!$E$2:$CN$2,AV$2,Import!$E23:CP23)/Import!$D23</f>
        <v>4.7649820733568458E-2</v>
      </c>
      <c r="AW22" s="24">
        <f>SUMIF(Import!$E$2:$CN$2,AW$2,Import!$E23:CQ23)/Import!$D23</f>
        <v>3.3702819338868324E-2</v>
      </c>
      <c r="AX22" s="24">
        <f>SUMIF(Import!$E$2:$CN$2,AX$2,Import!$E23:CR23)/Import!$D23</f>
        <v>0.62155432393553711</v>
      </c>
      <c r="AY22" s="24">
        <f>SUMIF(Import!$E$2:$CN$2,AY$2,Import!$E23:CS23)/Import!$D23</f>
        <v>0.11691749362892213</v>
      </c>
      <c r="AZ22" s="24">
        <f>SUMIF(Import!$E$2:$CN$2,AZ$2,Import!$E23:CT23)/Import!$D23</f>
        <v>8.3521362278837802E-2</v>
      </c>
      <c r="BA22" s="24">
        <f>SUMIF(Import!$E$2:$CN$2,BA$2,Import!$E23:CU23)/Import!$D23</f>
        <v>1.5619181143069948E-2</v>
      </c>
      <c r="BB22" s="24">
        <f>SUMIF(Import!$E$2:$CN$2,BB$2,Import!$E23:CV23)/Import!$D23</f>
        <v>4.7554893498944845E-2</v>
      </c>
      <c r="BC22" s="24">
        <f>SUMIF(Import!$E$2:$CN$2,BC$2,Import!$E23:CW23)/Import!$D23</f>
        <v>0</v>
      </c>
      <c r="BD22" s="25"/>
    </row>
    <row r="23" spans="1:56" x14ac:dyDescent="0.25">
      <c r="A23" s="28" t="s">
        <v>110</v>
      </c>
      <c r="B23" s="29" t="s">
        <v>188</v>
      </c>
      <c r="C23" s="58">
        <f>SUMPRODUCT('Données ArrièrePlan'!$B$3:$M$3,$D23:$O23)</f>
        <v>0</v>
      </c>
      <c r="D23" s="32">
        <f t="shared" si="11"/>
        <v>1.0221961848472156</v>
      </c>
      <c r="E23" s="32">
        <f t="shared" si="0"/>
        <v>0</v>
      </c>
      <c r="F23" s="32">
        <f t="shared" si="13"/>
        <v>0</v>
      </c>
      <c r="G23" s="32">
        <f t="shared" si="1"/>
        <v>0</v>
      </c>
      <c r="H23" s="32">
        <f t="shared" si="2"/>
        <v>0</v>
      </c>
      <c r="I23" s="32">
        <f t="shared" si="3"/>
        <v>0</v>
      </c>
      <c r="J23" s="32">
        <f t="shared" si="4"/>
        <v>-2.2196184847215594E-2</v>
      </c>
      <c r="K23" s="32">
        <f t="shared" si="5"/>
        <v>0</v>
      </c>
      <c r="L23" s="32">
        <f t="shared" si="6"/>
        <v>0</v>
      </c>
      <c r="M23" s="32">
        <f t="shared" si="7"/>
        <v>0</v>
      </c>
      <c r="N23" s="32">
        <f t="shared" si="8"/>
        <v>0</v>
      </c>
      <c r="O23" s="32">
        <f t="shared" si="9"/>
        <v>0</v>
      </c>
      <c r="Q23" s="58">
        <f>SUMPRODUCT('Données ArrièrePlan'!$D$3:$M$3,R23:AA23)</f>
        <v>0</v>
      </c>
      <c r="R23" s="32">
        <f t="shared" si="12"/>
        <v>0</v>
      </c>
      <c r="S23" s="32">
        <f t="shared" si="12"/>
        <v>0</v>
      </c>
      <c r="T23" s="32">
        <f t="shared" si="12"/>
        <v>0</v>
      </c>
      <c r="U23" s="32">
        <f t="shared" si="12"/>
        <v>0</v>
      </c>
      <c r="V23" s="32">
        <f t="shared" si="12"/>
        <v>1</v>
      </c>
      <c r="W23" s="32">
        <f t="shared" si="12"/>
        <v>0</v>
      </c>
      <c r="X23" s="32">
        <f t="shared" si="12"/>
        <v>0</v>
      </c>
      <c r="Y23" s="32">
        <f t="shared" si="12"/>
        <v>0</v>
      </c>
      <c r="Z23" s="32">
        <f t="shared" si="12"/>
        <v>0</v>
      </c>
      <c r="AA23" s="32">
        <f t="shared" si="12"/>
        <v>0</v>
      </c>
      <c r="AC23" s="24">
        <f>(AutoConsommation!M23+AutoConsommation!O23)/SUM(AutoConsommation!$I23,AutoConsommation!$J23,AutoConsommation!$M23,AutoConsommation!$O23)</f>
        <v>1.0221961848472156</v>
      </c>
      <c r="AD23" s="24">
        <f>IF(_xlfn.XLOOKUP($A23,AutoConsommation!$B:$B,AutoConsommation!$A:$A)=Résultats!AD$2,1,0)</f>
        <v>1</v>
      </c>
      <c r="AE23" s="24">
        <f>IF(_xlfn.XLOOKUP($A23,AutoConsommation!$B:$B,AutoConsommation!$A:$A)=Résultats!AE$2,1,0)</f>
        <v>0</v>
      </c>
      <c r="AG23" s="24">
        <f>(AutoConsommation!I23)/SUM(AutoConsommation!$I23,AutoConsommation!$J23,AutoConsommation!$M23,AutoConsommation!$O23)</f>
        <v>-2.2196184847215594E-2</v>
      </c>
      <c r="AH23" s="24">
        <f>IF(_xlfn.XLOOKUP($A23,'Correspondances pays'!$A$4:$A$205,'Correspondances pays'!$C$4:$C$205)=Résultats!AH$2,1,0)</f>
        <v>0</v>
      </c>
      <c r="AI23" s="24">
        <f>IF(_xlfn.XLOOKUP($A23,'Correspondances pays'!$A$4:$A$205,'Correspondances pays'!$C$4:$C$205)=Résultats!AI$2,1,0)</f>
        <v>0</v>
      </c>
      <c r="AJ23" s="24">
        <f>IF(_xlfn.XLOOKUP($A23,'Correspondances pays'!$A$4:$A$205,'Correspondances pays'!$C$4:$C$205)=Résultats!AJ$2,1,0)</f>
        <v>0</v>
      </c>
      <c r="AK23" s="24">
        <f>IF(_xlfn.XLOOKUP($A23,'Correspondances pays'!$A$4:$A$205,'Correspondances pays'!$C$4:$C$205)=Résultats!AK$2,1,0)</f>
        <v>0</v>
      </c>
      <c r="AL23" s="24">
        <f>IF(_xlfn.XLOOKUP($A23,'Correspondances pays'!$A$4:$A$205,'Correspondances pays'!$C$4:$C$205)=Résultats!AL$2,1,0)</f>
        <v>1</v>
      </c>
      <c r="AM23" s="24">
        <f>IF(_xlfn.XLOOKUP($A23,'Correspondances pays'!$A$4:$A$205,'Correspondances pays'!$C$4:$C$205)=Résultats!AM$2,1,0)</f>
        <v>0</v>
      </c>
      <c r="AN23" s="24">
        <f>IF(_xlfn.XLOOKUP($A23,'Correspondances pays'!$A$4:$A$205,'Correspondances pays'!$C$4:$C$205)=Résultats!AN$2,1,0)</f>
        <v>0</v>
      </c>
      <c r="AO23" s="24">
        <f>IF(_xlfn.XLOOKUP($A23,'Correspondances pays'!$A$4:$A$205,'Correspondances pays'!$C$4:$C$205)=Résultats!AO$2,1,0)</f>
        <v>0</v>
      </c>
      <c r="AP23" s="24">
        <f>IF(_xlfn.XLOOKUP($A23,'Correspondances pays'!$A$4:$A$205,'Correspondances pays'!$C$4:$C$205)=Résultats!AP$2,1,0)</f>
        <v>0</v>
      </c>
      <c r="AQ23" s="24">
        <f>IF(_xlfn.XLOOKUP($A23,'Correspondances pays'!$A$4:$A$205,'Correspondances pays'!$C$4:$C$205)=Résultats!AQ$2,1,0)</f>
        <v>0</v>
      </c>
      <c r="AS23" s="24">
        <f>(AutoConsommation!J23)/SUM(AutoConsommation!$I23,AutoConsommation!$J23,AutoConsommation!$M23,AutoConsommation!$O23)</f>
        <v>0</v>
      </c>
      <c r="AT23" s="24">
        <f>SUMIF(Import!$E$2:$CN$2,AT$2,Import!$E24:CN24)/Import!$D24</f>
        <v>1.8844847321197799E-2</v>
      </c>
      <c r="AU23" s="24">
        <f>SUMIF(Import!$E$2:$CN$2,AU$2,Import!$E24:CO24)/Import!$D24</f>
        <v>4.8462134918583614E-4</v>
      </c>
      <c r="AV23" s="24">
        <f>SUMIF(Import!$E$2:$CN$2,AV$2,Import!$E24:CP24)/Import!$D24</f>
        <v>0.24888306317616216</v>
      </c>
      <c r="AW23" s="24">
        <f>SUMIF(Import!$E$2:$CN$2,AW$2,Import!$E24:CQ24)/Import!$D24</f>
        <v>9.2682679171435953E-2</v>
      </c>
      <c r="AX23" s="24">
        <f>SUMIF(Import!$E$2:$CN$2,AX$2,Import!$E24:CR24)/Import!$D24</f>
        <v>0.33595798102130486</v>
      </c>
      <c r="AY23" s="24">
        <f>SUMIF(Import!$E$2:$CN$2,AY$2,Import!$E24:CS24)/Import!$D24</f>
        <v>0.23636598604290515</v>
      </c>
      <c r="AZ23" s="24">
        <f>SUMIF(Import!$E$2:$CN$2,AZ$2,Import!$E24:CT24)/Import!$D24</f>
        <v>5.3068345456559467E-2</v>
      </c>
      <c r="BA23" s="24">
        <f>SUMIF(Import!$E$2:$CN$2,BA$2,Import!$E24:CU24)/Import!$D24</f>
        <v>9.1154968061145369E-3</v>
      </c>
      <c r="BB23" s="24">
        <f>SUMIF(Import!$E$2:$CN$2,BB$2,Import!$E24:CV24)/Import!$D24</f>
        <v>0</v>
      </c>
      <c r="BC23" s="24">
        <f>SUMIF(Import!$E$2:$CN$2,BC$2,Import!$E24:CW24)/Import!$D24</f>
        <v>4.596979655134217E-3</v>
      </c>
      <c r="BD23" s="25"/>
    </row>
    <row r="24" spans="1:56" x14ac:dyDescent="0.25">
      <c r="A24" s="28" t="s">
        <v>95</v>
      </c>
      <c r="B24" s="29" t="s">
        <v>188</v>
      </c>
      <c r="C24" s="58">
        <f>SUMPRODUCT('Données ArrièrePlan'!$B$3:$M$3,$D24:$O24)</f>
        <v>0</v>
      </c>
      <c r="D24" s="32">
        <f t="shared" si="11"/>
        <v>0.51003076084352417</v>
      </c>
      <c r="E24" s="32">
        <f t="shared" si="0"/>
        <v>0</v>
      </c>
      <c r="F24" s="32">
        <f t="shared" si="13"/>
        <v>2.8278074330206557E-4</v>
      </c>
      <c r="G24" s="32">
        <f t="shared" si="1"/>
        <v>0</v>
      </c>
      <c r="H24" s="32">
        <f t="shared" si="2"/>
        <v>1.4822936245371858E-3</v>
      </c>
      <c r="I24" s="32">
        <f t="shared" si="3"/>
        <v>6.6699370974508936E-4</v>
      </c>
      <c r="J24" s="32">
        <f t="shared" si="4"/>
        <v>0.46498079624495442</v>
      </c>
      <c r="K24" s="32">
        <f t="shared" si="5"/>
        <v>5.331339122363399E-3</v>
      </c>
      <c r="L24" s="32">
        <f t="shared" si="6"/>
        <v>7.3553730295852484E-3</v>
      </c>
      <c r="M24" s="32">
        <f t="shared" si="7"/>
        <v>0</v>
      </c>
      <c r="N24" s="32">
        <f t="shared" si="8"/>
        <v>1.0642699170471759E-3</v>
      </c>
      <c r="O24" s="32">
        <f t="shared" si="9"/>
        <v>8.8053927649412202E-3</v>
      </c>
      <c r="Q24" s="58">
        <f>SUMPRODUCT('Données ArrièrePlan'!$D$3:$M$3,R24:AA24)</f>
        <v>0</v>
      </c>
      <c r="R24" s="32">
        <f t="shared" si="12"/>
        <v>5.7713978899756439E-4</v>
      </c>
      <c r="S24" s="32">
        <f t="shared" si="12"/>
        <v>0</v>
      </c>
      <c r="T24" s="32">
        <f t="shared" si="12"/>
        <v>3.0252789483051668E-3</v>
      </c>
      <c r="U24" s="32">
        <f t="shared" si="12"/>
        <v>1.3612971110051244E-3</v>
      </c>
      <c r="V24" s="32">
        <f t="shared" si="12"/>
        <v>0.9489999760912724</v>
      </c>
      <c r="W24" s="32">
        <f t="shared" si="12"/>
        <v>1.0880967000176905E-2</v>
      </c>
      <c r="X24" s="32">
        <f t="shared" si="12"/>
        <v>1.5011907772512732E-2</v>
      </c>
      <c r="Y24" s="32">
        <f t="shared" si="12"/>
        <v>0</v>
      </c>
      <c r="Z24" s="32">
        <f t="shared" si="12"/>
        <v>2.1721157819609414E-3</v>
      </c>
      <c r="AA24" s="32">
        <f t="shared" si="12"/>
        <v>1.7971317505769264E-2</v>
      </c>
      <c r="AC24" s="24">
        <f>(AutoConsommation!M24+AutoConsommation!O24)/SUM(AutoConsommation!$I24,AutoConsommation!$J24,AutoConsommation!$M24,AutoConsommation!$O24)</f>
        <v>0.51003076084352417</v>
      </c>
      <c r="AD24" s="24">
        <f>IF(_xlfn.XLOOKUP($A24,AutoConsommation!$B:$B,AutoConsommation!$A:$A)=Résultats!AD$2,1,0)</f>
        <v>1</v>
      </c>
      <c r="AE24" s="24">
        <f>IF(_xlfn.XLOOKUP($A24,AutoConsommation!$B:$B,AutoConsommation!$A:$A)=Résultats!AE$2,1,0)</f>
        <v>0</v>
      </c>
      <c r="AG24" s="24">
        <f>(AutoConsommation!I24)/SUM(AutoConsommation!$I24,AutoConsommation!$J24,AutoConsommation!$M24,AutoConsommation!$O24)</f>
        <v>0.4040184932853727</v>
      </c>
      <c r="AH24" s="24">
        <f>IF(_xlfn.XLOOKUP($A24,'Correspondances pays'!$A$4:$A$205,'Correspondances pays'!$C$4:$C$205)=Résultats!AH$2,1,0)</f>
        <v>0</v>
      </c>
      <c r="AI24" s="24">
        <f>IF(_xlfn.XLOOKUP($A24,'Correspondances pays'!$A$4:$A$205,'Correspondances pays'!$C$4:$C$205)=Résultats!AI$2,1,0)</f>
        <v>0</v>
      </c>
      <c r="AJ24" s="24">
        <f>IF(_xlfn.XLOOKUP($A24,'Correspondances pays'!$A$4:$A$205,'Correspondances pays'!$C$4:$C$205)=Résultats!AJ$2,1,0)</f>
        <v>0</v>
      </c>
      <c r="AK24" s="24">
        <f>IF(_xlfn.XLOOKUP($A24,'Correspondances pays'!$A$4:$A$205,'Correspondances pays'!$C$4:$C$205)=Résultats!AK$2,1,0)</f>
        <v>0</v>
      </c>
      <c r="AL24" s="24">
        <f>IF(_xlfn.XLOOKUP($A24,'Correspondances pays'!$A$4:$A$205,'Correspondances pays'!$C$4:$C$205)=Résultats!AL$2,1,0)</f>
        <v>1</v>
      </c>
      <c r="AM24" s="24">
        <f>IF(_xlfn.XLOOKUP($A24,'Correspondances pays'!$A$4:$A$205,'Correspondances pays'!$C$4:$C$205)=Résultats!AM$2,1,0)</f>
        <v>0</v>
      </c>
      <c r="AN24" s="24">
        <f>IF(_xlfn.XLOOKUP($A24,'Correspondances pays'!$A$4:$A$205,'Correspondances pays'!$C$4:$C$205)=Résultats!AN$2,1,0)</f>
        <v>0</v>
      </c>
      <c r="AO24" s="24">
        <f>IF(_xlfn.XLOOKUP($A24,'Correspondances pays'!$A$4:$A$205,'Correspondances pays'!$C$4:$C$205)=Résultats!AO$2,1,0)</f>
        <v>0</v>
      </c>
      <c r="AP24" s="24">
        <f>IF(_xlfn.XLOOKUP($A24,'Correspondances pays'!$A$4:$A$205,'Correspondances pays'!$C$4:$C$205)=Résultats!AP$2,1,0)</f>
        <v>0</v>
      </c>
      <c r="AQ24" s="24">
        <f>IF(_xlfn.XLOOKUP($A24,'Correspondances pays'!$A$4:$A$205,'Correspondances pays'!$C$4:$C$205)=Résultats!AQ$2,1,0)</f>
        <v>0</v>
      </c>
      <c r="AS24" s="24">
        <f>(AutoConsommation!J24)/SUM(AutoConsommation!$I24,AutoConsommation!$J24,AutoConsommation!$M24,AutoConsommation!$O24)</f>
        <v>8.5950745871103088E-2</v>
      </c>
      <c r="AT24" s="24">
        <f>SUMIF(Import!$E$2:$CN$2,AT$2,Import!$E25:CN25)/Import!$D25</f>
        <v>3.2900324533092543E-3</v>
      </c>
      <c r="AU24" s="24">
        <f>SUMIF(Import!$E$2:$CN$2,AU$2,Import!$E25:CO25)/Import!$D25</f>
        <v>0</v>
      </c>
      <c r="AV24" s="24">
        <f>SUMIF(Import!$E$2:$CN$2,AV$2,Import!$E25:CP25)/Import!$D25</f>
        <v>1.7245849463134649E-2</v>
      </c>
      <c r="AW24" s="24">
        <f>SUMIF(Import!$E$2:$CN$2,AW$2,Import!$E25:CQ25)/Import!$D25</f>
        <v>7.7601852431316105E-3</v>
      </c>
      <c r="AX24" s="24">
        <f>SUMIF(Import!$E$2:$CN$2,AX$2,Import!$E25:CR25)/Import!$D25</f>
        <v>0.70927020285553355</v>
      </c>
      <c r="AY24" s="24">
        <f>SUMIF(Import!$E$2:$CN$2,AY$2,Import!$E25:CS25)/Import!$D25</f>
        <v>6.2027840111575014E-2</v>
      </c>
      <c r="AZ24" s="24">
        <f>SUMIF(Import!$E$2:$CN$2,AZ$2,Import!$E25:CT25)/Import!$D25</f>
        <v>8.5576605008359188E-2</v>
      </c>
      <c r="BA24" s="24">
        <f>SUMIF(Import!$E$2:$CN$2,BA$2,Import!$E25:CU25)/Import!$D25</f>
        <v>0</v>
      </c>
      <c r="BB24" s="24">
        <f>SUMIF(Import!$E$2:$CN$2,BB$2,Import!$E25:CV25)/Import!$D25</f>
        <v>1.2382323227807926E-2</v>
      </c>
      <c r="BC24" s="24">
        <f>SUMIF(Import!$E$2:$CN$2,BC$2,Import!$E25:CW25)/Import!$D25</f>
        <v>0.10244696163714875</v>
      </c>
      <c r="BD24" s="25"/>
    </row>
    <row r="25" spans="1:56" x14ac:dyDescent="0.25">
      <c r="A25" s="28" t="s">
        <v>96</v>
      </c>
      <c r="B25" s="29" t="s">
        <v>188</v>
      </c>
      <c r="C25" s="58">
        <f>SUMPRODUCT('Données ArrièrePlan'!$B$3:$M$3,$D25:$O25)</f>
        <v>0</v>
      </c>
      <c r="D25" s="32">
        <f t="shared" si="11"/>
        <v>0.60083157065491</v>
      </c>
      <c r="E25" s="32">
        <f t="shared" si="0"/>
        <v>0</v>
      </c>
      <c r="F25" s="32">
        <f t="shared" si="13"/>
        <v>3.8025998674404062E-3</v>
      </c>
      <c r="G25" s="32">
        <f t="shared" si="1"/>
        <v>0</v>
      </c>
      <c r="H25" s="32">
        <f t="shared" si="2"/>
        <v>6.9086172812877461E-2</v>
      </c>
      <c r="I25" s="32">
        <f t="shared" si="3"/>
        <v>6.9396512821724612E-2</v>
      </c>
      <c r="J25" s="32">
        <f t="shared" si="4"/>
        <v>0.22277752467799561</v>
      </c>
      <c r="K25" s="32">
        <f t="shared" si="5"/>
        <v>2.2568822812065181E-2</v>
      </c>
      <c r="L25" s="32">
        <f t="shared" si="6"/>
        <v>1.15367963529866E-2</v>
      </c>
      <c r="M25" s="32">
        <f t="shared" si="7"/>
        <v>0</v>
      </c>
      <c r="N25" s="32">
        <f t="shared" si="8"/>
        <v>0</v>
      </c>
      <c r="O25" s="32">
        <f t="shared" si="9"/>
        <v>0</v>
      </c>
      <c r="Q25" s="58">
        <f>SUMPRODUCT('Données ArrièrePlan'!$D$3:$M$3,R25:AA25)</f>
        <v>0</v>
      </c>
      <c r="R25" s="32">
        <f t="shared" si="12"/>
        <v>9.5263041560658471E-3</v>
      </c>
      <c r="S25" s="32">
        <f t="shared" si="12"/>
        <v>0</v>
      </c>
      <c r="T25" s="32">
        <f t="shared" si="12"/>
        <v>0.17307524276462993</v>
      </c>
      <c r="U25" s="32">
        <f t="shared" si="12"/>
        <v>0.17385270908218495</v>
      </c>
      <c r="V25" s="32">
        <f t="shared" si="12"/>
        <v>0.55810406911063482</v>
      </c>
      <c r="W25" s="32">
        <f t="shared" si="12"/>
        <v>5.6539598707977826E-2</v>
      </c>
      <c r="X25" s="32">
        <f t="shared" si="12"/>
        <v>2.8902076178506556E-2</v>
      </c>
      <c r="Y25" s="32">
        <f t="shared" si="12"/>
        <v>0</v>
      </c>
      <c r="Z25" s="32">
        <f t="shared" si="12"/>
        <v>0</v>
      </c>
      <c r="AA25" s="32">
        <f t="shared" si="12"/>
        <v>0</v>
      </c>
      <c r="AC25" s="24">
        <f>(AutoConsommation!M25+AutoConsommation!O25)/SUM(AutoConsommation!$I25,AutoConsommation!$J25,AutoConsommation!$M25,AutoConsommation!$O25)</f>
        <v>0.60083157065491</v>
      </c>
      <c r="AD25" s="24">
        <f>IF(_xlfn.XLOOKUP($A25,AutoConsommation!$B:$B,AutoConsommation!$A:$A)=Résultats!AD$2,1,0)</f>
        <v>1</v>
      </c>
      <c r="AE25" s="24">
        <f>IF(_xlfn.XLOOKUP($A25,AutoConsommation!$B:$B,AutoConsommation!$A:$A)=Résultats!AE$2,1,0)</f>
        <v>0</v>
      </c>
      <c r="AG25" s="24">
        <f>(AutoConsommation!I25)/SUM(AutoConsommation!$I25,AutoConsommation!$J25,AutoConsommation!$M25,AutoConsommation!$O25)</f>
        <v>7.5068767093630293E-2</v>
      </c>
      <c r="AH25" s="24">
        <f>IF(_xlfn.XLOOKUP($A25,'Correspondances pays'!$A$4:$A$205,'Correspondances pays'!$C$4:$C$205)=Résultats!AH$2,1,0)</f>
        <v>0</v>
      </c>
      <c r="AI25" s="24">
        <f>IF(_xlfn.XLOOKUP($A25,'Correspondances pays'!$A$4:$A$205,'Correspondances pays'!$C$4:$C$205)=Résultats!AI$2,1,0)</f>
        <v>0</v>
      </c>
      <c r="AJ25" s="24">
        <f>IF(_xlfn.XLOOKUP($A25,'Correspondances pays'!$A$4:$A$205,'Correspondances pays'!$C$4:$C$205)=Résultats!AJ$2,1,0)</f>
        <v>0</v>
      </c>
      <c r="AK25" s="24">
        <f>IF(_xlfn.XLOOKUP($A25,'Correspondances pays'!$A$4:$A$205,'Correspondances pays'!$C$4:$C$205)=Résultats!AK$2,1,0)</f>
        <v>0</v>
      </c>
      <c r="AL25" s="24">
        <f>IF(_xlfn.XLOOKUP($A25,'Correspondances pays'!$A$4:$A$205,'Correspondances pays'!$C$4:$C$205)=Résultats!AL$2,1,0)</f>
        <v>1</v>
      </c>
      <c r="AM25" s="24">
        <f>IF(_xlfn.XLOOKUP($A25,'Correspondances pays'!$A$4:$A$205,'Correspondances pays'!$C$4:$C$205)=Résultats!AM$2,1,0)</f>
        <v>0</v>
      </c>
      <c r="AN25" s="24">
        <f>IF(_xlfn.XLOOKUP($A25,'Correspondances pays'!$A$4:$A$205,'Correspondances pays'!$C$4:$C$205)=Résultats!AN$2,1,0)</f>
        <v>0</v>
      </c>
      <c r="AO25" s="24">
        <f>IF(_xlfn.XLOOKUP($A25,'Correspondances pays'!$A$4:$A$205,'Correspondances pays'!$C$4:$C$205)=Résultats!AO$2,1,0)</f>
        <v>0</v>
      </c>
      <c r="AP25" s="24">
        <f>IF(_xlfn.XLOOKUP($A25,'Correspondances pays'!$A$4:$A$205,'Correspondances pays'!$C$4:$C$205)=Résultats!AP$2,1,0)</f>
        <v>0</v>
      </c>
      <c r="AQ25" s="24">
        <f>IF(_xlfn.XLOOKUP($A25,'Correspondances pays'!$A$4:$A$205,'Correspondances pays'!$C$4:$C$205)=Résultats!AQ$2,1,0)</f>
        <v>0</v>
      </c>
      <c r="AS25" s="24">
        <f>(AutoConsommation!J25)/SUM(AutoConsommation!$I25,AutoConsommation!$J25,AutoConsommation!$M25,AutoConsommation!$O25)</f>
        <v>0.32409966225145959</v>
      </c>
      <c r="AT25" s="24">
        <f>SUMIF(Import!$E$2:$CN$2,AT$2,Import!$E26:CN26)/Import!$D26</f>
        <v>1.1732810336871251E-2</v>
      </c>
      <c r="AU25" s="24">
        <f>SUMIF(Import!$E$2:$CN$2,AU$2,Import!$E26:CO26)/Import!$D26</f>
        <v>0</v>
      </c>
      <c r="AV25" s="24">
        <f>SUMIF(Import!$E$2:$CN$2,AV$2,Import!$E26:CP26)/Import!$D26</f>
        <v>0.21316335948315643</v>
      </c>
      <c r="AW25" s="24">
        <f>SUMIF(Import!$E$2:$CN$2,AW$2,Import!$E26:CQ26)/Import!$D26</f>
        <v>0.21412090447623441</v>
      </c>
      <c r="AX25" s="24">
        <f>SUMIF(Import!$E$2:$CN$2,AX$2,Import!$E26:CR26)/Import!$D26</f>
        <v>0.45575103830179975</v>
      </c>
      <c r="AY25" s="24">
        <f>SUMIF(Import!$E$2:$CN$2,AY$2,Import!$E26:CS26)/Import!$D26</f>
        <v>6.9635440701430545E-2</v>
      </c>
      <c r="AZ25" s="24">
        <f>SUMIF(Import!$E$2:$CN$2,AZ$2,Import!$E26:CT26)/Import!$D26</f>
        <v>3.5596446700507614E-2</v>
      </c>
      <c r="BA25" s="24">
        <f>SUMIF(Import!$E$2:$CN$2,BA$2,Import!$E26:CU26)/Import!$D26</f>
        <v>0</v>
      </c>
      <c r="BB25" s="24">
        <f>SUMIF(Import!$E$2:$CN$2,BB$2,Import!$E26:CV26)/Import!$D26</f>
        <v>0</v>
      </c>
      <c r="BC25" s="24">
        <f>SUMIF(Import!$E$2:$CN$2,BC$2,Import!$E26:CW26)/Import!$D26</f>
        <v>0</v>
      </c>
      <c r="BD25" s="25"/>
    </row>
    <row r="26" spans="1:56" x14ac:dyDescent="0.25">
      <c r="A26" s="28" t="s">
        <v>100</v>
      </c>
      <c r="B26" s="26" t="s">
        <v>188</v>
      </c>
      <c r="C26" s="58">
        <f>SUMPRODUCT('Données ArrièrePlan'!$B$3:$M$3,$D26:$O26)</f>
        <v>0</v>
      </c>
      <c r="D26" s="32">
        <f t="shared" si="11"/>
        <v>0.61571911394914192</v>
      </c>
      <c r="E26" s="32">
        <f t="shared" si="0"/>
        <v>0</v>
      </c>
      <c r="F26" s="32">
        <f t="shared" si="13"/>
        <v>1.1443023626541559E-7</v>
      </c>
      <c r="G26" s="32">
        <f t="shared" si="1"/>
        <v>9.7265700825603257E-7</v>
      </c>
      <c r="H26" s="32">
        <f t="shared" si="2"/>
        <v>0</v>
      </c>
      <c r="I26" s="32">
        <f t="shared" si="3"/>
        <v>3.5381829053266498E-4</v>
      </c>
      <c r="J26" s="32">
        <f t="shared" si="4"/>
        <v>0.38270346524393917</v>
      </c>
      <c r="K26" s="32">
        <f t="shared" si="5"/>
        <v>0</v>
      </c>
      <c r="L26" s="32">
        <f t="shared" si="6"/>
        <v>1.2222865686690367E-3</v>
      </c>
      <c r="M26" s="32">
        <f t="shared" si="7"/>
        <v>0</v>
      </c>
      <c r="N26" s="32">
        <f t="shared" si="8"/>
        <v>0</v>
      </c>
      <c r="O26" s="32">
        <f t="shared" si="9"/>
        <v>2.2886047253083117E-7</v>
      </c>
      <c r="Q26" s="58">
        <f>SUMPRODUCT('Données ArrièrePlan'!$D$3:$M$3,R26:AA26)</f>
        <v>0</v>
      </c>
      <c r="R26" s="32">
        <f t="shared" si="12"/>
        <v>2.9777759034903242E-7</v>
      </c>
      <c r="S26" s="32">
        <f t="shared" si="12"/>
        <v>2.5311095179667762E-6</v>
      </c>
      <c r="T26" s="32">
        <f t="shared" si="12"/>
        <v>0</v>
      </c>
      <c r="U26" s="32">
        <f t="shared" si="12"/>
        <v>9.2072830935920828E-4</v>
      </c>
      <c r="V26" s="32">
        <f t="shared" si="12"/>
        <v>0.9958951359170386</v>
      </c>
      <c r="W26" s="32">
        <f t="shared" si="12"/>
        <v>0</v>
      </c>
      <c r="X26" s="32">
        <f t="shared" si="12"/>
        <v>3.1807113313131906E-3</v>
      </c>
      <c r="Y26" s="32">
        <f t="shared" si="12"/>
        <v>0</v>
      </c>
      <c r="Z26" s="32">
        <f t="shared" si="12"/>
        <v>0</v>
      </c>
      <c r="AA26" s="32">
        <f t="shared" si="12"/>
        <v>5.9555518069806485E-7</v>
      </c>
      <c r="AC26" s="24">
        <f>(AutoConsommation!M26+AutoConsommation!O26)/SUM(AutoConsommation!$I26,AutoConsommation!$J26,AutoConsommation!$M26,AutoConsommation!$O26)</f>
        <v>0.61571911394914192</v>
      </c>
      <c r="AD26" s="24">
        <f>IF(_xlfn.XLOOKUP($A26,AutoConsommation!$B:$B,AutoConsommation!$A:$A)=Résultats!AD$2,1,0)</f>
        <v>1</v>
      </c>
      <c r="AE26" s="24">
        <f>IF(_xlfn.XLOOKUP($A26,AutoConsommation!$B:$B,AutoConsommation!$A:$A)=Résultats!AE$2,1,0)</f>
        <v>0</v>
      </c>
      <c r="AG26" s="24">
        <f>(AutoConsommation!I26)/SUM(AutoConsommation!$I26,AutoConsommation!$J26,AutoConsommation!$M26,AutoConsommation!$O26)</f>
        <v>0.36724090792322051</v>
      </c>
      <c r="AH26" s="24">
        <f>IF(_xlfn.XLOOKUP($A26,'Correspondances pays'!$A$4:$A$205,'Correspondances pays'!$C$4:$C$205)=Résultats!AH$2,1,0)</f>
        <v>0</v>
      </c>
      <c r="AI26" s="24">
        <f>IF(_xlfn.XLOOKUP($A26,'Correspondances pays'!$A$4:$A$205,'Correspondances pays'!$C$4:$C$205)=Résultats!AI$2,1,0)</f>
        <v>0</v>
      </c>
      <c r="AJ26" s="24">
        <f>IF(_xlfn.XLOOKUP($A26,'Correspondances pays'!$A$4:$A$205,'Correspondances pays'!$C$4:$C$205)=Résultats!AJ$2,1,0)</f>
        <v>0</v>
      </c>
      <c r="AK26" s="24">
        <f>IF(_xlfn.XLOOKUP($A26,'Correspondances pays'!$A$4:$A$205,'Correspondances pays'!$C$4:$C$205)=Résultats!AK$2,1,0)</f>
        <v>0</v>
      </c>
      <c r="AL26" s="24">
        <f>IF(_xlfn.XLOOKUP($A26,'Correspondances pays'!$A$4:$A$205,'Correspondances pays'!$C$4:$C$205)=Résultats!AL$2,1,0)</f>
        <v>1</v>
      </c>
      <c r="AM26" s="24">
        <f>IF(_xlfn.XLOOKUP($A26,'Correspondances pays'!$A$4:$A$205,'Correspondances pays'!$C$4:$C$205)=Résultats!AM$2,1,0)</f>
        <v>0</v>
      </c>
      <c r="AN26" s="24">
        <f>IF(_xlfn.XLOOKUP($A26,'Correspondances pays'!$A$4:$A$205,'Correspondances pays'!$C$4:$C$205)=Résultats!AN$2,1,0)</f>
        <v>0</v>
      </c>
      <c r="AO26" s="24">
        <f>IF(_xlfn.XLOOKUP($A26,'Correspondances pays'!$A$4:$A$205,'Correspondances pays'!$C$4:$C$205)=Résultats!AO$2,1,0)</f>
        <v>0</v>
      </c>
      <c r="AP26" s="24">
        <f>IF(_xlfn.XLOOKUP($A26,'Correspondances pays'!$A$4:$A$205,'Correspondances pays'!$C$4:$C$205)=Résultats!AP$2,1,0)</f>
        <v>0</v>
      </c>
      <c r="AQ26" s="24">
        <f>IF(_xlfn.XLOOKUP($A26,'Correspondances pays'!$A$4:$A$205,'Correspondances pays'!$C$4:$C$205)=Résultats!AQ$2,1,0)</f>
        <v>0</v>
      </c>
      <c r="AS26" s="24">
        <f>(AutoConsommation!J26)/SUM(AutoConsommation!$I26,AutoConsommation!$J26,AutoConsommation!$M26,AutoConsommation!$O26)</f>
        <v>1.7039978127637433E-2</v>
      </c>
      <c r="AT26" s="24">
        <f>SUMIF(Import!$E$2:$CN$2,AT$2,Import!$E27:CN27)/Import!$D27</f>
        <v>6.7153980720092139E-6</v>
      </c>
      <c r="AU26" s="24">
        <f>SUMIF(Import!$E$2:$CN$2,AU$2,Import!$E27:CO27)/Import!$D27</f>
        <v>5.7080883612078318E-5</v>
      </c>
      <c r="AV26" s="24">
        <f>SUMIF(Import!$E$2:$CN$2,AV$2,Import!$E27:CP27)/Import!$D27</f>
        <v>0</v>
      </c>
      <c r="AW26" s="24">
        <f>SUMIF(Import!$E$2:$CN$2,AW$2,Import!$E27:CQ27)/Import!$D27</f>
        <v>2.0764010838652487E-2</v>
      </c>
      <c r="AX26" s="24">
        <f>SUMIF(Import!$E$2:$CN$2,AX$2,Import!$E27:CR27)/Import!$D27</f>
        <v>0.90742823757735303</v>
      </c>
      <c r="AY26" s="24">
        <f>SUMIF(Import!$E$2:$CN$2,AY$2,Import!$E27:CS27)/Import!$D27</f>
        <v>0</v>
      </c>
      <c r="AZ26" s="24">
        <f>SUMIF(Import!$E$2:$CN$2,AZ$2,Import!$E27:CT27)/Import!$D27</f>
        <v>7.1730524506166418E-2</v>
      </c>
      <c r="BA26" s="24">
        <f>SUMIF(Import!$E$2:$CN$2,BA$2,Import!$E27:CU27)/Import!$D27</f>
        <v>0</v>
      </c>
      <c r="BB26" s="24">
        <f>SUMIF(Import!$E$2:$CN$2,BB$2,Import!$E27:CV27)/Import!$D27</f>
        <v>0</v>
      </c>
      <c r="BC26" s="24">
        <f>SUMIF(Import!$E$2:$CN$2,BC$2,Import!$E27:CW27)/Import!$D27</f>
        <v>1.3430796144018428E-5</v>
      </c>
      <c r="BD26" s="25"/>
    </row>
    <row r="27" spans="1:56" x14ac:dyDescent="0.25">
      <c r="A27" s="28" t="s">
        <v>107</v>
      </c>
      <c r="B27" s="26" t="s">
        <v>242</v>
      </c>
      <c r="C27" s="58">
        <f>SUMPRODUCT('Données ArrièrePlan'!$B$3:$M$3,$D27:$O27)</f>
        <v>0</v>
      </c>
      <c r="D27" s="32">
        <f t="shared" si="11"/>
        <v>0</v>
      </c>
      <c r="E27" s="32">
        <f t="shared" si="0"/>
        <v>0.26315727890371687</v>
      </c>
      <c r="F27" s="32">
        <f t="shared" si="13"/>
        <v>1.4083543839714151E-3</v>
      </c>
      <c r="G27" s="32">
        <f t="shared" si="1"/>
        <v>0</v>
      </c>
      <c r="H27" s="32">
        <f t="shared" si="2"/>
        <v>1.7464712102820128E-3</v>
      </c>
      <c r="I27" s="32">
        <f t="shared" si="3"/>
        <v>0.27501385811769757</v>
      </c>
      <c r="J27" s="32">
        <f t="shared" si="4"/>
        <v>9.0984164170851735E-3</v>
      </c>
      <c r="K27" s="32">
        <f t="shared" si="5"/>
        <v>0.14519822327878085</v>
      </c>
      <c r="L27" s="32">
        <f t="shared" si="6"/>
        <v>0.16104500445239572</v>
      </c>
      <c r="M27" s="32">
        <f t="shared" si="7"/>
        <v>0</v>
      </c>
      <c r="N27" s="32">
        <f t="shared" si="8"/>
        <v>1.0870036812795248E-3</v>
      </c>
      <c r="O27" s="32">
        <f t="shared" si="9"/>
        <v>0.14224538955479091</v>
      </c>
      <c r="Q27" s="58">
        <f>SUMPRODUCT('Données ArrièrePlan'!$D$3:$M$3,R27:AA27)</f>
        <v>0</v>
      </c>
      <c r="R27" s="32">
        <f t="shared" si="12"/>
        <v>1.9113364950881907E-3</v>
      </c>
      <c r="S27" s="32">
        <f t="shared" si="12"/>
        <v>0</v>
      </c>
      <c r="T27" s="32">
        <f t="shared" si="12"/>
        <v>2.3702089472819828E-3</v>
      </c>
      <c r="U27" s="32">
        <f t="shared" si="12"/>
        <v>0.37323278122165443</v>
      </c>
      <c r="V27" s="32">
        <f t="shared" si="12"/>
        <v>1.2347840531760216E-2</v>
      </c>
      <c r="W27" s="32">
        <f t="shared" si="12"/>
        <v>0.19705456689964074</v>
      </c>
      <c r="X27" s="32">
        <f t="shared" si="12"/>
        <v>0.21856089480369856</v>
      </c>
      <c r="Y27" s="32">
        <f t="shared" si="12"/>
        <v>0</v>
      </c>
      <c r="Z27" s="32">
        <f t="shared" si="12"/>
        <v>1.475218048788306E-3</v>
      </c>
      <c r="AA27" s="32">
        <f t="shared" si="12"/>
        <v>0.19304715305208767</v>
      </c>
      <c r="AC27" s="24">
        <f>(AutoConsommation!M27+AutoConsommation!O27)/SUM(AutoConsommation!$I27,AutoConsommation!$J27,AutoConsommation!$M27,AutoConsommation!$O27)</f>
        <v>0.26315727890371687</v>
      </c>
      <c r="AD27" s="24">
        <f>IF(_xlfn.XLOOKUP($A27,AutoConsommation!$B:$B,AutoConsommation!$A:$A)=Résultats!AD$2,1,0)</f>
        <v>0</v>
      </c>
      <c r="AE27" s="24">
        <f>IF(_xlfn.XLOOKUP($A27,AutoConsommation!$B:$B,AutoConsommation!$A:$A)=Résultats!AE$2,1,0)</f>
        <v>1</v>
      </c>
      <c r="AG27" s="24">
        <f>(AutoConsommation!I27)/SUM(AutoConsommation!$I27,AutoConsommation!$J27,AutoConsommation!$M27,AutoConsommation!$O27)</f>
        <v>3.643670934452628E-2</v>
      </c>
      <c r="AH27" s="24">
        <f>IF(_xlfn.XLOOKUP($A27,'Correspondances pays'!$A$4:$A$205,'Correspondances pays'!$C$4:$C$205)=Résultats!AH$2,1,0)</f>
        <v>0</v>
      </c>
      <c r="AI27" s="24">
        <f>IF(_xlfn.XLOOKUP($A27,'Correspondances pays'!$A$4:$A$205,'Correspondances pays'!$C$4:$C$205)=Résultats!AI$2,1,0)</f>
        <v>0</v>
      </c>
      <c r="AJ27" s="24">
        <f>IF(_xlfn.XLOOKUP($A27,'Correspondances pays'!$A$4:$A$205,'Correspondances pays'!$C$4:$C$205)=Résultats!AJ$2,1,0)</f>
        <v>0</v>
      </c>
      <c r="AK27" s="24">
        <f>IF(_xlfn.XLOOKUP($A27,'Correspondances pays'!$A$4:$A$205,'Correspondances pays'!$C$4:$C$205)=Résultats!AK$2,1,0)</f>
        <v>1</v>
      </c>
      <c r="AL27" s="24">
        <f>IF(_xlfn.XLOOKUP($A27,'Correspondances pays'!$A$4:$A$205,'Correspondances pays'!$C$4:$C$205)=Résultats!AL$2,1,0)</f>
        <v>0</v>
      </c>
      <c r="AM27" s="24">
        <f>IF(_xlfn.XLOOKUP($A27,'Correspondances pays'!$A$4:$A$205,'Correspondances pays'!$C$4:$C$205)=Résultats!AM$2,1,0)</f>
        <v>0</v>
      </c>
      <c r="AN27" s="24">
        <f>IF(_xlfn.XLOOKUP($A27,'Correspondances pays'!$A$4:$A$205,'Correspondances pays'!$C$4:$C$205)=Résultats!AN$2,1,0)</f>
        <v>0</v>
      </c>
      <c r="AO27" s="24">
        <f>IF(_xlfn.XLOOKUP($A27,'Correspondances pays'!$A$4:$A$205,'Correspondances pays'!$C$4:$C$205)=Résultats!AO$2,1,0)</f>
        <v>0</v>
      </c>
      <c r="AP27" s="24">
        <f>IF(_xlfn.XLOOKUP($A27,'Correspondances pays'!$A$4:$A$205,'Correspondances pays'!$C$4:$C$205)=Résultats!AP$2,1,0)</f>
        <v>0</v>
      </c>
      <c r="AQ27" s="24">
        <f>IF(_xlfn.XLOOKUP($A27,'Correspondances pays'!$A$4:$A$205,'Correspondances pays'!$C$4:$C$205)=Résultats!AQ$2,1,0)</f>
        <v>0</v>
      </c>
      <c r="AS27" s="24">
        <f>(AutoConsommation!J27)/SUM(AutoConsommation!$I27,AutoConsommation!$J27,AutoConsommation!$M27,AutoConsommation!$O27)</f>
        <v>0.70040601175175687</v>
      </c>
      <c r="AT27" s="24">
        <f>SUMIF(Import!$E$2:$CN$2,AT$2,Import!$E28:CN28)/Import!$D28</f>
        <v>2.0107685547259046E-3</v>
      </c>
      <c r="AU27" s="24">
        <f>SUMIF(Import!$E$2:$CN$2,AU$2,Import!$E28:CO28)/Import!$D28</f>
        <v>0</v>
      </c>
      <c r="AV27" s="24">
        <f>SUMIF(Import!$E$2:$CN$2,AV$2,Import!$E28:CP28)/Import!$D28</f>
        <v>2.4935125926660523E-3</v>
      </c>
      <c r="AW27" s="24">
        <f>SUMIF(Import!$E$2:$CN$2,AW$2,Import!$E28:CQ28)/Import!$D28</f>
        <v>0.34062692891009849</v>
      </c>
      <c r="AX27" s="24">
        <f>SUMIF(Import!$E$2:$CN$2,AX$2,Import!$E28:CR28)/Import!$D28</f>
        <v>1.2990203202753067E-2</v>
      </c>
      <c r="AY27" s="24">
        <f>SUMIF(Import!$E$2:$CN$2,AY$2,Import!$E28:CS28)/Import!$D28</f>
        <v>0.20730579241550412</v>
      </c>
      <c r="AZ27" s="24">
        <f>SUMIF(Import!$E$2:$CN$2,AZ$2,Import!$E28:CT28)/Import!$D28</f>
        <v>0.22993092827631881</v>
      </c>
      <c r="BA27" s="24">
        <f>SUMIF(Import!$E$2:$CN$2,BA$2,Import!$E28:CU28)/Import!$D28</f>
        <v>0</v>
      </c>
      <c r="BB27" s="24">
        <f>SUMIF(Import!$E$2:$CN$2,BB$2,Import!$E28:CV28)/Import!$D28</f>
        <v>1.551962237675351E-3</v>
      </c>
      <c r="BC27" s="24">
        <f>SUMIF(Import!$E$2:$CN$2,BC$2,Import!$E28:CW28)/Import!$D28</f>
        <v>0.20308990381025824</v>
      </c>
      <c r="BD27" s="25"/>
    </row>
    <row r="28" spans="1:56" x14ac:dyDescent="0.25">
      <c r="A28" s="40" t="s">
        <v>112</v>
      </c>
      <c r="B28" s="26" t="s">
        <v>242</v>
      </c>
      <c r="C28" s="58">
        <f>SUMPRODUCT('Données ArrièrePlan'!$B$3:$M$3,$D28:$O28)</f>
        <v>0</v>
      </c>
      <c r="D28" s="32">
        <f t="shared" si="11"/>
        <v>0</v>
      </c>
      <c r="E28" s="32">
        <f t="shared" si="0"/>
        <v>0.55129396569529543</v>
      </c>
      <c r="F28" s="32">
        <f t="shared" si="13"/>
        <v>5.9155606953171261E-5</v>
      </c>
      <c r="G28" s="32">
        <f t="shared" si="1"/>
        <v>2.6949860452544747E-2</v>
      </c>
      <c r="H28" s="32">
        <f t="shared" si="2"/>
        <v>4.0414035113916546E-3</v>
      </c>
      <c r="I28" s="32">
        <f t="shared" si="3"/>
        <v>0.16666912999640993</v>
      </c>
      <c r="J28" s="32">
        <f t="shared" si="4"/>
        <v>4.5854558359458208E-3</v>
      </c>
      <c r="K28" s="32">
        <f t="shared" si="5"/>
        <v>3.1045041788439285E-2</v>
      </c>
      <c r="L28" s="32">
        <f t="shared" si="6"/>
        <v>1.0170282910570217E-2</v>
      </c>
      <c r="M28" s="32">
        <f t="shared" si="7"/>
        <v>8.3127968522406392E-2</v>
      </c>
      <c r="N28" s="32">
        <f t="shared" si="8"/>
        <v>9.8592678255285426E-5</v>
      </c>
      <c r="O28" s="32">
        <f t="shared" si="9"/>
        <v>0.12195914300178809</v>
      </c>
      <c r="Q28" s="58">
        <f>SUMPRODUCT('Données ArrièrePlan'!$D$3:$M$3,R28:AA28)</f>
        <v>0</v>
      </c>
      <c r="R28" s="32">
        <f t="shared" si="12"/>
        <v>1.3183599602094995E-4</v>
      </c>
      <c r="S28" s="32">
        <f t="shared" si="12"/>
        <v>6.0061283762998824E-2</v>
      </c>
      <c r="T28" s="32">
        <f t="shared" si="12"/>
        <v>9.0067955463403529E-3</v>
      </c>
      <c r="U28" s="32">
        <f t="shared" si="12"/>
        <v>0.371443923758844</v>
      </c>
      <c r="V28" s="32">
        <f t="shared" si="12"/>
        <v>1.0219287206714847E-2</v>
      </c>
      <c r="W28" s="32">
        <f t="shared" si="12"/>
        <v>6.9187930214812773E-2</v>
      </c>
      <c r="X28" s="32">
        <f t="shared" si="12"/>
        <v>2.2665803740147261E-2</v>
      </c>
      <c r="Y28" s="32">
        <f t="shared" si="12"/>
        <v>0.18526153465089429</v>
      </c>
      <c r="Z28" s="32">
        <f t="shared" si="12"/>
        <v>2.1972666003491656E-4</v>
      </c>
      <c r="AA28" s="32">
        <f t="shared" si="12"/>
        <v>0.27180187846319181</v>
      </c>
      <c r="AC28" s="24">
        <f>(AutoConsommation!M28+AutoConsommation!O28)/SUM(AutoConsommation!$I28,AutoConsommation!$J28,AutoConsommation!$M28,AutoConsommation!$O28)</f>
        <v>0.55129396569529543</v>
      </c>
      <c r="AD28" s="24">
        <f>IF(_xlfn.XLOOKUP($A28,AutoConsommation!$B:$B,AutoConsommation!$A:$A)=Résultats!AD$2,1,0)</f>
        <v>0</v>
      </c>
      <c r="AE28" s="24">
        <f>IF(_xlfn.XLOOKUP($A28,AutoConsommation!$B:$B,AutoConsommation!$A:$A)=Résultats!AE$2,1,0)</f>
        <v>1</v>
      </c>
      <c r="AG28" s="24">
        <f>(AutoConsommation!I28)/SUM(AutoConsommation!$I28,AutoConsommation!$J28,AutoConsommation!$M28,AutoConsommation!$O28)</f>
        <v>0</v>
      </c>
      <c r="AH28" s="24">
        <f>IF(_xlfn.XLOOKUP($A28,'Correspondances pays'!$A$4:$A$205,'Correspondances pays'!$C$4:$C$205)=Résultats!AH$2,1,0)</f>
        <v>0</v>
      </c>
      <c r="AI28" s="24">
        <f>IF(_xlfn.XLOOKUP($A28,'Correspondances pays'!$A$4:$A$205,'Correspondances pays'!$C$4:$C$205)=Résultats!AI$2,1,0)</f>
        <v>0</v>
      </c>
      <c r="AJ28" s="24">
        <f>IF(_xlfn.XLOOKUP($A28,'Correspondances pays'!$A$4:$A$205,'Correspondances pays'!$C$4:$C$205)=Résultats!AJ$2,1,0)</f>
        <v>0</v>
      </c>
      <c r="AK28" s="24">
        <f>IF(_xlfn.XLOOKUP($A28,'Correspondances pays'!$A$4:$A$205,'Correspondances pays'!$C$4:$C$205)=Résultats!AK$2,1,0)</f>
        <v>0</v>
      </c>
      <c r="AL28" s="24">
        <f>IF(_xlfn.XLOOKUP($A28,'Correspondances pays'!$A$4:$A$205,'Correspondances pays'!$C$4:$C$205)=Résultats!AL$2,1,0)</f>
        <v>0</v>
      </c>
      <c r="AM28" s="24">
        <f>IF(_xlfn.XLOOKUP($A28,'Correspondances pays'!$A$4:$A$205,'Correspondances pays'!$C$4:$C$205)=Résultats!AM$2,1,0)</f>
        <v>0</v>
      </c>
      <c r="AN28" s="24">
        <f>IF(_xlfn.XLOOKUP($A28,'Correspondances pays'!$A$4:$A$205,'Correspondances pays'!$C$4:$C$205)=Résultats!AN$2,1,0)</f>
        <v>0</v>
      </c>
      <c r="AO28" s="24">
        <f>IF(_xlfn.XLOOKUP($A28,'Correspondances pays'!$A$4:$A$205,'Correspondances pays'!$C$4:$C$205)=Résultats!AO$2,1,0)</f>
        <v>0</v>
      </c>
      <c r="AP28" s="24">
        <f>IF(_xlfn.XLOOKUP($A28,'Correspondances pays'!$A$4:$A$205,'Correspondances pays'!$C$4:$C$205)=Résultats!AP$2,1,0)</f>
        <v>0</v>
      </c>
      <c r="AQ28" s="24">
        <f>IF(_xlfn.XLOOKUP($A28,'Correspondances pays'!$A$4:$A$205,'Correspondances pays'!$C$4:$C$205)=Résultats!AQ$2,1,0)</f>
        <v>1</v>
      </c>
      <c r="AS28" s="24">
        <f>(AutoConsommation!J28)/SUM(AutoConsommation!$I28,AutoConsommation!$J28,AutoConsommation!$M28,AutoConsommation!$O28)</f>
        <v>0.44870603430470457</v>
      </c>
      <c r="AT28" s="24">
        <f>SUMIF(Import!$E$2:$CN$2,AT$2,Import!$E29:CN29)/Import!$D29</f>
        <v>1.3183599602094995E-4</v>
      </c>
      <c r="AU28" s="24">
        <f>SUMIF(Import!$E$2:$CN$2,AU$2,Import!$E29:CO29)/Import!$D29</f>
        <v>6.0061283762998831E-2</v>
      </c>
      <c r="AV28" s="24">
        <f>SUMIF(Import!$E$2:$CN$2,AV$2,Import!$E29:CP29)/Import!$D29</f>
        <v>9.0067955463403529E-3</v>
      </c>
      <c r="AW28" s="24">
        <f>SUMIF(Import!$E$2:$CN$2,AW$2,Import!$E29:CQ29)/Import!$D29</f>
        <v>0.371443923758844</v>
      </c>
      <c r="AX28" s="24">
        <f>SUMIF(Import!$E$2:$CN$2,AX$2,Import!$E29:CR29)/Import!$D29</f>
        <v>1.0219287206714847E-2</v>
      </c>
      <c r="AY28" s="24">
        <f>SUMIF(Import!$E$2:$CN$2,AY$2,Import!$E29:CS29)/Import!$D29</f>
        <v>6.9187930214812773E-2</v>
      </c>
      <c r="AZ28" s="24">
        <f>SUMIF(Import!$E$2:$CN$2,AZ$2,Import!$E29:CT29)/Import!$D29</f>
        <v>2.2665803740147258E-2</v>
      </c>
      <c r="BA28" s="24">
        <f>SUMIF(Import!$E$2:$CN$2,BA$2,Import!$E29:CU29)/Import!$D29</f>
        <v>0.18526153465089429</v>
      </c>
      <c r="BB28" s="24">
        <f>SUMIF(Import!$E$2:$CN$2,BB$2,Import!$E29:CV29)/Import!$D29</f>
        <v>2.1972666003491656E-4</v>
      </c>
      <c r="BC28" s="24">
        <f>SUMIF(Import!$E$2:$CN$2,BC$2,Import!$E29:CW29)/Import!$D29</f>
        <v>0.27180187846319181</v>
      </c>
      <c r="BD28" s="25"/>
    </row>
    <row r="29" spans="1:56" x14ac:dyDescent="0.25">
      <c r="A29" s="28" t="s">
        <v>79</v>
      </c>
      <c r="B29" s="26" t="s">
        <v>188</v>
      </c>
      <c r="C29" s="58">
        <f>SUMPRODUCT('Données ArrièrePlan'!$B$3:$M$3,$D29:$O29)</f>
        <v>0</v>
      </c>
      <c r="D29" s="32">
        <f t="shared" si="11"/>
        <v>0.56444245260550907</v>
      </c>
      <c r="E29" s="32">
        <f t="shared" si="0"/>
        <v>0</v>
      </c>
      <c r="F29" s="32">
        <f t="shared" si="13"/>
        <v>0</v>
      </c>
      <c r="G29" s="32">
        <f t="shared" si="1"/>
        <v>2.742283584659797E-3</v>
      </c>
      <c r="H29" s="32">
        <f t="shared" si="2"/>
        <v>1.8105188276415614E-2</v>
      </c>
      <c r="I29" s="32">
        <f t="shared" si="3"/>
        <v>3.1204944433619479E-2</v>
      </c>
      <c r="J29" s="32">
        <f t="shared" si="4"/>
        <v>8.1317033681423734E-2</v>
      </c>
      <c r="K29" s="32">
        <f t="shared" si="5"/>
        <v>6.4749495122552791E-2</v>
      </c>
      <c r="L29" s="32">
        <f t="shared" si="6"/>
        <v>0.22203322109252932</v>
      </c>
      <c r="M29" s="32">
        <f t="shared" si="7"/>
        <v>3.362440653061796E-3</v>
      </c>
      <c r="N29" s="32">
        <f t="shared" si="8"/>
        <v>0</v>
      </c>
      <c r="O29" s="32">
        <f t="shared" si="9"/>
        <v>1.2042940550228405E-2</v>
      </c>
      <c r="Q29" s="58">
        <f>SUMPRODUCT('Données ArrièrePlan'!$D$3:$M$3,R29:AA29)</f>
        <v>0</v>
      </c>
      <c r="R29" s="32">
        <f t="shared" si="12"/>
        <v>0</v>
      </c>
      <c r="S29" s="32">
        <f t="shared" si="12"/>
        <v>6.2960304581200846E-3</v>
      </c>
      <c r="T29" s="32">
        <f t="shared" si="12"/>
        <v>4.1567844214205465E-2</v>
      </c>
      <c r="U29" s="32">
        <f t="shared" si="12"/>
        <v>7.1643677443515172E-2</v>
      </c>
      <c r="V29" s="32">
        <f t="shared" si="12"/>
        <v>0.18669641742603921</v>
      </c>
      <c r="W29" s="32">
        <f t="shared" si="12"/>
        <v>0.14865887529646735</v>
      </c>
      <c r="X29" s="32">
        <f t="shared" si="12"/>
        <v>0.50976781924853332</v>
      </c>
      <c r="Y29" s="32">
        <f t="shared" si="12"/>
        <v>7.7198539508176256E-3</v>
      </c>
      <c r="Z29" s="32">
        <f t="shared" si="12"/>
        <v>0</v>
      </c>
      <c r="AA29" s="32">
        <f t="shared" si="12"/>
        <v>2.7649481962301839E-2</v>
      </c>
      <c r="AC29" s="24">
        <f>(AutoConsommation!M29+AutoConsommation!O29)/SUM(AutoConsommation!$I29,AutoConsommation!$J29,AutoConsommation!$M29,AutoConsommation!$O29)</f>
        <v>0.56444245260550907</v>
      </c>
      <c r="AD29" s="24">
        <f>IF(_xlfn.XLOOKUP($A29,AutoConsommation!$B:$B,AutoConsommation!$A:$A)=Résultats!AD$2,1,0)</f>
        <v>1</v>
      </c>
      <c r="AE29" s="24">
        <f>IF(_xlfn.XLOOKUP($A29,AutoConsommation!$B:$B,AutoConsommation!$A:$A)=Résultats!AE$2,1,0)</f>
        <v>0</v>
      </c>
      <c r="AG29" s="24">
        <f>(AutoConsommation!I29)/SUM(AutoConsommation!$I29,AutoConsommation!$J29,AutoConsommation!$M29,AutoConsommation!$O29)</f>
        <v>5.1517212249361656E-2</v>
      </c>
      <c r="AH29" s="24">
        <f>IF(_xlfn.XLOOKUP($A29,'Correspondances pays'!$A$4:$A$205,'Correspondances pays'!$C$4:$C$205)=Résultats!AH$2,1,0)</f>
        <v>0</v>
      </c>
      <c r="AI29" s="24">
        <f>IF(_xlfn.XLOOKUP($A29,'Correspondances pays'!$A$4:$A$205,'Correspondances pays'!$C$4:$C$205)=Résultats!AI$2,1,0)</f>
        <v>0</v>
      </c>
      <c r="AJ29" s="24">
        <f>IF(_xlfn.XLOOKUP($A29,'Correspondances pays'!$A$4:$A$205,'Correspondances pays'!$C$4:$C$205)=Résultats!AJ$2,1,0)</f>
        <v>0</v>
      </c>
      <c r="AK29" s="24">
        <f>IF(_xlfn.XLOOKUP($A29,'Correspondances pays'!$A$4:$A$205,'Correspondances pays'!$C$4:$C$205)=Résultats!AK$2,1,0)</f>
        <v>0</v>
      </c>
      <c r="AL29" s="24">
        <f>IF(_xlfn.XLOOKUP($A29,'Correspondances pays'!$A$4:$A$205,'Correspondances pays'!$C$4:$C$205)=Résultats!AL$2,1,0)</f>
        <v>1</v>
      </c>
      <c r="AM29" s="24">
        <f>IF(_xlfn.XLOOKUP($A29,'Correspondances pays'!$A$4:$A$205,'Correspondances pays'!$C$4:$C$205)=Résultats!AM$2,1,0)</f>
        <v>0</v>
      </c>
      <c r="AN29" s="24">
        <f>IF(_xlfn.XLOOKUP($A29,'Correspondances pays'!$A$4:$A$205,'Correspondances pays'!$C$4:$C$205)=Résultats!AN$2,1,0)</f>
        <v>0</v>
      </c>
      <c r="AO29" s="24">
        <f>IF(_xlfn.XLOOKUP($A29,'Correspondances pays'!$A$4:$A$205,'Correspondances pays'!$C$4:$C$205)=Résultats!AO$2,1,0)</f>
        <v>0</v>
      </c>
      <c r="AP29" s="24">
        <f>IF(_xlfn.XLOOKUP($A29,'Correspondances pays'!$A$4:$A$205,'Correspondances pays'!$C$4:$C$205)=Résultats!AP$2,1,0)</f>
        <v>0</v>
      </c>
      <c r="AQ29" s="24">
        <f>IF(_xlfn.XLOOKUP($A29,'Correspondances pays'!$A$4:$A$205,'Correspondances pays'!$C$4:$C$205)=Résultats!AQ$2,1,0)</f>
        <v>0</v>
      </c>
      <c r="AS29" s="24">
        <f>(AutoConsommation!J29)/SUM(AutoConsommation!$I29,AutoConsommation!$J29,AutoConsommation!$M29,AutoConsommation!$O29)</f>
        <v>0.38404033514512925</v>
      </c>
      <c r="AT29" s="24">
        <f>SUMIF(Import!$E$2:$CN$2,AT$2,Import!$E30:CN30)/Import!$D30</f>
        <v>0</v>
      </c>
      <c r="AU29" s="24">
        <f>SUMIF(Import!$E$2:$CN$2,AU$2,Import!$E30:CO30)/Import!$D30</f>
        <v>7.1406134556764337E-3</v>
      </c>
      <c r="AV29" s="24">
        <f>SUMIF(Import!$E$2:$CN$2,AV$2,Import!$E30:CP30)/Import!$D30</f>
        <v>4.7143975826324708E-2</v>
      </c>
      <c r="AW29" s="24">
        <f>SUMIF(Import!$E$2:$CN$2,AW$2,Import!$E30:CQ30)/Import!$D30</f>
        <v>8.1254341218682399E-2</v>
      </c>
      <c r="AX29" s="24">
        <f>SUMIF(Import!$E$2:$CN$2,AX$2,Import!$E30:CR30)/Import!$D30</f>
        <v>7.7595551052731707E-2</v>
      </c>
      <c r="AY29" s="24">
        <f>SUMIF(Import!$E$2:$CN$2,AY$2,Import!$E30:CS30)/Import!$D30</f>
        <v>0.16860076715140843</v>
      </c>
      <c r="AZ29" s="24">
        <f>SUMIF(Import!$E$2:$CN$2,AZ$2,Import!$E30:CT30)/Import!$D30</f>
        <v>0.57815078462688752</v>
      </c>
      <c r="BA29" s="24">
        <f>SUMIF(Import!$E$2:$CN$2,BA$2,Import!$E30:CU30)/Import!$D30</f>
        <v>8.7554362012290353E-3</v>
      </c>
      <c r="BB29" s="24">
        <f>SUMIF(Import!$E$2:$CN$2,BB$2,Import!$E30:CV30)/Import!$D30</f>
        <v>0</v>
      </c>
      <c r="BC29" s="24">
        <f>SUMIF(Import!$E$2:$CN$2,BC$2,Import!$E30:CW30)/Import!$D30</f>
        <v>3.1358530467059831E-2</v>
      </c>
      <c r="BD29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84AF-B85C-4A9D-A82E-304B0E8A640E}">
  <sheetPr>
    <tabColor theme="1" tint="0.499984740745262"/>
  </sheetPr>
  <dimension ref="A2:M6"/>
  <sheetViews>
    <sheetView showGridLines="0" workbookViewId="0">
      <selection activeCell="A3" sqref="A3"/>
    </sheetView>
  </sheetViews>
  <sheetFormatPr baseColWidth="10" defaultRowHeight="14.3" x14ac:dyDescent="0.25"/>
  <cols>
    <col min="1" max="1" width="29.375" customWidth="1"/>
  </cols>
  <sheetData>
    <row r="2" spans="1:13" x14ac:dyDescent="0.25">
      <c r="A2" s="2"/>
      <c r="B2" s="46" t="s">
        <v>260</v>
      </c>
      <c r="C2" s="46" t="s">
        <v>261</v>
      </c>
      <c r="D2" s="46" t="s">
        <v>195</v>
      </c>
      <c r="E2" s="46" t="s">
        <v>185</v>
      </c>
      <c r="F2" s="46" t="s">
        <v>186</v>
      </c>
      <c r="G2" s="46" t="s">
        <v>187</v>
      </c>
      <c r="H2" s="46" t="s">
        <v>188</v>
      </c>
      <c r="I2" s="46" t="s">
        <v>189</v>
      </c>
      <c r="J2" s="46" t="s">
        <v>190</v>
      </c>
      <c r="K2" s="46" t="s">
        <v>191</v>
      </c>
      <c r="L2" s="46" t="s">
        <v>192</v>
      </c>
      <c r="M2" s="46" t="s">
        <v>193</v>
      </c>
    </row>
    <row r="3" spans="1:13" x14ac:dyDescent="0.25">
      <c r="A3" s="21" t="s">
        <v>318</v>
      </c>
      <c r="B3" s="60"/>
      <c r="C3" s="60"/>
      <c r="D3" s="61"/>
      <c r="E3" s="60"/>
      <c r="F3" s="60"/>
      <c r="G3" s="60"/>
      <c r="H3" s="60"/>
      <c r="I3" s="60"/>
      <c r="J3" s="60"/>
      <c r="K3" s="60"/>
      <c r="L3" s="60"/>
      <c r="M3" s="60"/>
    </row>
    <row r="4" spans="1:13" ht="28.55" x14ac:dyDescent="0.25">
      <c r="A4" s="45" t="s">
        <v>284</v>
      </c>
      <c r="B4" s="2"/>
      <c r="C4" s="2"/>
      <c r="D4" s="31" t="s">
        <v>263</v>
      </c>
      <c r="E4" s="31" t="s">
        <v>262</v>
      </c>
      <c r="F4" s="31" t="s">
        <v>262</v>
      </c>
      <c r="G4" s="31"/>
      <c r="H4" s="30"/>
      <c r="I4" s="30"/>
      <c r="J4" s="31" t="s">
        <v>262</v>
      </c>
      <c r="K4" s="31" t="s">
        <v>262</v>
      </c>
      <c r="L4" s="30"/>
      <c r="M4" s="31" t="s">
        <v>262</v>
      </c>
    </row>
    <row r="6" spans="1:13" x14ac:dyDescent="0.25">
      <c r="A6" t="s">
        <v>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C4E2-E88C-4D90-A244-40D9D182B4DC}">
  <sheetPr codeName="Feuil1">
    <tabColor rgb="FF7030A0"/>
  </sheetPr>
  <dimension ref="A1:BP35"/>
  <sheetViews>
    <sheetView zoomScale="85" zoomScaleNormal="85" workbookViewId="0">
      <pane xSplit="2" ySplit="2" topLeftCell="E6" activePane="bottomRight" state="frozen"/>
      <selection activeCell="I3" sqref="I3"/>
      <selection pane="topRight" activeCell="I3" sqref="I3"/>
      <selection pane="bottomLeft" activeCell="I3" sqref="I3"/>
      <selection pane="bottomRight" activeCell="N37" sqref="N37"/>
    </sheetView>
  </sheetViews>
  <sheetFormatPr baseColWidth="10" defaultRowHeight="14.3" x14ac:dyDescent="0.25"/>
  <cols>
    <col min="1" max="1" width="7" customWidth="1"/>
    <col min="2" max="2" width="29.125" customWidth="1"/>
    <col min="3" max="3" width="22.375" customWidth="1"/>
    <col min="4" max="4" width="20.375" customWidth="1"/>
    <col min="5" max="5" width="34" customWidth="1"/>
    <col min="6" max="6" width="15.125" customWidth="1"/>
    <col min="7" max="7" width="20.25" customWidth="1"/>
    <col min="8" max="8" width="22.75" customWidth="1"/>
    <col min="9" max="9" width="22.875" customWidth="1"/>
    <col min="10" max="11" width="18.25" customWidth="1"/>
    <col min="12" max="14" width="15.375" customWidth="1"/>
    <col min="15" max="15" width="24.375" customWidth="1"/>
  </cols>
  <sheetData>
    <row r="1" spans="1:15" x14ac:dyDescent="0.25">
      <c r="B1" s="5"/>
      <c r="C1" s="5"/>
      <c r="L1" s="62" t="s">
        <v>247</v>
      </c>
      <c r="M1" s="63"/>
      <c r="N1" s="63"/>
      <c r="O1" s="63"/>
    </row>
    <row r="2" spans="1:15" s="1" customFormat="1" ht="74.25" customHeight="1" x14ac:dyDescent="0.25">
      <c r="B2" s="38" t="s">
        <v>196</v>
      </c>
      <c r="C2" s="38" t="s">
        <v>264</v>
      </c>
      <c r="D2" s="38" t="s">
        <v>249</v>
      </c>
      <c r="E2" s="39" t="s">
        <v>250</v>
      </c>
      <c r="F2" s="39" t="s">
        <v>251</v>
      </c>
      <c r="G2" s="38" t="s">
        <v>207</v>
      </c>
      <c r="H2" s="38" t="s">
        <v>206</v>
      </c>
      <c r="I2" s="38" t="s">
        <v>205</v>
      </c>
      <c r="J2" s="38" t="s">
        <v>204</v>
      </c>
      <c r="K2" s="38" t="s">
        <v>208</v>
      </c>
      <c r="L2" s="15" t="s">
        <v>244</v>
      </c>
      <c r="M2" s="15" t="s">
        <v>245</v>
      </c>
      <c r="N2" s="7" t="s">
        <v>246</v>
      </c>
      <c r="O2" s="15" t="s">
        <v>248</v>
      </c>
    </row>
    <row r="3" spans="1:15" x14ac:dyDescent="0.25">
      <c r="A3" s="2" t="s">
        <v>243</v>
      </c>
      <c r="B3" s="28" t="s">
        <v>37</v>
      </c>
      <c r="C3" s="42" t="str">
        <f>_xlfn.XLOOKUP(B3,'Correspondances pays'!$A$4:$A$200,'Correspondances pays'!$B$4:$B$200)</f>
        <v>Germany</v>
      </c>
      <c r="D3" s="8">
        <f>SUMIF('compens8-Prod'!$M$3:$M$102,$C3,'compens8-Prod'!$H$3:$H$102)</f>
        <v>341212</v>
      </c>
      <c r="E3" s="8">
        <f>SUMIF('compens8-Export'!$M$4:$M$1002,$C3,'compens8-Export'!$H$4:$H$1002)</f>
        <v>511237</v>
      </c>
      <c r="F3" s="8">
        <f>SUMIF('compens8-Import'!$M$4:$M$1002,$C3,'compens8-Import'!$H$4:$H$1002)</f>
        <v>2458801</v>
      </c>
      <c r="G3" s="8">
        <f>E3-F3</f>
        <v>-1947564</v>
      </c>
      <c r="H3" s="8">
        <f>F3-E3</f>
        <v>1947564</v>
      </c>
      <c r="I3" s="8">
        <f>IF(D3&gt;E3,D3-E3,IF(E3&gt;F3,D3-(E3-F3),D3))</f>
        <v>341212</v>
      </c>
      <c r="J3" s="8">
        <f t="shared" ref="J3:J35" si="0">IF(D3&gt;E3,F3,IF(F3&lt;E3,0,F3-E3))</f>
        <v>1947564</v>
      </c>
      <c r="K3" s="8">
        <f t="shared" ref="K3:K35" si="1">J3+I3</f>
        <v>2288776</v>
      </c>
      <c r="L3" s="9">
        <v>0.34643986679569549</v>
      </c>
      <c r="M3" s="16">
        <v>1014186.5800000001</v>
      </c>
      <c r="N3" s="16">
        <v>1401739.9118000015</v>
      </c>
      <c r="O3" s="16">
        <v>638666.44259360025</v>
      </c>
    </row>
    <row r="4" spans="1:15" x14ac:dyDescent="0.25">
      <c r="A4" s="2" t="s">
        <v>243</v>
      </c>
      <c r="B4" s="28" t="s">
        <v>5</v>
      </c>
      <c r="C4" s="42" t="str">
        <f>_xlfn.XLOOKUP(B4,'Correspondances pays'!$A$4:$A$200,'Correspondances pays'!$B$4:$B$200)</f>
        <v>Austria</v>
      </c>
      <c r="D4" s="8">
        <f>SUMIF('compens8-Prod'!$M$3:$M$102,$C4,'compens8-Prod'!$H$3:$H$102)</f>
        <v>0</v>
      </c>
      <c r="E4" s="8">
        <f>SUMIF('compens8-Export'!$M$4:$M$1002,$C4,'compens8-Export'!$H$4:$H$1002)</f>
        <v>200431</v>
      </c>
      <c r="F4" s="8">
        <f>SUMIF('compens8-Import'!$M$4:$M$1002,$C4,'compens8-Import'!$H$4:$H$1002)</f>
        <v>548841</v>
      </c>
      <c r="G4" s="8">
        <f t="shared" ref="G4:G28" si="2">E4-F4</f>
        <v>-348410</v>
      </c>
      <c r="H4" s="8">
        <f t="shared" ref="H4:H28" si="3">F4-E4</f>
        <v>348410</v>
      </c>
      <c r="I4" s="8">
        <f t="shared" ref="I4:I28" si="4">IF(D4&gt;E4,D4-E4,IF(E4&gt;F4,D4-(E4-F4),D4))</f>
        <v>0</v>
      </c>
      <c r="J4" s="8">
        <f t="shared" si="0"/>
        <v>348410</v>
      </c>
      <c r="K4" s="8">
        <f t="shared" si="1"/>
        <v>348410</v>
      </c>
      <c r="L4" s="9">
        <v>0.38018450836973017</v>
      </c>
      <c r="M4" s="16">
        <v>267507.28400000004</v>
      </c>
      <c r="N4" s="16">
        <v>283669.5</v>
      </c>
      <c r="O4" s="16">
        <v>114053.9385</v>
      </c>
    </row>
    <row r="5" spans="1:15" x14ac:dyDescent="0.25">
      <c r="A5" s="2" t="s">
        <v>243</v>
      </c>
      <c r="B5" s="28" t="s">
        <v>11</v>
      </c>
      <c r="C5" s="42" t="str">
        <f>_xlfn.XLOOKUP(B5,'Correspondances pays'!$A$4:$A$200,'Correspondances pays'!$B$4:$B$200)</f>
        <v>Belgium</v>
      </c>
      <c r="D5" s="8">
        <f>SUMIF('compens8-Prod'!$M$3:$M$102,$C5,'compens8-Prod'!$H$3:$H$102)</f>
        <v>0</v>
      </c>
      <c r="E5" s="8">
        <f>SUMIF('compens8-Export'!$M$4:$M$1002,$C5,'compens8-Export'!$H$4:$H$1002)</f>
        <v>75853</v>
      </c>
      <c r="F5" s="8">
        <f>SUMIF('compens8-Import'!$M$4:$M$1002,$C5,'compens8-Import'!$H$4:$H$1002)</f>
        <v>353833</v>
      </c>
      <c r="G5" s="8">
        <f t="shared" si="2"/>
        <v>-277980</v>
      </c>
      <c r="H5" s="8">
        <f t="shared" si="3"/>
        <v>277980</v>
      </c>
      <c r="I5" s="8">
        <f t="shared" si="4"/>
        <v>0</v>
      </c>
      <c r="J5" s="8">
        <f t="shared" si="0"/>
        <v>277980</v>
      </c>
      <c r="K5" s="8">
        <f t="shared" si="1"/>
        <v>277980</v>
      </c>
      <c r="L5" s="9">
        <v>0.35592383359866697</v>
      </c>
      <c r="M5" s="16">
        <v>229581.19600000003</v>
      </c>
      <c r="N5" s="16">
        <v>465266.49000000051</v>
      </c>
      <c r="O5" s="16">
        <v>112216.63013000008</v>
      </c>
    </row>
    <row r="6" spans="1:15" x14ac:dyDescent="0.25">
      <c r="A6" s="2" t="s">
        <v>242</v>
      </c>
      <c r="B6" s="28" t="s">
        <v>14</v>
      </c>
      <c r="C6" s="42" t="str">
        <f>_xlfn.XLOOKUP(B6,'Correspondances pays'!$A$4:$A$200,'Correspondances pays'!$B$4:$B$200)</f>
        <v>Brazil</v>
      </c>
      <c r="D6" s="8">
        <f>SUMIF('compens8-Prod'!$M$3:$M$102,$C6,'compens8-Prod'!$H$3:$H$102)</f>
        <v>810900</v>
      </c>
      <c r="E6" s="8">
        <f>SUMIF('compens8-Export'!$M$4:$M$1002,$C6,'compens8-Export'!$H$4:$H$1002)</f>
        <v>226200</v>
      </c>
      <c r="F6" s="8">
        <f>SUMIF('compens8-Import'!$M$4:$M$1002,$C6,'compens8-Import'!$H$4:$H$1002)</f>
        <v>312704</v>
      </c>
      <c r="G6" s="8">
        <f t="shared" si="2"/>
        <v>-86504</v>
      </c>
      <c r="H6" s="8">
        <f t="shared" si="3"/>
        <v>86504</v>
      </c>
      <c r="I6" s="8">
        <f t="shared" si="4"/>
        <v>584700</v>
      </c>
      <c r="J6" s="8">
        <f t="shared" si="0"/>
        <v>312704</v>
      </c>
      <c r="K6" s="8">
        <f t="shared" si="1"/>
        <v>897404</v>
      </c>
      <c r="L6" s="9">
        <v>0.38520745610681684</v>
      </c>
      <c r="M6" s="16">
        <v>407203.23000000004</v>
      </c>
      <c r="N6" s="16">
        <v>171494.34799999991</v>
      </c>
      <c r="O6" s="16">
        <v>189084.35880799999</v>
      </c>
    </row>
    <row r="7" spans="1:15" x14ac:dyDescent="0.25">
      <c r="A7" s="2" t="s">
        <v>242</v>
      </c>
      <c r="B7" s="28" t="s">
        <v>18</v>
      </c>
      <c r="C7" s="42" t="str">
        <f>_xlfn.XLOOKUP(B7,'Correspondances pays'!$A$4:$A$200,'Correspondances pays'!$B$4:$B$200)</f>
        <v>China</v>
      </c>
      <c r="D7" s="8">
        <f>SUMIF('compens8-Prod'!$M$3:$M$102,$C7,'compens8-Prod'!$H$3:$H$102)</f>
        <v>40144300</v>
      </c>
      <c r="E7" s="8">
        <f>SUMIF('compens8-Export'!$M$4:$M$1002,$C7,'compens8-Export'!$H$4:$H$1002)</f>
        <v>418052</v>
      </c>
      <c r="F7" s="8">
        <f>SUMIF('compens8-Import'!$M$4:$M$1002,$C7,'compens8-Import'!$H$4:$H$1002)</f>
        <v>1822428</v>
      </c>
      <c r="G7" s="8">
        <f t="shared" si="2"/>
        <v>-1404376</v>
      </c>
      <c r="H7" s="8">
        <f t="shared" si="3"/>
        <v>1404376</v>
      </c>
      <c r="I7" s="8">
        <f t="shared" si="4"/>
        <v>39726248</v>
      </c>
      <c r="J7" s="8">
        <f t="shared" si="0"/>
        <v>1822428</v>
      </c>
      <c r="K7" s="8">
        <f t="shared" si="1"/>
        <v>41548676</v>
      </c>
      <c r="L7" s="9">
        <v>0.22963089591244779</v>
      </c>
      <c r="M7" s="16">
        <v>3509740.0280000004</v>
      </c>
      <c r="N7" s="16">
        <v>324119.14000000007</v>
      </c>
      <c r="O7" s="16">
        <v>6470499.6124200001</v>
      </c>
    </row>
    <row r="8" spans="1:15" x14ac:dyDescent="0.25">
      <c r="A8" s="2" t="s">
        <v>242</v>
      </c>
      <c r="B8" s="40" t="s">
        <v>271</v>
      </c>
      <c r="C8" s="42" t="str">
        <f>_xlfn.XLOOKUP(B8,'Correspondances pays'!$A$4:$A$200,'Correspondances pays'!$B$4:$B$200)</f>
        <v>Korea  Republic of</v>
      </c>
      <c r="D8" s="8">
        <f>SUMIF('compens8-Prod'!$M$3:$M$102,$C8,'compens8-Prod'!$H$3:$H$102)</f>
        <v>0</v>
      </c>
      <c r="E8" s="8">
        <f>SUMIF('compens8-Export'!$M$4:$M$1002,$C8,'compens8-Export'!$H$4:$H$1002)</f>
        <v>296314</v>
      </c>
      <c r="F8" s="8">
        <f>SUMIF('compens8-Import'!$M$4:$M$1002,$C8,'compens8-Import'!$H$4:$H$1002)</f>
        <v>1519052</v>
      </c>
      <c r="G8" s="8">
        <f t="shared" si="2"/>
        <v>-1222738</v>
      </c>
      <c r="H8" s="8">
        <f t="shared" si="3"/>
        <v>1222738</v>
      </c>
      <c r="I8" s="8">
        <f t="shared" si="4"/>
        <v>0</v>
      </c>
      <c r="J8" s="8">
        <f t="shared" si="0"/>
        <v>1222738</v>
      </c>
      <c r="K8" s="8">
        <f t="shared" si="1"/>
        <v>1222738</v>
      </c>
      <c r="L8" s="9">
        <v>0.45930880424979215</v>
      </c>
      <c r="M8" s="16">
        <v>844483.22800000012</v>
      </c>
      <c r="N8" s="16">
        <v>256570.76000000004</v>
      </c>
      <c r="O8" s="16">
        <v>243260.31812000001</v>
      </c>
    </row>
    <row r="9" spans="1:15" x14ac:dyDescent="0.25">
      <c r="A9" s="2" t="s">
        <v>243</v>
      </c>
      <c r="B9" s="28" t="s">
        <v>98</v>
      </c>
      <c r="C9" s="42" t="str">
        <f>_xlfn.XLOOKUP(B9,'Correspondances pays'!$A$4:$A$200,'Correspondances pays'!$B$4:$B$200)</f>
        <v>Spain</v>
      </c>
      <c r="D9" s="8">
        <f>SUMIF('compens8-Prod'!$M$3:$M$102,$C9,'compens8-Prod'!$H$3:$H$102)</f>
        <v>0</v>
      </c>
      <c r="E9" s="8">
        <f>SUMIF('compens8-Export'!$M$4:$M$1002,$C9,'compens8-Export'!$H$4:$H$1002)</f>
        <v>303824</v>
      </c>
      <c r="F9" s="8">
        <f>SUMIF('compens8-Import'!$M$4:$M$1002,$C9,'compens8-Import'!$H$4:$H$1002)</f>
        <v>687394.01</v>
      </c>
      <c r="G9" s="8">
        <f t="shared" si="2"/>
        <v>-383570.01</v>
      </c>
      <c r="H9" s="8">
        <f t="shared" si="3"/>
        <v>383570.01</v>
      </c>
      <c r="I9" s="8">
        <f t="shared" si="4"/>
        <v>0</v>
      </c>
      <c r="J9" s="8">
        <f t="shared" si="0"/>
        <v>383570.01</v>
      </c>
      <c r="K9" s="8">
        <f t="shared" si="1"/>
        <v>383570.01</v>
      </c>
      <c r="L9" s="9">
        <v>0.34656808955175267</v>
      </c>
      <c r="M9" s="16">
        <v>300330.43600000005</v>
      </c>
      <c r="N9" s="16">
        <v>445367.95200000016</v>
      </c>
      <c r="O9" s="16">
        <v>155188.38879400006</v>
      </c>
    </row>
    <row r="10" spans="1:15" x14ac:dyDescent="0.25">
      <c r="A10" s="2" t="s">
        <v>242</v>
      </c>
      <c r="B10" s="28" t="s">
        <v>229</v>
      </c>
      <c r="C10" s="42" t="str">
        <f>_xlfn.XLOOKUP(B10,'Correspondances pays'!$A$4:$A$200,'Correspondances pays'!$B$4:$B$200)</f>
        <v>United States of America</v>
      </c>
      <c r="D10" s="8">
        <f>SUMIF('compens8-Prod'!$M$3:$M$102,$C10,'compens8-Prod'!$H$3:$H$102)</f>
        <v>872270</v>
      </c>
      <c r="E10" s="8">
        <f>SUMIF('compens8-Export'!$M$4:$M$1002,$C10,'compens8-Export'!$H$4:$H$1002)</f>
        <v>542628</v>
      </c>
      <c r="F10" s="8">
        <f>SUMIF('compens8-Import'!$M$4:$M$1002,$C10,'compens8-Import'!$H$4:$H$1002)</f>
        <v>4397916</v>
      </c>
      <c r="G10" s="8">
        <f t="shared" si="2"/>
        <v>-3855288</v>
      </c>
      <c r="H10" s="8">
        <f t="shared" si="3"/>
        <v>3855288</v>
      </c>
      <c r="I10" s="8">
        <f t="shared" si="4"/>
        <v>329642</v>
      </c>
      <c r="J10" s="8">
        <f t="shared" si="0"/>
        <v>4397916</v>
      </c>
      <c r="K10" s="8">
        <f t="shared" si="1"/>
        <v>4727558</v>
      </c>
      <c r="L10" s="9">
        <v>0.27378296257293627</v>
      </c>
      <c r="M10" s="16">
        <v>862387.4040000001</v>
      </c>
      <c r="N10" s="16">
        <v>3472672.1714000008</v>
      </c>
      <c r="O10" s="16">
        <v>1608685.9035376003</v>
      </c>
    </row>
    <row r="11" spans="1:15" x14ac:dyDescent="0.25">
      <c r="A11" s="2" t="s">
        <v>243</v>
      </c>
      <c r="B11" s="28" t="s">
        <v>32</v>
      </c>
      <c r="C11" s="42" t="str">
        <f>_xlfn.XLOOKUP(B11,'Correspondances pays'!$A$4:$A$200,'Correspondances pays'!$B$4:$B$200)</f>
        <v>Finland</v>
      </c>
      <c r="D11" s="8">
        <f>SUMIF('compens8-Prod'!$M$3:$M$102,$C11,'compens8-Prod'!$H$3:$H$102)</f>
        <v>0</v>
      </c>
      <c r="E11" s="8">
        <f>SUMIF('compens8-Export'!$M$4:$M$1002,$C11,'compens8-Export'!$H$4:$H$1002)</f>
        <v>23295</v>
      </c>
      <c r="F11" s="8">
        <f>SUMIF('compens8-Import'!$M$4:$M$1002,$C11,'compens8-Import'!$H$4:$H$1002)</f>
        <v>44648.32</v>
      </c>
      <c r="G11" s="8">
        <f t="shared" si="2"/>
        <v>-21353.32</v>
      </c>
      <c r="H11" s="8">
        <f t="shared" si="3"/>
        <v>21353.32</v>
      </c>
      <c r="I11" s="8">
        <f t="shared" si="4"/>
        <v>0</v>
      </c>
      <c r="J11" s="8">
        <f t="shared" si="0"/>
        <v>21353.32</v>
      </c>
      <c r="K11" s="8">
        <f t="shared" si="1"/>
        <v>21353.32</v>
      </c>
      <c r="L11" s="9">
        <v>0.28915963258078903</v>
      </c>
      <c r="M11" s="16">
        <v>21858.688000000002</v>
      </c>
      <c r="N11" s="16">
        <v>77149.279999999955</v>
      </c>
      <c r="O11" s="16">
        <v>16686.271199999996</v>
      </c>
    </row>
    <row r="12" spans="1:15" x14ac:dyDescent="0.25">
      <c r="A12" s="2" t="s">
        <v>243</v>
      </c>
      <c r="B12" s="28" t="s">
        <v>33</v>
      </c>
      <c r="C12" s="42" t="str">
        <f>_xlfn.XLOOKUP(B12,'Correspondances pays'!$A$4:$A$200,'Correspondances pays'!$B$4:$B$200)</f>
        <v>France</v>
      </c>
      <c r="D12" s="8">
        <f>SUMIF('compens8-Prod'!$M$3:$M$102,$C12,'compens8-Prod'!$H$3:$H$102)</f>
        <v>380000</v>
      </c>
      <c r="E12" s="8">
        <f>SUMIF('compens8-Export'!$M$4:$M$1002,$C12,'compens8-Export'!$H$4:$H$1002)</f>
        <v>268534</v>
      </c>
      <c r="F12" s="8">
        <f>SUMIF('compens8-Import'!$M$4:$M$1002,$C12,'compens8-Import'!$H$4:$H$1002)</f>
        <v>548846</v>
      </c>
      <c r="G12" s="8">
        <f t="shared" si="2"/>
        <v>-280312</v>
      </c>
      <c r="H12" s="8">
        <f t="shared" si="3"/>
        <v>280312</v>
      </c>
      <c r="I12" s="8">
        <f t="shared" si="4"/>
        <v>111466</v>
      </c>
      <c r="J12" s="8">
        <f t="shared" si="0"/>
        <v>548846</v>
      </c>
      <c r="K12" s="8">
        <f t="shared" si="1"/>
        <v>660312</v>
      </c>
      <c r="L12" s="9">
        <v>0.28323893897225422</v>
      </c>
      <c r="M12" s="16">
        <v>261556.20000000004</v>
      </c>
      <c r="N12" s="16">
        <v>802574.89999999909</v>
      </c>
      <c r="O12" s="16">
        <v>263175.97679999983</v>
      </c>
    </row>
    <row r="13" spans="1:15" x14ac:dyDescent="0.25">
      <c r="A13" s="2" t="s">
        <v>243</v>
      </c>
      <c r="B13" s="28" t="s">
        <v>43</v>
      </c>
      <c r="C13" s="42" t="str">
        <f>_xlfn.XLOOKUP(B13,'Correspondances pays'!$A$4:$A$200,'Correspondances pays'!$B$4:$B$200)</f>
        <v>Hungary</v>
      </c>
      <c r="D13" s="8">
        <f>SUMIF('compens8-Prod'!$M$3:$M$102,$C13,'compens8-Prod'!$H$3:$H$102)</f>
        <v>0</v>
      </c>
      <c r="E13" s="8">
        <f>SUMIF('compens8-Export'!$M$4:$M$1002,$C13,'compens8-Export'!$H$4:$H$1002)</f>
        <v>72599.919999999984</v>
      </c>
      <c r="F13" s="8">
        <f>SUMIF('compens8-Import'!$M$4:$M$1002,$C13,'compens8-Import'!$H$4:$H$1002)</f>
        <v>280466.68999999994</v>
      </c>
      <c r="G13" s="8">
        <f t="shared" si="2"/>
        <v>-207866.76999999996</v>
      </c>
      <c r="H13" s="8">
        <f t="shared" si="3"/>
        <v>207866.76999999996</v>
      </c>
      <c r="I13" s="8">
        <f t="shared" si="4"/>
        <v>0</v>
      </c>
      <c r="J13" s="8">
        <f t="shared" si="0"/>
        <v>207866.76999999996</v>
      </c>
      <c r="K13" s="8">
        <f t="shared" si="1"/>
        <v>207866.76999999996</v>
      </c>
      <c r="L13" s="9">
        <v>0.32067734412149873</v>
      </c>
      <c r="M13" s="16">
        <v>102726.87800000001</v>
      </c>
      <c r="N13" s="16">
        <v>176085.41379999995</v>
      </c>
      <c r="O13" s="16">
        <v>62547.638220599998</v>
      </c>
    </row>
    <row r="14" spans="1:15" x14ac:dyDescent="0.25">
      <c r="A14" s="2" t="s">
        <v>242</v>
      </c>
      <c r="B14" s="28" t="s">
        <v>45</v>
      </c>
      <c r="C14" s="42" t="str">
        <f>_xlfn.XLOOKUP(B14,'Correspondances pays'!$A$4:$A$200,'Correspondances pays'!$B$4:$B$200)</f>
        <v>India</v>
      </c>
      <c r="D14" s="8">
        <f>SUMIF('compens8-Prod'!$M$3:$M$102,$C14,'compens8-Prod'!$H$3:$H$102)</f>
        <v>4073000</v>
      </c>
      <c r="E14" s="8">
        <f>SUMIF('compens8-Export'!$M$4:$M$1002,$C14,'compens8-Export'!$H$4:$H$1002)</f>
        <v>2373508</v>
      </c>
      <c r="F14" s="8">
        <f>SUMIF('compens8-Import'!$M$4:$M$1002,$C14,'compens8-Import'!$H$4:$H$1002)</f>
        <v>256884</v>
      </c>
      <c r="G14" s="8">
        <f t="shared" si="2"/>
        <v>2116624</v>
      </c>
      <c r="H14" s="8">
        <f t="shared" si="3"/>
        <v>-2116624</v>
      </c>
      <c r="I14" s="8">
        <f t="shared" si="4"/>
        <v>1699492</v>
      </c>
      <c r="J14" s="8">
        <f t="shared" si="0"/>
        <v>256884</v>
      </c>
      <c r="K14" s="8">
        <f t="shared" si="1"/>
        <v>1956376</v>
      </c>
      <c r="L14" s="9">
        <v>0.55383838287760878</v>
      </c>
      <c r="M14" s="16">
        <v>3241078.1740000006</v>
      </c>
      <c r="N14" s="16">
        <v>130517.31520000019</v>
      </c>
      <c r="O14" s="16">
        <v>593233.37492159999</v>
      </c>
    </row>
    <row r="15" spans="1:15" x14ac:dyDescent="0.25">
      <c r="A15" s="2" t="s">
        <v>242</v>
      </c>
      <c r="B15" s="28" t="s">
        <v>46</v>
      </c>
      <c r="C15" s="42" t="str">
        <f>_xlfn.XLOOKUP(B15,'Correspondances pays'!$A$4:$A$200,'Correspondances pays'!$B$4:$B$200)</f>
        <v>Indonesia</v>
      </c>
      <c r="D15" s="8">
        <f>SUMIF('compens8-Prod'!$M$3:$M$102,$C15,'compens8-Prod'!$H$3:$H$102)</f>
        <v>223774</v>
      </c>
      <c r="E15" s="8">
        <f>SUMIF('compens8-Export'!$M$4:$M$1002,$C15,'compens8-Export'!$H$4:$H$1002)</f>
        <v>130067</v>
      </c>
      <c r="F15" s="8">
        <f>SUMIF('compens8-Import'!$M$4:$M$1002,$C15,'compens8-Import'!$H$4:$H$1002)</f>
        <v>241048</v>
      </c>
      <c r="G15" s="8">
        <f t="shared" si="2"/>
        <v>-110981</v>
      </c>
      <c r="H15" s="8">
        <f t="shared" si="3"/>
        <v>110981</v>
      </c>
      <c r="I15" s="8">
        <f t="shared" si="4"/>
        <v>93707</v>
      </c>
      <c r="J15" s="8">
        <f t="shared" si="0"/>
        <v>241048</v>
      </c>
      <c r="K15" s="8">
        <f t="shared" si="1"/>
        <v>334755</v>
      </c>
      <c r="L15" s="9">
        <v>0.5152948200602403</v>
      </c>
      <c r="M15" s="16">
        <v>421712.18000000005</v>
      </c>
      <c r="N15" s="16">
        <v>216573.04999999993</v>
      </c>
      <c r="O15" s="16">
        <v>90625.541649999999</v>
      </c>
    </row>
    <row r="16" spans="1:15" x14ac:dyDescent="0.25">
      <c r="A16" s="2" t="s">
        <v>243</v>
      </c>
      <c r="B16" s="28" t="s">
        <v>50</v>
      </c>
      <c r="C16" s="42" t="str">
        <f>_xlfn.XLOOKUP(B16,'Correspondances pays'!$A$4:$A$200,'Correspondances pays'!$B$4:$B$200)</f>
        <v>Italy</v>
      </c>
      <c r="D16" s="8">
        <f>SUMIF('compens8-Prod'!$M$3:$M$102,$C16,'compens8-Prod'!$H$3:$H$102)</f>
        <v>0</v>
      </c>
      <c r="E16" s="8">
        <f>SUMIF('compens8-Export'!$M$4:$M$1002,$C16,'compens8-Export'!$H$4:$H$1002)</f>
        <v>507761</v>
      </c>
      <c r="F16" s="8">
        <f>SUMIF('compens8-Import'!$M$4:$M$1002,$C16,'compens8-Import'!$H$4:$H$1002)</f>
        <v>1367786</v>
      </c>
      <c r="G16" s="8">
        <f t="shared" si="2"/>
        <v>-860025</v>
      </c>
      <c r="H16" s="8">
        <f t="shared" si="3"/>
        <v>860025</v>
      </c>
      <c r="I16" s="8">
        <f>IF(D16&gt;E16,D16-E16,IF(E16&gt;F16,D16-(E16-F16),D16))</f>
        <v>0</v>
      </c>
      <c r="J16" s="8">
        <f t="shared" si="0"/>
        <v>860025</v>
      </c>
      <c r="K16" s="8">
        <f t="shared" si="1"/>
        <v>860025</v>
      </c>
      <c r="L16" s="9">
        <v>0.40020872574676419</v>
      </c>
      <c r="M16" s="16">
        <v>650028.17800000007</v>
      </c>
      <c r="N16" s="16">
        <v>451815.86999999994</v>
      </c>
      <c r="O16" s="16">
        <v>249285.45619</v>
      </c>
    </row>
    <row r="17" spans="1:68" x14ac:dyDescent="0.25">
      <c r="A17" s="2" t="s">
        <v>242</v>
      </c>
      <c r="B17" s="28" t="s">
        <v>51</v>
      </c>
      <c r="C17" s="42" t="str">
        <f>_xlfn.XLOOKUP(B17,'Correspondances pays'!$A$4:$A$200,'Correspondances pays'!$B$4:$B$200)</f>
        <v>Japan</v>
      </c>
      <c r="D17" s="8">
        <f>SUMIF('compens8-Prod'!$M$3:$M$102,$C17,'compens8-Prod'!$H$3:$H$102)</f>
        <v>0</v>
      </c>
      <c r="E17" s="8">
        <f>SUMIF('compens8-Export'!$M$4:$M$1002,$C17,'compens8-Export'!$H$4:$H$1002)</f>
        <v>21658</v>
      </c>
      <c r="F17" s="8">
        <f>SUMIF('compens8-Import'!$M$4:$M$1002,$C17,'compens8-Import'!$H$4:$H$1002)</f>
        <v>2415999</v>
      </c>
      <c r="G17" s="8">
        <f t="shared" si="2"/>
        <v>-2394341</v>
      </c>
      <c r="H17" s="8">
        <f t="shared" si="3"/>
        <v>2394341</v>
      </c>
      <c r="I17" s="8">
        <f t="shared" si="4"/>
        <v>0</v>
      </c>
      <c r="J17" s="8">
        <f t="shared" si="0"/>
        <v>2394341</v>
      </c>
      <c r="K17" s="8">
        <f t="shared" si="1"/>
        <v>2394341</v>
      </c>
      <c r="L17" s="9">
        <v>0.21765299317540809</v>
      </c>
      <c r="M17" s="16">
        <v>254920.27600000004</v>
      </c>
      <c r="N17" s="16">
        <v>489785.19340000028</v>
      </c>
      <c r="O17" s="16">
        <v>398092.43449580006</v>
      </c>
    </row>
    <row r="18" spans="1:68" x14ac:dyDescent="0.25">
      <c r="A18" s="2" t="s">
        <v>242</v>
      </c>
      <c r="B18" s="28" t="s">
        <v>73</v>
      </c>
      <c r="C18" s="42" t="str">
        <f>_xlfn.XLOOKUP(B18,'Correspondances pays'!$A$4:$A$200,'Correspondances pays'!$B$4:$B$200)</f>
        <v>Morocco</v>
      </c>
      <c r="D18" s="8">
        <f>SUMIF('compens8-Prod'!$M$3:$M$102,$C18,'compens8-Prod'!$H$3:$H$102)</f>
        <v>0</v>
      </c>
      <c r="E18" s="8">
        <f>SUMIF('compens8-Export'!$M$4:$M$1002,$C18,'compens8-Export'!$H$4:$H$1002)</f>
        <v>6775</v>
      </c>
      <c r="F18" s="8">
        <f>SUMIF('compens8-Import'!$M$4:$M$1002,$C18,'compens8-Import'!$H$4:$H$1002)</f>
        <v>154226</v>
      </c>
      <c r="G18" s="8">
        <f t="shared" si="2"/>
        <v>-147451</v>
      </c>
      <c r="H18" s="8">
        <f t="shared" si="3"/>
        <v>147451</v>
      </c>
      <c r="I18" s="8">
        <f t="shared" si="4"/>
        <v>0</v>
      </c>
      <c r="J18" s="8">
        <f t="shared" si="0"/>
        <v>147451</v>
      </c>
      <c r="K18" s="8">
        <f t="shared" si="1"/>
        <v>147451</v>
      </c>
      <c r="L18" s="9">
        <v>0.27352509664108438</v>
      </c>
      <c r="M18" s="16">
        <v>39992.900000000009</v>
      </c>
      <c r="N18" s="16">
        <v>98715.520000000062</v>
      </c>
      <c r="O18" s="16">
        <v>34652.988240000013</v>
      </c>
    </row>
    <row r="19" spans="1:68" x14ac:dyDescent="0.25">
      <c r="A19" s="2" t="s">
        <v>242</v>
      </c>
      <c r="B19" s="28" t="s">
        <v>70</v>
      </c>
      <c r="C19" s="42" t="str">
        <f>_xlfn.XLOOKUP(B19,'Correspondances pays'!$A$4:$A$200,'Correspondances pays'!$B$4:$B$200)</f>
        <v>Mexico</v>
      </c>
      <c r="D19" s="8">
        <f>SUMIF('compens8-Prod'!$M$3:$M$102,$C19,'compens8-Prod'!$H$3:$H$102)</f>
        <v>0</v>
      </c>
      <c r="E19" s="8">
        <f>SUMIF('compens8-Export'!$M$4:$M$1002,$C19,'compens8-Export'!$H$4:$H$1002)</f>
        <v>23105.85</v>
      </c>
      <c r="F19" s="8">
        <f>SUMIF('compens8-Import'!$M$4:$M$1002,$C19,'compens8-Import'!$H$4:$H$1002)</f>
        <v>1100564.3599999996</v>
      </c>
      <c r="G19" s="8">
        <f t="shared" si="2"/>
        <v>-1077458.5099999995</v>
      </c>
      <c r="H19" s="8">
        <f t="shared" si="3"/>
        <v>1077458.5099999995</v>
      </c>
      <c r="I19" s="8">
        <f t="shared" si="4"/>
        <v>0</v>
      </c>
      <c r="J19" s="8">
        <f t="shared" si="0"/>
        <v>1077458.5099999995</v>
      </c>
      <c r="K19" s="8">
        <f t="shared" si="1"/>
        <v>1077458.5099999995</v>
      </c>
      <c r="L19" s="9">
        <v>0.28882873214420779</v>
      </c>
      <c r="M19" s="16">
        <v>288265.83800000005</v>
      </c>
      <c r="N19" s="16">
        <v>509794.87730000028</v>
      </c>
      <c r="O19" s="16">
        <v>220619.21551010001</v>
      </c>
    </row>
    <row r="20" spans="1:68" x14ac:dyDescent="0.25">
      <c r="A20" s="2" t="s">
        <v>243</v>
      </c>
      <c r="B20" s="28" t="s">
        <v>86</v>
      </c>
      <c r="C20" s="42" t="str">
        <f>_xlfn.XLOOKUP(B20,'Correspondances pays'!$A$4:$A$200,'Correspondances pays'!$B$4:$B$200)</f>
        <v>Poland</v>
      </c>
      <c r="D20" s="8">
        <f>SUMIF('compens8-Prod'!$M$3:$M$102,$C20,'compens8-Prod'!$H$3:$H$102)</f>
        <v>0</v>
      </c>
      <c r="E20" s="8">
        <f>SUMIF('compens8-Export'!$M$4:$M$1002,$C20,'compens8-Export'!$H$4:$H$1002)</f>
        <v>252426</v>
      </c>
      <c r="F20" s="8">
        <f>SUMIF('compens8-Import'!$M$4:$M$1002,$C20,'compens8-Import'!$H$4:$H$1002)</f>
        <v>651685</v>
      </c>
      <c r="G20" s="8">
        <f t="shared" si="2"/>
        <v>-399259</v>
      </c>
      <c r="H20" s="8">
        <f t="shared" si="3"/>
        <v>399259</v>
      </c>
      <c r="I20" s="8">
        <f t="shared" si="4"/>
        <v>0</v>
      </c>
      <c r="J20" s="8">
        <f t="shared" si="0"/>
        <v>399259</v>
      </c>
      <c r="K20" s="8">
        <f t="shared" si="1"/>
        <v>399259</v>
      </c>
      <c r="L20" s="9">
        <v>0.39419101004983859</v>
      </c>
      <c r="M20" s="16">
        <v>349615.21</v>
      </c>
      <c r="N20" s="16">
        <v>358059.93999999965</v>
      </c>
      <c r="O20" s="16">
        <v>138335.05677999998</v>
      </c>
    </row>
    <row r="21" spans="1:68" x14ac:dyDescent="0.25">
      <c r="A21" s="2" t="s">
        <v>243</v>
      </c>
      <c r="B21" s="28" t="s">
        <v>87</v>
      </c>
      <c r="C21" s="42" t="str">
        <f>_xlfn.XLOOKUP(B21,'Correspondances pays'!$A$4:$A$200,'Correspondances pays'!$B$4:$B$200)</f>
        <v>Portugal</v>
      </c>
      <c r="D21" s="8">
        <f>SUMIF('compens8-Prod'!$M$3:$M$102,$C21,'compens8-Prod'!$H$3:$H$102)</f>
        <v>0</v>
      </c>
      <c r="E21" s="8">
        <f>SUMIF('compens8-Export'!$M$4:$M$1002,$C21,'compens8-Export'!$H$4:$H$1002)</f>
        <v>15583</v>
      </c>
      <c r="F21" s="8">
        <f>SUMIF('compens8-Import'!$M$4:$M$1002,$C21,'compens8-Import'!$H$4:$H$1002)</f>
        <v>151636</v>
      </c>
      <c r="G21" s="8">
        <f t="shared" si="2"/>
        <v>-136053</v>
      </c>
      <c r="H21" s="8">
        <f t="shared" si="3"/>
        <v>136053</v>
      </c>
      <c r="I21" s="8">
        <f t="shared" si="4"/>
        <v>0</v>
      </c>
      <c r="J21" s="8">
        <f t="shared" si="0"/>
        <v>136053</v>
      </c>
      <c r="K21" s="8">
        <f t="shared" si="1"/>
        <v>136053</v>
      </c>
      <c r="L21" s="9">
        <v>0.20678820443068996</v>
      </c>
      <c r="M21" s="16">
        <v>21107.998000000003</v>
      </c>
      <c r="N21" s="16">
        <v>129713.96279999999</v>
      </c>
      <c r="O21" s="16">
        <v>38544.944903600001</v>
      </c>
    </row>
    <row r="22" spans="1:68" x14ac:dyDescent="0.25">
      <c r="A22" s="2" t="s">
        <v>243</v>
      </c>
      <c r="B22" s="40" t="s">
        <v>23</v>
      </c>
      <c r="C22" s="42" t="str">
        <f>_xlfn.XLOOKUP(B22,'Correspondances pays'!$A$4:$A$200,'Correspondances pays'!$B$4:$B$200)</f>
        <v>Czechia</v>
      </c>
      <c r="D22" s="8">
        <f>SUMIF('compens8-Prod'!$M$3:$M$102,$C22,'compens8-Prod'!$H$3:$H$102)</f>
        <v>0</v>
      </c>
      <c r="E22" s="8">
        <f>SUMIF('compens8-Export'!$M$4:$M$1002,$C22,'compens8-Export'!$H$4:$H$1002)</f>
        <v>110796</v>
      </c>
      <c r="F22" s="8">
        <f>SUMIF('compens8-Import'!$M$4:$M$1002,$C22,'compens8-Import'!$H$4:$H$1002)</f>
        <v>273894</v>
      </c>
      <c r="G22" s="8">
        <f t="shared" si="2"/>
        <v>-163098</v>
      </c>
      <c r="H22" s="8">
        <f t="shared" si="3"/>
        <v>163098</v>
      </c>
      <c r="I22" s="8">
        <f t="shared" si="4"/>
        <v>0</v>
      </c>
      <c r="J22" s="8">
        <f t="shared" si="0"/>
        <v>163098</v>
      </c>
      <c r="K22" s="8">
        <f t="shared" si="1"/>
        <v>163098</v>
      </c>
      <c r="L22" s="9">
        <v>0.32208885276949378</v>
      </c>
      <c r="M22" s="16">
        <v>119584.47800000002</v>
      </c>
      <c r="N22" s="16">
        <v>252613.79719999983</v>
      </c>
      <c r="O22" s="16">
        <v>72131.568216399974</v>
      </c>
    </row>
    <row r="23" spans="1:68" x14ac:dyDescent="0.25">
      <c r="A23" s="2" t="s">
        <v>243</v>
      </c>
      <c r="B23" s="28" t="s">
        <v>110</v>
      </c>
      <c r="C23" s="42" t="str">
        <f>_xlfn.XLOOKUP(B23,'Correspondances pays'!$A$4:$A$200,'Correspondances pays'!$B$4:$B$200)</f>
        <v>United Kingdom</v>
      </c>
      <c r="D23" s="8">
        <f>SUMIF('compens8-Prod'!$M$3:$M$102,$C23,'compens8-Prod'!$H$3:$H$102)</f>
        <v>38000</v>
      </c>
      <c r="E23" s="8">
        <f>SUMIF('compens8-Export'!$M$4:$M$1002,$C23,'compens8-Export'!$H$4:$H$1002)</f>
        <v>261849</v>
      </c>
      <c r="F23" s="8">
        <f>SUMIF('compens8-Import'!$M$4:$M$1002,$C23,'compens8-Import'!$H$4:$H$1002)</f>
        <v>216664</v>
      </c>
      <c r="G23" s="8">
        <f t="shared" si="2"/>
        <v>45185</v>
      </c>
      <c r="H23" s="8">
        <f t="shared" si="3"/>
        <v>-45185</v>
      </c>
      <c r="I23" s="10">
        <f>IF(D23&gt;E23,D23-E23,IF(E23&gt;F23,D23-(E23-F23),D23))</f>
        <v>-7185</v>
      </c>
      <c r="J23" s="8">
        <f t="shared" si="0"/>
        <v>0</v>
      </c>
      <c r="K23" s="8">
        <f t="shared" si="1"/>
        <v>-7185</v>
      </c>
      <c r="L23" s="9">
        <v>0.30897807842965463</v>
      </c>
      <c r="M23" s="16">
        <v>182178.85400000002</v>
      </c>
      <c r="N23" s="16">
        <v>723694.05550000002</v>
      </c>
      <c r="O23" s="16">
        <v>148710.424436</v>
      </c>
    </row>
    <row r="24" spans="1:68" x14ac:dyDescent="0.25">
      <c r="A24" s="2" t="s">
        <v>243</v>
      </c>
      <c r="B24" s="28" t="s">
        <v>95</v>
      </c>
      <c r="C24" s="42" t="str">
        <f>_xlfn.XLOOKUP(B24,'Correspondances pays'!$A$4:$A$200,'Correspondances pays'!$B$4:$B$200)</f>
        <v>Slovakia</v>
      </c>
      <c r="D24" s="8">
        <f>SUMIF('compens8-Prod'!$M$3:$M$102,$C24,'compens8-Prod'!$H$3:$H$102)</f>
        <v>71933</v>
      </c>
      <c r="E24" s="8">
        <f>SUMIF('compens8-Export'!$M$4:$M$1002,$C24,'compens8-Export'!$H$4:$H$1002)</f>
        <v>96550</v>
      </c>
      <c r="F24" s="8">
        <f>SUMIF('compens8-Import'!$M$4:$M$1002,$C24,'compens8-Import'!$H$4:$H$1002)</f>
        <v>111853</v>
      </c>
      <c r="G24" s="8">
        <f t="shared" si="2"/>
        <v>-15303</v>
      </c>
      <c r="H24" s="8">
        <f t="shared" si="3"/>
        <v>15303</v>
      </c>
      <c r="I24" s="8">
        <f t="shared" si="4"/>
        <v>71933</v>
      </c>
      <c r="J24" s="8">
        <f t="shared" si="0"/>
        <v>15303</v>
      </c>
      <c r="K24" s="8">
        <f t="shared" si="1"/>
        <v>87236</v>
      </c>
      <c r="L24" s="9">
        <v>0.25749037102653471</v>
      </c>
      <c r="M24" s="16">
        <v>39673.308000000005</v>
      </c>
      <c r="N24" s="16">
        <v>152625.32999999993</v>
      </c>
      <c r="O24" s="16">
        <v>51134.522159999993</v>
      </c>
    </row>
    <row r="25" spans="1:68" x14ac:dyDescent="0.25">
      <c r="A25" s="2" t="s">
        <v>243</v>
      </c>
      <c r="B25" s="28" t="s">
        <v>96</v>
      </c>
      <c r="C25" s="42" t="str">
        <f>_xlfn.XLOOKUP(B25,'Correspondances pays'!$A$4:$A$200,'Correspondances pays'!$B$4:$B$200)</f>
        <v>Slovenia</v>
      </c>
      <c r="D25" s="8">
        <f>SUMIF('compens8-Prod'!$M$3:$M$102,$C25,'compens8-Prod'!$H$3:$H$102)</f>
        <v>19211</v>
      </c>
      <c r="E25" s="8">
        <f>SUMIF('compens8-Export'!$M$4:$M$1002,$C25,'compens8-Export'!$H$4:$H$1002)</f>
        <v>90419</v>
      </c>
      <c r="F25" s="8">
        <f>SUMIF('compens8-Import'!$M$4:$M$1002,$C25,'compens8-Import'!$H$4:$H$1002)</f>
        <v>173360</v>
      </c>
      <c r="G25" s="8">
        <f t="shared" si="2"/>
        <v>-82941</v>
      </c>
      <c r="H25" s="8">
        <f t="shared" si="3"/>
        <v>82941</v>
      </c>
      <c r="I25" s="8">
        <f t="shared" si="4"/>
        <v>19211</v>
      </c>
      <c r="J25" s="8">
        <f t="shared" si="0"/>
        <v>82941</v>
      </c>
      <c r="K25" s="8">
        <f t="shared" si="1"/>
        <v>102152</v>
      </c>
      <c r="L25" s="9">
        <v>0.46044443481429653</v>
      </c>
      <c r="M25" s="16">
        <v>114678.21400000002</v>
      </c>
      <c r="N25" s="16">
        <v>64546.159999999982</v>
      </c>
      <c r="O25" s="16">
        <v>39081.808319999996</v>
      </c>
    </row>
    <row r="26" spans="1:68" x14ac:dyDescent="0.25">
      <c r="A26" s="2" t="s">
        <v>243</v>
      </c>
      <c r="B26" s="28" t="s">
        <v>100</v>
      </c>
      <c r="C26" s="42" t="str">
        <f>_xlfn.XLOOKUP(B26,'Correspondances pays'!$A$4:$A$200,'Correspondances pays'!$B$4:$B$200)</f>
        <v>Sweden</v>
      </c>
      <c r="D26" s="8">
        <f>SUMIF('compens8-Prod'!$M$3:$M$102,$C26,'compens8-Prod'!$H$3:$H$102)</f>
        <v>120000</v>
      </c>
      <c r="E26" s="8">
        <f>SUMIF('compens8-Export'!$M$4:$M$1002,$C26,'compens8-Export'!$H$4:$H$1002)</f>
        <v>292255</v>
      </c>
      <c r="F26" s="8">
        <f>SUMIF('compens8-Import'!$M$4:$M$1002,$C26,'compens8-Import'!$H$4:$H$1002)</f>
        <v>297823</v>
      </c>
      <c r="G26" s="8">
        <f t="shared" ref="G26" si="5">E26-F26</f>
        <v>-5568</v>
      </c>
      <c r="H26" s="8">
        <f t="shared" ref="H26" si="6">F26-E26</f>
        <v>5568</v>
      </c>
      <c r="I26" s="8">
        <f t="shared" ref="I26" si="7">IF(D26&gt;E26,D26-E26,IF(E26&gt;F26,D26-(E26-F26),D26))</f>
        <v>120000</v>
      </c>
      <c r="J26" s="8">
        <f t="shared" si="0"/>
        <v>5568</v>
      </c>
      <c r="K26" s="8">
        <f t="shared" si="1"/>
        <v>125568</v>
      </c>
      <c r="L26" s="9">
        <v>0.31093009664702803</v>
      </c>
      <c r="M26" s="16">
        <v>111501.61000000002</v>
      </c>
      <c r="N26" s="16">
        <v>172251.82110000012</v>
      </c>
      <c r="O26" s="16">
        <v>89691.372807200009</v>
      </c>
    </row>
    <row r="27" spans="1:68" x14ac:dyDescent="0.25">
      <c r="A27" s="2" t="s">
        <v>242</v>
      </c>
      <c r="B27" s="28" t="s">
        <v>107</v>
      </c>
      <c r="C27" s="42" t="str">
        <f>_xlfn.XLOOKUP(B27,'Correspondances pays'!$A$4:$A$200,'Correspondances pays'!$B$4:$B$200)</f>
        <v>Turkey</v>
      </c>
      <c r="D27" s="8">
        <f>SUMIF('compens8-Prod'!$M$3:$M$102,$C27,'compens8-Prod'!$H$3:$H$102)</f>
        <v>80000</v>
      </c>
      <c r="E27" s="8">
        <f>SUMIF('compens8-Export'!$M$4:$M$1002,$C27,'compens8-Export'!$H$4:$H$1002)</f>
        <v>216750</v>
      </c>
      <c r="F27" s="8">
        <f>SUMIF('compens8-Import'!$M$4:$M$1002,$C27,'compens8-Import'!$H$4:$H$1002)</f>
        <v>1754553</v>
      </c>
      <c r="G27" s="8">
        <f t="shared" si="2"/>
        <v>-1537803</v>
      </c>
      <c r="H27" s="8">
        <f t="shared" si="3"/>
        <v>1537803</v>
      </c>
      <c r="I27" s="8">
        <f t="shared" si="4"/>
        <v>80000</v>
      </c>
      <c r="J27" s="8">
        <f t="shared" si="0"/>
        <v>1537803</v>
      </c>
      <c r="K27" s="8">
        <f t="shared" si="1"/>
        <v>1617803</v>
      </c>
      <c r="L27" s="9">
        <v>0.26665243065919153</v>
      </c>
      <c r="M27" s="16">
        <v>324161.11200000002</v>
      </c>
      <c r="N27" s="16">
        <v>162485.09999999992</v>
      </c>
      <c r="O27" s="16">
        <v>253623.83869999999</v>
      </c>
    </row>
    <row r="28" spans="1:68" x14ac:dyDescent="0.25">
      <c r="A28" s="2" t="s">
        <v>242</v>
      </c>
      <c r="B28" s="40" t="s">
        <v>112</v>
      </c>
      <c r="C28" s="42" t="str">
        <f>_xlfn.XLOOKUP(B28,'Correspondances pays'!$A$4:$A$200,'Correspondances pays'!$B$4:$B$200)</f>
        <v>Viet Nam</v>
      </c>
      <c r="D28" s="8">
        <f>SUMIF('compens8-Prod'!$M$3:$M$102,$C28,'compens8-Prod'!$H$3:$H$102)</f>
        <v>0</v>
      </c>
      <c r="E28" s="8">
        <f>SUMIF('compens8-Export'!$M$4:$M$1002,$C28,'compens8-Export'!$H$4:$H$1002)</f>
        <v>263261</v>
      </c>
      <c r="F28" s="8">
        <f>SUMIF('compens8-Import'!$M$4:$M$1002,$C28,'compens8-Import'!$H$4:$H$1002)</f>
        <v>500622</v>
      </c>
      <c r="G28" s="8">
        <f t="shared" si="2"/>
        <v>-237361</v>
      </c>
      <c r="H28" s="8">
        <f t="shared" si="3"/>
        <v>237361</v>
      </c>
      <c r="I28" s="8">
        <f t="shared" si="4"/>
        <v>0</v>
      </c>
      <c r="J28" s="8">
        <f t="shared" si="0"/>
        <v>237361</v>
      </c>
      <c r="K28" s="8">
        <f t="shared" si="1"/>
        <v>237361</v>
      </c>
      <c r="L28" s="9">
        <v>0.35159025441816355</v>
      </c>
      <c r="M28" s="16">
        <v>194234.67200000002</v>
      </c>
      <c r="N28" s="16">
        <v>210285.42089999997</v>
      </c>
      <c r="O28" s="16">
        <v>97394.316663300007</v>
      </c>
    </row>
    <row r="29" spans="1:68" x14ac:dyDescent="0.25">
      <c r="A29" s="2" t="s">
        <v>243</v>
      </c>
      <c r="B29" s="28" t="s">
        <v>79</v>
      </c>
      <c r="C29" s="42" t="str">
        <f>_xlfn.XLOOKUP(B29,'Correspondances pays'!$A$4:$A$200,'Correspondances pays'!$B$4:$B$200)</f>
        <v>Norway</v>
      </c>
      <c r="D29" s="8">
        <f>SUMIF('compens8-Prod'!$M$3:$M$102,$C29,'compens8-Prod'!$H$3:$H$102)</f>
        <v>1424571</v>
      </c>
      <c r="E29" s="8">
        <f>SUMIF('compens8-Export'!$M$4:$M$1002,$C29,'compens8-Export'!$H$4:$H$1002)</f>
        <v>1394250</v>
      </c>
      <c r="F29" s="8">
        <f>SUMIF('compens8-Import'!$M$4:$M$1002,$C29,'compens8-Import'!$H$4:$H$1002)</f>
        <v>226031</v>
      </c>
      <c r="G29" s="8">
        <f t="shared" ref="G29" si="8">E29-F29</f>
        <v>1168219</v>
      </c>
      <c r="H29" s="8">
        <f t="shared" ref="H29" si="9">F29-E29</f>
        <v>-1168219</v>
      </c>
      <c r="I29" s="8">
        <f t="shared" ref="I29" si="10">IF(D29&gt;E29,D29-E29,IF(E29&gt;F29,D29-(E29-F29),D29))</f>
        <v>30321</v>
      </c>
      <c r="J29" s="8">
        <f t="shared" si="0"/>
        <v>226031</v>
      </c>
      <c r="K29" s="8">
        <f t="shared" si="1"/>
        <v>256352</v>
      </c>
      <c r="L29" s="9">
        <v>0.18574558184737675</v>
      </c>
      <c r="M29" s="16">
        <v>62068.454000000005</v>
      </c>
      <c r="N29" s="16">
        <v>126635.63000000012</v>
      </c>
      <c r="O29" s="16">
        <v>270140.11976000003</v>
      </c>
    </row>
    <row r="30" spans="1:68" s="17" customFormat="1" x14ac:dyDescent="0.25">
      <c r="A30" s="2" t="s">
        <v>242</v>
      </c>
      <c r="B30" s="28" t="s">
        <v>16</v>
      </c>
      <c r="C30" s="42" t="str">
        <f>_xlfn.XLOOKUP(B30,'Correspondances pays'!$A$4:$A$200,'Correspondances pays'!$B$4:$B$200)</f>
        <v>Canada</v>
      </c>
      <c r="D30" s="8">
        <f>SUMIF('compens8-Prod'!$M$3:$M$102,$C30,'compens8-Prod'!$H$3:$H$102)</f>
        <v>3300000</v>
      </c>
      <c r="E30" s="8">
        <f>SUMIF('compens8-Export'!$M$4:$M$1002,$C30,'compens8-Export'!$H$4:$H$1002)</f>
        <v>186167</v>
      </c>
      <c r="F30" s="8">
        <f>SUMIF('compens8-Import'!$M$4:$M$1002,$C30,'compens8-Import'!$H$4:$H$1002)</f>
        <v>59721</v>
      </c>
      <c r="G30" s="8">
        <f t="shared" ref="G30:G31" si="11">E30-F30</f>
        <v>126446</v>
      </c>
      <c r="H30" s="8">
        <f t="shared" ref="H30:H31" si="12">F30-E30</f>
        <v>-126446</v>
      </c>
      <c r="I30" s="8">
        <f t="shared" ref="I30:I31" si="13">IF(D30&gt;E30,D30-E30,IF(E30&gt;F30,D30-(E30-F30),D30))</f>
        <v>3113833</v>
      </c>
      <c r="J30" s="8">
        <f t="shared" si="0"/>
        <v>59721</v>
      </c>
      <c r="K30" s="8">
        <f t="shared" si="1"/>
        <v>3173554</v>
      </c>
      <c r="L30" s="18" t="e">
        <v>#N/A</v>
      </c>
      <c r="M30" s="19" t="e">
        <v>#N/A</v>
      </c>
      <c r="N30" s="19" t="e">
        <v>#N/A</v>
      </c>
      <c r="O30" s="19" t="e">
        <v>#N/A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</row>
    <row r="31" spans="1:68" s="17" customFormat="1" x14ac:dyDescent="0.25">
      <c r="A31" s="2" t="s">
        <v>243</v>
      </c>
      <c r="B31" s="2" t="s">
        <v>75</v>
      </c>
      <c r="C31" s="42" t="str">
        <f>_xlfn.XLOOKUP(B31,'Correspondances pays'!$A$4:$A$200,'Correspondances pays'!$B$4:$B$200)</f>
        <v>Netherlands</v>
      </c>
      <c r="D31" s="8">
        <f>SUMIF('compens8-Prod'!$M$3:$M$102,$C31,'compens8-Prod'!$H$3:$H$102)</f>
        <v>599000</v>
      </c>
      <c r="E31" s="8">
        <f>SUMIF('compens8-Export'!$M$4:$M$1002,$C31,'compens8-Export'!$H$4:$H$1002)</f>
        <v>450512</v>
      </c>
      <c r="F31" s="8">
        <f>SUMIF('compens8-Import'!$M$4:$M$1002,$C31,'compens8-Import'!$H$4:$H$1002)</f>
        <v>764858</v>
      </c>
      <c r="G31" s="8">
        <f t="shared" si="11"/>
        <v>-314346</v>
      </c>
      <c r="H31" s="8">
        <f t="shared" si="12"/>
        <v>314346</v>
      </c>
      <c r="I31" s="8">
        <f t="shared" si="13"/>
        <v>148488</v>
      </c>
      <c r="J31" s="8">
        <f t="shared" si="0"/>
        <v>764858</v>
      </c>
      <c r="K31" s="8">
        <f t="shared" si="1"/>
        <v>913346</v>
      </c>
      <c r="L31" s="18" t="e">
        <v>#N/A</v>
      </c>
      <c r="M31" s="19" t="e">
        <v>#N/A</v>
      </c>
      <c r="N31" s="19" t="e">
        <v>#N/A</v>
      </c>
      <c r="O31" s="19" t="e">
        <v>#N/A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</row>
    <row r="32" spans="1:68" x14ac:dyDescent="0.25">
      <c r="A32" s="2"/>
      <c r="B32" s="2" t="s">
        <v>197</v>
      </c>
      <c r="C32" s="42" t="e">
        <f>_xlfn.XLOOKUP(B32,'Correspondances pays'!$A$4:$A$200,'Correspondances pays'!$B$4:$B$200)</f>
        <v>#N/A</v>
      </c>
      <c r="D32" s="8">
        <f>SUMIF('compens8-Prod'!$M$3:$M$102,$B32,'compens8-Prod'!$H$3:$H$102)</f>
        <v>0</v>
      </c>
      <c r="E32" s="8"/>
      <c r="F32" s="8"/>
      <c r="G32" s="8">
        <f t="shared" ref="G32:G35" si="14">E32-F32</f>
        <v>0</v>
      </c>
      <c r="H32" s="8">
        <f t="shared" ref="H32:H35" si="15">F32-E32</f>
        <v>0</v>
      </c>
      <c r="I32" s="8">
        <f t="shared" ref="I32:I35" si="16">IF(D32&gt;E32,D32-E32,IF(E32&gt;F32,D32-(E32-F32),D32))</f>
        <v>0</v>
      </c>
      <c r="J32" s="8">
        <f t="shared" si="0"/>
        <v>0</v>
      </c>
      <c r="K32" s="8">
        <f t="shared" si="1"/>
        <v>0</v>
      </c>
      <c r="L32" s="8"/>
      <c r="M32" s="16"/>
      <c r="N32" s="16" t="e">
        <v>#N/A</v>
      </c>
      <c r="O32" s="16" t="e">
        <v>#N/A</v>
      </c>
    </row>
    <row r="33" spans="1:15" x14ac:dyDescent="0.25">
      <c r="A33" s="2"/>
      <c r="B33" s="2" t="s">
        <v>198</v>
      </c>
      <c r="C33" s="42" t="e">
        <f>_xlfn.XLOOKUP(B33,'Correspondances pays'!$A$4:$A$200,'Correspondances pays'!$B$4:$B$200)</f>
        <v>#N/A</v>
      </c>
      <c r="D33" s="8">
        <f>SUMIF('compens8-Prod'!$M$3:$M$102,$B33,'compens8-Prod'!$H$3:$H$102)</f>
        <v>0</v>
      </c>
      <c r="E33" s="8"/>
      <c r="F33" s="8"/>
      <c r="G33" s="8">
        <f t="shared" si="14"/>
        <v>0</v>
      </c>
      <c r="H33" s="8">
        <f t="shared" si="15"/>
        <v>0</v>
      </c>
      <c r="I33" s="8">
        <f t="shared" si="16"/>
        <v>0</v>
      </c>
      <c r="J33" s="8">
        <f t="shared" si="0"/>
        <v>0</v>
      </c>
      <c r="K33" s="8">
        <f t="shared" si="1"/>
        <v>0</v>
      </c>
      <c r="L33" s="8"/>
      <c r="M33" s="16"/>
      <c r="N33" s="16" t="e">
        <v>#N/A</v>
      </c>
      <c r="O33" s="16" t="e">
        <v>#N/A</v>
      </c>
    </row>
    <row r="34" spans="1:15" x14ac:dyDescent="0.25">
      <c r="A34" s="2"/>
      <c r="B34" s="2" t="s">
        <v>199</v>
      </c>
      <c r="C34" s="42" t="e">
        <f>_xlfn.XLOOKUP(B34,'Correspondances pays'!$A$4:$A$200,'Correspondances pays'!$B$4:$B$200)</f>
        <v>#N/A</v>
      </c>
      <c r="D34" s="8">
        <f>SUMIF('compens8-Prod'!$M$3:$M$102,$B34,'compens8-Prod'!$H$3:$H$102)</f>
        <v>0</v>
      </c>
      <c r="E34" s="8"/>
      <c r="F34" s="8"/>
      <c r="G34" s="8">
        <f t="shared" si="14"/>
        <v>0</v>
      </c>
      <c r="H34" s="8">
        <f t="shared" si="15"/>
        <v>0</v>
      </c>
      <c r="I34" s="8">
        <f t="shared" si="16"/>
        <v>0</v>
      </c>
      <c r="J34" s="8">
        <f t="shared" si="0"/>
        <v>0</v>
      </c>
      <c r="K34" s="8">
        <f t="shared" si="1"/>
        <v>0</v>
      </c>
      <c r="L34" s="8"/>
      <c r="M34" s="16"/>
      <c r="N34" s="16" t="e">
        <v>#N/A</v>
      </c>
      <c r="O34" s="16" t="e">
        <v>#N/A</v>
      </c>
    </row>
    <row r="35" spans="1:15" x14ac:dyDescent="0.25">
      <c r="A35" s="2" t="s">
        <v>243</v>
      </c>
      <c r="B35" s="52" t="s">
        <v>188</v>
      </c>
      <c r="C35" s="64" t="e">
        <f>_xlfn.XLOOKUP(B35,'Correspondances pays'!$A$4:$A$200,'Correspondances pays'!$B$4:$B$200)</f>
        <v>#N/A</v>
      </c>
      <c r="D35" s="65">
        <f>SUMIF($A$6:$A$31,$A$35,D6:D31)</f>
        <v>2652715</v>
      </c>
      <c r="E35" s="65">
        <f>SUMIF($A$6:$A$31,$A$35,E6:E31)</f>
        <v>4140653.92</v>
      </c>
      <c r="F35" s="65">
        <f>SUMIF($A$6:$A$31,$A$35,F6:F31)</f>
        <v>5796945.0199999996</v>
      </c>
      <c r="G35" s="65">
        <f>E35-F35</f>
        <v>-1656291.0999999996</v>
      </c>
      <c r="H35" s="65">
        <f t="shared" si="15"/>
        <v>1656291.0999999996</v>
      </c>
      <c r="I35" s="65">
        <f>IF(D35&gt;E35,D35-E35,IF(E35&gt;F35,D35-(E35-F35),D35))</f>
        <v>2652715</v>
      </c>
      <c r="J35" s="65">
        <f>IF(D35&gt;E35,F35,IF(F35&lt;E35,0,F35-E35))</f>
        <v>1656291.0999999996</v>
      </c>
      <c r="K35" s="65">
        <f>J35+I35</f>
        <v>4309006.0999999996</v>
      </c>
      <c r="L35" s="65"/>
      <c r="M35" s="66"/>
      <c r="N35" s="66"/>
      <c r="O35" s="66"/>
    </row>
  </sheetData>
  <mergeCells count="1">
    <mergeCell ref="L1:O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8146-E12A-47AB-8094-581F25AD170B}">
  <sheetPr>
    <tabColor rgb="FF7030A0"/>
  </sheetPr>
  <dimension ref="A1:CN35"/>
  <sheetViews>
    <sheetView showGridLines="0" zoomScale="85" zoomScaleNormal="85" workbookViewId="0">
      <selection activeCell="D4" sqref="D4"/>
    </sheetView>
  </sheetViews>
  <sheetFormatPr baseColWidth="10" defaultRowHeight="14.3" x14ac:dyDescent="0.25"/>
  <cols>
    <col min="1" max="1" width="21.25" bestFit="1" customWidth="1"/>
    <col min="2" max="2" width="24.375" bestFit="1" customWidth="1"/>
    <col min="3" max="3" width="24.375" customWidth="1"/>
    <col min="4" max="4" width="19.75" customWidth="1"/>
    <col min="5" max="6" width="9.375" customWidth="1"/>
    <col min="7" max="7" width="11.75" bestFit="1" customWidth="1"/>
    <col min="8" max="8" width="11" bestFit="1" customWidth="1"/>
  </cols>
  <sheetData>
    <row r="1" spans="1:92" x14ac:dyDescent="0.25">
      <c r="D1" s="14" t="s">
        <v>258</v>
      </c>
      <c r="E1" s="2" t="s">
        <v>114</v>
      </c>
      <c r="F1" s="2" t="s">
        <v>1</v>
      </c>
      <c r="G1" s="2" t="s">
        <v>210</v>
      </c>
      <c r="H1" s="2" t="s">
        <v>2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10</v>
      </c>
      <c r="O1" s="2" t="s">
        <v>11</v>
      </c>
      <c r="P1" s="2" t="s">
        <v>236</v>
      </c>
      <c r="Q1" s="2" t="s">
        <v>14</v>
      </c>
      <c r="R1" s="2" t="s">
        <v>15</v>
      </c>
      <c r="S1" s="2" t="s">
        <v>126</v>
      </c>
      <c r="T1" s="2" t="s">
        <v>120</v>
      </c>
      <c r="U1" s="2" t="s">
        <v>16</v>
      </c>
      <c r="V1" s="2" t="s">
        <v>18</v>
      </c>
      <c r="W1" s="2" t="s">
        <v>21</v>
      </c>
      <c r="X1" s="2" t="s">
        <v>211</v>
      </c>
      <c r="Y1" s="2" t="s">
        <v>24</v>
      </c>
      <c r="Z1" s="2" t="s">
        <v>28</v>
      </c>
      <c r="AA1" s="2" t="s">
        <v>30</v>
      </c>
      <c r="AB1" s="2" t="s">
        <v>32</v>
      </c>
      <c r="AC1" s="2" t="s">
        <v>33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234</v>
      </c>
      <c r="AN1" s="2" t="s">
        <v>47</v>
      </c>
      <c r="AO1" s="2" t="s">
        <v>48</v>
      </c>
      <c r="AP1" s="2" t="s">
        <v>50</v>
      </c>
      <c r="AQ1" s="2" t="s">
        <v>51</v>
      </c>
      <c r="AR1" s="2" t="s">
        <v>53</v>
      </c>
      <c r="AS1" s="2" t="s">
        <v>230</v>
      </c>
      <c r="AT1" s="2" t="s">
        <v>58</v>
      </c>
      <c r="AU1" s="2" t="s">
        <v>61</v>
      </c>
      <c r="AV1" s="2" t="s">
        <v>62</v>
      </c>
      <c r="AW1" s="2" t="s">
        <v>66</v>
      </c>
      <c r="AX1" s="2" t="s">
        <v>70</v>
      </c>
      <c r="AY1" s="2" t="s">
        <v>72</v>
      </c>
      <c r="AZ1" s="2" t="s">
        <v>73</v>
      </c>
      <c r="BA1" s="2" t="s">
        <v>123</v>
      </c>
      <c r="BB1" s="2" t="s">
        <v>74</v>
      </c>
      <c r="BC1" s="2" t="s">
        <v>75</v>
      </c>
      <c r="BD1" s="2" t="s">
        <v>76</v>
      </c>
      <c r="BE1" s="2" t="s">
        <v>78</v>
      </c>
      <c r="BF1" s="2" t="s">
        <v>79</v>
      </c>
      <c r="BG1" s="2" t="s">
        <v>80</v>
      </c>
      <c r="BH1" s="2" t="s">
        <v>81</v>
      </c>
      <c r="BI1" s="2" t="s">
        <v>86</v>
      </c>
      <c r="BJ1" s="2" t="s">
        <v>87</v>
      </c>
      <c r="BK1" s="2" t="s">
        <v>88</v>
      </c>
      <c r="BL1" s="2" t="s">
        <v>89</v>
      </c>
      <c r="BM1" s="2" t="s">
        <v>209</v>
      </c>
      <c r="BN1" s="2" t="s">
        <v>90</v>
      </c>
      <c r="BO1" s="2" t="s">
        <v>92</v>
      </c>
      <c r="BP1" s="2" t="s">
        <v>93</v>
      </c>
      <c r="BQ1" s="2" t="s">
        <v>95</v>
      </c>
      <c r="BR1" s="2" t="s">
        <v>96</v>
      </c>
      <c r="BS1" s="2" t="s">
        <v>97</v>
      </c>
      <c r="BT1" s="2" t="s">
        <v>98</v>
      </c>
      <c r="BU1" s="2" t="s">
        <v>129</v>
      </c>
      <c r="BV1" s="2" t="s">
        <v>100</v>
      </c>
      <c r="BW1" s="2" t="s">
        <v>101</v>
      </c>
      <c r="BX1" s="2" t="s">
        <v>233</v>
      </c>
      <c r="BY1" s="2" t="s">
        <v>139</v>
      </c>
      <c r="BZ1" s="2" t="s">
        <v>103</v>
      </c>
      <c r="CA1" s="2" t="s">
        <v>107</v>
      </c>
      <c r="CB1" s="2" t="s">
        <v>169</v>
      </c>
      <c r="CC1" s="2" t="s">
        <v>117</v>
      </c>
      <c r="CD1" s="2" t="s">
        <v>109</v>
      </c>
      <c r="CE1" s="2" t="s">
        <v>110</v>
      </c>
      <c r="CF1" s="2" t="s">
        <v>229</v>
      </c>
      <c r="CG1" s="2" t="s">
        <v>118</v>
      </c>
      <c r="CH1" s="2" t="s">
        <v>231</v>
      </c>
      <c r="CI1" s="2" t="s">
        <v>232</v>
      </c>
      <c r="CJ1" s="2" t="s">
        <v>130</v>
      </c>
      <c r="CK1" s="2" t="s">
        <v>255</v>
      </c>
      <c r="CL1" s="2" t="s">
        <v>253</v>
      </c>
      <c r="CM1" s="2" t="s">
        <v>256</v>
      </c>
      <c r="CN1" s="2" t="s">
        <v>252</v>
      </c>
    </row>
    <row r="2" spans="1:92" x14ac:dyDescent="0.25">
      <c r="D2" s="41" t="s">
        <v>280</v>
      </c>
      <c r="E2" s="2" t="str">
        <f>_xlfn.XLOOKUP(E1,'Correspondances pays'!$B$4:$B$205,'Correspondances pays'!$C$4:$C$205,,0)</f>
        <v>Reste du monde</v>
      </c>
      <c r="F2" s="2" t="e">
        <f>_xlfn.XLOOKUP(F1,'Correspondances pays'!$B$4:$B$205,'Correspondances pays'!$C$4:$C$205,,0)</f>
        <v>#N/A</v>
      </c>
      <c r="G2" s="2" t="str">
        <f>_xlfn.XLOOKUP(G1,'Correspondances pays'!$B$4:$B$205,'Correspondances pays'!$C$4:$C$205,,0)</f>
        <v>Reste du monde</v>
      </c>
      <c r="H2" s="2" t="str">
        <f>_xlfn.XLOOKUP(H1,'Correspondances pays'!$B$4:$B$205,'Correspondances pays'!$C$4:$C$205,,0)</f>
        <v>Amérique du sud</v>
      </c>
      <c r="I2" s="2" t="str">
        <f>_xlfn.XLOOKUP(I1,'Correspondances pays'!$B$4:$B$205,'Correspondances pays'!$C$4:$C$205,,0)</f>
        <v>Océanie</v>
      </c>
      <c r="J2" s="2" t="str">
        <f>_xlfn.XLOOKUP(J1,'Correspondances pays'!$B$4:$B$205,'Correspondances pays'!$C$4:$C$205,,0)</f>
        <v>Europe</v>
      </c>
      <c r="K2" s="2" t="str">
        <f>_xlfn.XLOOKUP(K1,'Correspondances pays'!$B$4:$B$205,'Correspondances pays'!$C$4:$C$205,,0)</f>
        <v>Asie hors Chine et pays du Golfe persique</v>
      </c>
      <c r="L2" s="2" t="str">
        <f>_xlfn.XLOOKUP(L1,'Correspondances pays'!$B$4:$B$205,'Correspondances pays'!$C$4:$C$205,,0)</f>
        <v>Pays du Golfe Persique</v>
      </c>
      <c r="M2" s="2" t="str">
        <f>_xlfn.XLOOKUP(M1,'Correspondances pays'!$B$4:$B$205,'Correspondances pays'!$C$4:$C$205,,0)</f>
        <v>Asie hors Chine et pays du Golfe persique</v>
      </c>
      <c r="N2" s="2" t="str">
        <f>_xlfn.XLOOKUP(N1,'Correspondances pays'!$B$4:$B$205,'Correspondances pays'!$C$4:$C$205,,0)</f>
        <v>Reste du monde</v>
      </c>
      <c r="O2" s="2" t="str">
        <f>_xlfn.XLOOKUP(O1,'Correspondances pays'!$B$4:$B$205,'Correspondances pays'!$C$4:$C$205,,0)</f>
        <v>Europe</v>
      </c>
      <c r="P2" s="2" t="str">
        <f>_xlfn.XLOOKUP(P1,'Correspondances pays'!$B$4:$B$205,'Correspondances pays'!$C$4:$C$205,,0)</f>
        <v>Russie</v>
      </c>
      <c r="Q2" s="2" t="str">
        <f>_xlfn.XLOOKUP(Q1,'Correspondances pays'!$B$4:$B$205,'Correspondances pays'!$C$4:$C$205,,0)</f>
        <v>Amérique du sud</v>
      </c>
      <c r="R2" s="2" t="str">
        <f>_xlfn.XLOOKUP(R1,'Correspondances pays'!$B$4:$B$205,'Correspondances pays'!$C$4:$C$205,,0)</f>
        <v>Europe</v>
      </c>
      <c r="S2" s="2" t="str">
        <f>_xlfn.XLOOKUP(S1,'Correspondances pays'!$B$4:$B$205,'Correspondances pays'!$C$4:$C$205,,0)</f>
        <v>Reste du monde</v>
      </c>
      <c r="T2" s="2" t="str">
        <f>_xlfn.XLOOKUP(T1,'Correspondances pays'!$B$4:$B$205,'Correspondances pays'!$C$4:$C$205,,0)</f>
        <v>Afrique</v>
      </c>
      <c r="U2" s="2" t="str">
        <f>_xlfn.XLOOKUP(U1,'Correspondances pays'!$B$4:$B$205,'Correspondances pays'!$C$4:$C$205,,0)</f>
        <v>Amérique du Nord</v>
      </c>
      <c r="V2" s="2" t="str">
        <f>_xlfn.XLOOKUP(V1,'Correspondances pays'!$B$4:$B$205,'Correspondances pays'!$C$4:$C$205,,0)</f>
        <v>Chine</v>
      </c>
      <c r="W2" s="2" t="str">
        <f>_xlfn.XLOOKUP(W1,'Correspondances pays'!$B$4:$B$205,'Correspondances pays'!$C$4:$C$205,,0)</f>
        <v>Europe</v>
      </c>
      <c r="X2" s="2" t="str">
        <f>_xlfn.XLOOKUP(X1,'Correspondances pays'!$B$4:$B$205,'Correspondances pays'!$C$4:$C$205,,0)</f>
        <v>Europe</v>
      </c>
      <c r="Y2" s="2" t="str">
        <f>_xlfn.XLOOKUP(Y1,'Correspondances pays'!$B$4:$B$205,'Correspondances pays'!$C$4:$C$205,,0)</f>
        <v>Europe</v>
      </c>
      <c r="Z2" s="2" t="str">
        <f>_xlfn.XLOOKUP(Z1,'Correspondances pays'!$B$4:$B$205,'Correspondances pays'!$C$4:$C$205,,0)</f>
        <v>Afrique</v>
      </c>
      <c r="AA2" s="2" t="str">
        <f>_xlfn.XLOOKUP(AA1,'Correspondances pays'!$B$4:$B$205,'Correspondances pays'!$C$4:$C$205,,0)</f>
        <v>Europe</v>
      </c>
      <c r="AB2" s="2" t="str">
        <f>_xlfn.XLOOKUP(AB1,'Correspondances pays'!$B$4:$B$205,'Correspondances pays'!$C$4:$C$205,,0)</f>
        <v>Europe</v>
      </c>
      <c r="AC2" s="2" t="str">
        <f>_xlfn.XLOOKUP(AC1,'Correspondances pays'!$B$4:$B$205,'Correspondances pays'!$C$4:$C$205,,0)</f>
        <v>Europe</v>
      </c>
      <c r="AD2" s="2" t="str">
        <f>_xlfn.XLOOKUP(AD1,'Correspondances pays'!$B$4:$B$205,'Correspondances pays'!$C$4:$C$205,,0)</f>
        <v>Reste du monde</v>
      </c>
      <c r="AE2" s="2" t="str">
        <f>_xlfn.XLOOKUP(AE1,'Correspondances pays'!$B$4:$B$205,'Correspondances pays'!$C$4:$C$205,,0)</f>
        <v>Europe</v>
      </c>
      <c r="AF2" s="2" t="str">
        <f>_xlfn.XLOOKUP(AF1,'Correspondances pays'!$B$4:$B$205,'Correspondances pays'!$C$4:$C$205,,0)</f>
        <v>Afrique</v>
      </c>
      <c r="AG2" s="2" t="str">
        <f>_xlfn.XLOOKUP(AG1,'Correspondances pays'!$B$4:$B$205,'Correspondances pays'!$C$4:$C$205,,0)</f>
        <v>Europe</v>
      </c>
      <c r="AH2" s="2" t="str">
        <f>_xlfn.XLOOKUP(AH1,'Correspondances pays'!$B$4:$B$205,'Correspondances pays'!$C$4:$C$205,,0)</f>
        <v>Reste du monde</v>
      </c>
      <c r="AI2" s="2" t="str">
        <f>_xlfn.XLOOKUP(AI1,'Correspondances pays'!$B$4:$B$205,'Correspondances pays'!$C$4:$C$205,,0)</f>
        <v>Europe</v>
      </c>
      <c r="AJ2" s="2" t="str">
        <f>_xlfn.XLOOKUP(AJ1,'Correspondances pays'!$B$4:$B$205,'Correspondances pays'!$C$4:$C$205,,0)</f>
        <v>Europe</v>
      </c>
      <c r="AK2" s="2" t="str">
        <f>_xlfn.XLOOKUP(AK1,'Correspondances pays'!$B$4:$B$205,'Correspondances pays'!$C$4:$C$205,,0)</f>
        <v>Asie hors Chine et pays du Golfe persique</v>
      </c>
      <c r="AL2" s="2" t="str">
        <f>_xlfn.XLOOKUP(AL1,'Correspondances pays'!$B$4:$B$205,'Correspondances pays'!$C$4:$C$205,,0)</f>
        <v>Asie hors Chine et pays du Golfe persique</v>
      </c>
      <c r="AM2" s="2" t="str">
        <f>_xlfn.XLOOKUP(AM1,'Correspondances pays'!$B$4:$B$205,'Correspondances pays'!$C$4:$C$205,,0)</f>
        <v>Asie hors Chine et pays du Golfe persique</v>
      </c>
      <c r="AN2" s="2" t="str">
        <f>_xlfn.XLOOKUP(AN1,'Correspondances pays'!$B$4:$B$205,'Correspondances pays'!$C$4:$C$205,,0)</f>
        <v>Asie hors Chine et pays du Golfe persique</v>
      </c>
      <c r="AO2" s="2" t="str">
        <f>_xlfn.XLOOKUP(AO1,'Correspondances pays'!$B$4:$B$205,'Correspondances pays'!$C$4:$C$205,,0)</f>
        <v>Europe</v>
      </c>
      <c r="AP2" s="2" t="str">
        <f>_xlfn.XLOOKUP(AP1,'Correspondances pays'!$B$4:$B$205,'Correspondances pays'!$C$4:$C$205,,0)</f>
        <v>Europe</v>
      </c>
      <c r="AQ2" s="2" t="str">
        <f>_xlfn.XLOOKUP(AQ1,'Correspondances pays'!$B$4:$B$205,'Correspondances pays'!$C$4:$C$205,,0)</f>
        <v>Asie hors Chine et pays du Golfe persique</v>
      </c>
      <c r="AR2" s="2" t="str">
        <f>_xlfn.XLOOKUP(AR1,'Correspondances pays'!$B$4:$B$205,'Correspondances pays'!$C$4:$C$205,,0)</f>
        <v>Asie hors Chine et pays du Golfe persique</v>
      </c>
      <c r="AS2" s="2" t="str">
        <f>_xlfn.XLOOKUP(AS1,'Correspondances pays'!$B$4:$B$205,'Correspondances pays'!$C$4:$C$205,,0)</f>
        <v>Asie hors Chine et pays du Golfe persique</v>
      </c>
      <c r="AT2" s="2" t="str">
        <f>_xlfn.XLOOKUP(AT1,'Correspondances pays'!$B$4:$B$205,'Correspondances pays'!$C$4:$C$205,,0)</f>
        <v>Europe</v>
      </c>
      <c r="AU2" s="2" t="str">
        <f>_xlfn.XLOOKUP(AU1,'Correspondances pays'!$B$4:$B$205,'Correspondances pays'!$C$4:$C$205,,0)</f>
        <v>Europe</v>
      </c>
      <c r="AV2" s="2" t="str">
        <f>_xlfn.XLOOKUP(AV1,'Correspondances pays'!$B$4:$B$205,'Correspondances pays'!$C$4:$C$205,,0)</f>
        <v>Europe</v>
      </c>
      <c r="AW2" s="2" t="str">
        <f>_xlfn.XLOOKUP(AW1,'Correspondances pays'!$B$4:$B$205,'Correspondances pays'!$C$4:$C$205,,0)</f>
        <v>Reste du monde</v>
      </c>
      <c r="AX2" s="2" t="str">
        <f>_xlfn.XLOOKUP(AX1,'Correspondances pays'!$B$4:$B$205,'Correspondances pays'!$C$4:$C$205,,0)</f>
        <v>Reste du monde</v>
      </c>
      <c r="AY2" s="2" t="str">
        <f>_xlfn.XLOOKUP(AY1,'Correspondances pays'!$B$4:$B$205,'Correspondances pays'!$C$4:$C$205,,0)</f>
        <v>Russie</v>
      </c>
      <c r="AZ2" s="2" t="str">
        <f>_xlfn.XLOOKUP(AZ1,'Correspondances pays'!$B$4:$B$205,'Correspondances pays'!$C$4:$C$205,,0)</f>
        <v>Reste du monde</v>
      </c>
      <c r="BA2" s="2" t="str">
        <f>_xlfn.XLOOKUP(BA1,'Correspondances pays'!$B$4:$B$205,'Correspondances pays'!$C$4:$C$205,,0)</f>
        <v>Afrique</v>
      </c>
      <c r="BB2" s="2" t="str">
        <f>_xlfn.XLOOKUP(BB1,'Correspondances pays'!$B$4:$B$205,'Correspondances pays'!$C$4:$C$205,,0)</f>
        <v>Reste du monde</v>
      </c>
      <c r="BC2" s="2" t="str">
        <f>_xlfn.XLOOKUP(BC1,'Correspondances pays'!$B$4:$B$205,'Correspondances pays'!$C$4:$C$205,,0)</f>
        <v>Europe</v>
      </c>
      <c r="BD2" s="2" t="str">
        <f>_xlfn.XLOOKUP(BD1,'Correspondances pays'!$B$4:$B$205,'Correspondances pays'!$C$4:$C$205,,0)</f>
        <v>Océanie</v>
      </c>
      <c r="BE2" s="2" t="str">
        <f>_xlfn.XLOOKUP(BE1,'Correspondances pays'!$B$4:$B$205,'Correspondances pays'!$C$4:$C$205,,0)</f>
        <v>Afrique</v>
      </c>
      <c r="BF2" s="2" t="str">
        <f>_xlfn.XLOOKUP(BF1,'Correspondances pays'!$B$4:$B$205,'Correspondances pays'!$C$4:$C$205,,0)</f>
        <v>Europe</v>
      </c>
      <c r="BG2" s="2" t="str">
        <f>_xlfn.XLOOKUP(BG1,'Correspondances pays'!$B$4:$B$205,'Correspondances pays'!$C$4:$C$205,,0)</f>
        <v>Pays du Golfe Persique</v>
      </c>
      <c r="BH2" s="2" t="str">
        <f>_xlfn.XLOOKUP(BH1,'Correspondances pays'!$B$4:$B$205,'Correspondances pays'!$C$4:$C$205,,0)</f>
        <v>Asie hors Chine et pays du Golfe persique</v>
      </c>
      <c r="BI2" s="2" t="str">
        <f>_xlfn.XLOOKUP(BI1,'Correspondances pays'!$B$4:$B$205,'Correspondances pays'!$C$4:$C$205,,0)</f>
        <v>Europe</v>
      </c>
      <c r="BJ2" s="2" t="str">
        <f>_xlfn.XLOOKUP(BJ1,'Correspondances pays'!$B$4:$B$205,'Correspondances pays'!$C$4:$C$205,,0)</f>
        <v>Europe</v>
      </c>
      <c r="BK2" s="2" t="str">
        <f>_xlfn.XLOOKUP(BK1,'Correspondances pays'!$B$4:$B$205,'Correspondances pays'!$C$4:$C$205,,0)</f>
        <v>Pays du Golfe Persique</v>
      </c>
      <c r="BL2" s="2" t="str">
        <f>_xlfn.XLOOKUP(BL1,'Correspondances pays'!$B$4:$B$205,'Correspondances pays'!$C$4:$C$205,,0)</f>
        <v>Europe</v>
      </c>
      <c r="BM2" s="2" t="str">
        <f>_xlfn.XLOOKUP(BM1,'Correspondances pays'!$B$4:$B$205,'Correspondances pays'!$C$4:$C$205,,0)</f>
        <v>Russie</v>
      </c>
      <c r="BN2" s="2" t="str">
        <f>_xlfn.XLOOKUP(BN1,'Correspondances pays'!$B$4:$B$205,'Correspondances pays'!$C$4:$C$205,,0)</f>
        <v>Pays du Golfe Persique</v>
      </c>
      <c r="BO2" s="2" t="str">
        <f>_xlfn.XLOOKUP(BO1,'Correspondances pays'!$B$4:$B$205,'Correspondances pays'!$C$4:$C$205,,0)</f>
        <v>Russie</v>
      </c>
      <c r="BP2" s="2" t="str">
        <f>_xlfn.XLOOKUP(BP1,'Correspondances pays'!$B$4:$B$205,'Correspondances pays'!$C$4:$C$205,,0)</f>
        <v>Reste du monde</v>
      </c>
      <c r="BQ2" s="2" t="str">
        <f>_xlfn.XLOOKUP(BQ1,'Correspondances pays'!$B$4:$B$205,'Correspondances pays'!$C$4:$C$205,,0)</f>
        <v>Europe</v>
      </c>
      <c r="BR2" s="2" t="str">
        <f>_xlfn.XLOOKUP(BR1,'Correspondances pays'!$B$4:$B$205,'Correspondances pays'!$C$4:$C$205,,0)</f>
        <v>Europe</v>
      </c>
      <c r="BS2" s="2" t="str">
        <f>_xlfn.XLOOKUP(BS1,'Correspondances pays'!$B$4:$B$205,'Correspondances pays'!$C$4:$C$205,,0)</f>
        <v>Afrique</v>
      </c>
      <c r="BT2" s="2" t="str">
        <f>_xlfn.XLOOKUP(BT1,'Correspondances pays'!$B$4:$B$205,'Correspondances pays'!$C$4:$C$205,,0)</f>
        <v>Europe</v>
      </c>
      <c r="BU2" s="2" t="str">
        <f>_xlfn.XLOOKUP(BU1,'Correspondances pays'!$B$4:$B$205,'Correspondances pays'!$C$4:$C$205,,0)</f>
        <v>Reste du monde</v>
      </c>
      <c r="BV2" s="2" t="str">
        <f>_xlfn.XLOOKUP(BV1,'Correspondances pays'!$B$4:$B$205,'Correspondances pays'!$C$4:$C$205,,0)</f>
        <v>Europe</v>
      </c>
      <c r="BW2" s="2" t="str">
        <f>_xlfn.XLOOKUP(BW1,'Correspondances pays'!$B$4:$B$205,'Correspondances pays'!$C$4:$C$205,,0)</f>
        <v>Europe</v>
      </c>
      <c r="BX2" s="2" t="str">
        <f>_xlfn.XLOOKUP(BX1,'Correspondances pays'!$B$4:$B$205,'Correspondances pays'!$C$4:$C$205,,0)</f>
        <v>Chine</v>
      </c>
      <c r="BY2" s="2" t="str">
        <f>_xlfn.XLOOKUP(BY1,'Correspondances pays'!$B$4:$B$205,'Correspondances pays'!$C$4:$C$205,,0)</f>
        <v>Asie hors Chine et pays du Golfe persique</v>
      </c>
      <c r="BZ2" s="2" t="str">
        <f>_xlfn.XLOOKUP(BZ1,'Correspondances pays'!$B$4:$B$205,'Correspondances pays'!$C$4:$C$205,,0)</f>
        <v>Reste du monde</v>
      </c>
      <c r="CA2" s="2" t="str">
        <f>_xlfn.XLOOKUP(CA1,'Correspondances pays'!$B$4:$B$205,'Correspondances pays'!$C$4:$C$205,,0)</f>
        <v>Asie hors Chine et pays du Golfe persique</v>
      </c>
      <c r="CB2" s="2" t="str">
        <f>_xlfn.XLOOKUP(CB1,'Correspondances pays'!$B$4:$B$205,'Correspondances pays'!$C$4:$C$205,,0)</f>
        <v>Reste du monde</v>
      </c>
      <c r="CC2" s="2" t="str">
        <f>_xlfn.XLOOKUP(CC1,'Correspondances pays'!$B$4:$B$205,'Correspondances pays'!$C$4:$C$205,,0)</f>
        <v>Russie</v>
      </c>
      <c r="CD2" s="2" t="str">
        <f>_xlfn.XLOOKUP(CD1,'Correspondances pays'!$B$4:$B$205,'Correspondances pays'!$C$4:$C$205,,0)</f>
        <v>Pays du Golfe Persique</v>
      </c>
      <c r="CE2" s="2" t="str">
        <f>_xlfn.XLOOKUP(CE1,'Correspondances pays'!$B$4:$B$205,'Correspondances pays'!$C$4:$C$205,,0)</f>
        <v>Europe</v>
      </c>
      <c r="CF2" s="2" t="str">
        <f>_xlfn.XLOOKUP(CF1,'Correspondances pays'!$B$4:$B$205,'Correspondances pays'!$C$4:$C$205,,0)</f>
        <v>Amérique du Nord</v>
      </c>
      <c r="CG2" s="2" t="str">
        <f>_xlfn.XLOOKUP(CG1,'Correspondances pays'!$B$4:$B$205,'Correspondances pays'!$C$4:$C$205,,0)</f>
        <v>Reste du monde</v>
      </c>
      <c r="CH2" s="2" t="str">
        <f>_xlfn.XLOOKUP(CH1,'Correspondances pays'!$B$4:$B$205,'Correspondances pays'!$C$4:$C$205,,0)</f>
        <v>Amérique du sud</v>
      </c>
      <c r="CI2" s="2" t="str">
        <f>_xlfn.XLOOKUP(CI1,'Correspondances pays'!$B$4:$B$205,'Correspondances pays'!$C$4:$C$205,,0)</f>
        <v>Reste du monde</v>
      </c>
      <c r="CJ2" s="2" t="str">
        <f>_xlfn.XLOOKUP(CJ1,'Correspondances pays'!$B$4:$B$205,'Correspondances pays'!$C$4:$C$205,,0)</f>
        <v>Reste du monde</v>
      </c>
      <c r="CK2" s="2" t="str">
        <f>_xlfn.XLOOKUP(CK1,'Correspondances pays'!$B$4:$B$205,'Correspondances pays'!$C$4:$C$205,,0)</f>
        <v>Asie hors Chine et pays du Golfe persique</v>
      </c>
      <c r="CL2" s="2" t="str">
        <f>_xlfn.XLOOKUP(CL1,'Correspondances pays'!$B$4:$B$205,'Correspondances pays'!$C$4:$C$205,,0)</f>
        <v>Asie hors Chine et pays du Golfe persique</v>
      </c>
      <c r="CM2" s="2" t="str">
        <f>_xlfn.XLOOKUP(CM1,'Correspondances pays'!$B$4:$B$205,'Correspondances pays'!$C$4:$C$205,,0)</f>
        <v>Chine</v>
      </c>
      <c r="CN2" s="2" t="str">
        <f>_xlfn.XLOOKUP(CN1,'Correspondances pays'!$B$4:$B$205,'Correspondances pays'!$C$4:$C$205,,0)</f>
        <v>Chine</v>
      </c>
    </row>
    <row r="3" spans="1:92" x14ac:dyDescent="0.25">
      <c r="A3" s="43" t="s">
        <v>259</v>
      </c>
      <c r="B3" s="43" t="s">
        <v>281</v>
      </c>
      <c r="C3" s="43"/>
      <c r="D3" s="2" t="s">
        <v>282</v>
      </c>
    </row>
    <row r="4" spans="1:92" x14ac:dyDescent="0.25">
      <c r="A4" s="42" t="s">
        <v>37</v>
      </c>
      <c r="B4" s="42" t="str">
        <f>_xlfn.XLOOKUP(A4,'Correspondances pays'!$A$4:$A$200,'Correspondances pays'!$B$4:$B$200)</f>
        <v>Germany</v>
      </c>
      <c r="C4" s="44">
        <f>AutoConsommation!F3</f>
        <v>2458801</v>
      </c>
      <c r="D4" s="8">
        <f t="shared" ref="D4:D35" si="0">SUM(E4:CN4)</f>
        <v>2458801</v>
      </c>
      <c r="E4" s="8">
        <f>SUMIFS('compens8-Import'!$H$4:$H$1002,'compens8-Import'!$M$4:$M$1002,$B4,'compens8-Import'!$E$4:$E$1002,E$1)</f>
        <v>0</v>
      </c>
      <c r="F4" s="8">
        <f>SUMIFS('compens8-Import'!$H$4:$H$1002,'compens8-Import'!$M$4:$M$1002,$B4,'compens8-Import'!$E$4:$E$1002,F$1)</f>
        <v>0</v>
      </c>
      <c r="G4" s="8">
        <f>SUMIFS('compens8-Import'!$H$4:$H$1002,'compens8-Import'!$M$4:$M$1002,$B4,'compens8-Import'!$E$4:$E$1002,G$1)</f>
        <v>50161</v>
      </c>
      <c r="H4" s="8">
        <f>SUMIFS('compens8-Import'!$H$4:$H$1002,'compens8-Import'!$M$4:$M$1002,$B4,'compens8-Import'!$E$4:$E$1002,H$1)</f>
        <v>0</v>
      </c>
      <c r="I4" s="8">
        <f>SUMIFS('compens8-Import'!$H$4:$H$1002,'compens8-Import'!$M$4:$M$1002,$B4,'compens8-Import'!$E$4:$E$1002,I$1)</f>
        <v>0</v>
      </c>
      <c r="J4" s="8">
        <f>SUMIFS('compens8-Import'!$H$4:$H$1002,'compens8-Import'!$M$4:$M$1002,$B4,'compens8-Import'!$E$4:$E$1002,J$1)</f>
        <v>127420</v>
      </c>
      <c r="K4" s="8">
        <f>SUMIFS('compens8-Import'!$H$4:$H$1002,'compens8-Import'!$M$4:$M$1002,$B4,'compens8-Import'!$E$4:$E$1002,K$1)</f>
        <v>0</v>
      </c>
      <c r="L4" s="8">
        <f>SUMIFS('compens8-Import'!$H$4:$H$1002,'compens8-Import'!$M$4:$M$1002,$B4,'compens8-Import'!$E$4:$E$1002,L$1)</f>
        <v>53284</v>
      </c>
      <c r="M4" s="8">
        <f>SUMIFS('compens8-Import'!$H$4:$H$1002,'compens8-Import'!$M$4:$M$1002,$B4,'compens8-Import'!$E$4:$E$1002,M$1)</f>
        <v>0</v>
      </c>
      <c r="N4" s="8">
        <f>SUMIFS('compens8-Import'!$H$4:$H$1002,'compens8-Import'!$M$4:$M$1002,$B4,'compens8-Import'!$E$4:$E$1002,N$1)</f>
        <v>0</v>
      </c>
      <c r="O4" s="8">
        <f>SUMIFS('compens8-Import'!$H$4:$H$1002,'compens8-Import'!$M$4:$M$1002,$B4,'compens8-Import'!$E$4:$E$1002,O$1)</f>
        <v>12746</v>
      </c>
      <c r="P4" s="8">
        <f>SUMIFS('compens8-Import'!$H$4:$H$1002,'compens8-Import'!$M$4:$M$1002,$B4,'compens8-Import'!$E$4:$E$1002,P$1)</f>
        <v>0</v>
      </c>
      <c r="Q4" s="8">
        <f>SUMIFS('compens8-Import'!$H$4:$H$1002,'compens8-Import'!$M$4:$M$1002,$B4,'compens8-Import'!$E$4:$E$1002,Q$1)</f>
        <v>0</v>
      </c>
      <c r="R4" s="8">
        <f>SUMIFS('compens8-Import'!$H$4:$H$1002,'compens8-Import'!$M$4:$M$1002,$B4,'compens8-Import'!$E$4:$E$1002,R$1)</f>
        <v>0</v>
      </c>
      <c r="S4" s="8">
        <f>SUMIFS('compens8-Import'!$H$4:$H$1002,'compens8-Import'!$M$4:$M$1002,$B4,'compens8-Import'!$E$4:$E$1002,S$1)</f>
        <v>0</v>
      </c>
      <c r="T4" s="8">
        <f>SUMIFS('compens8-Import'!$H$4:$H$1002,'compens8-Import'!$M$4:$M$1002,$B4,'compens8-Import'!$E$4:$E$1002,T$1)</f>
        <v>0</v>
      </c>
      <c r="U4" s="8">
        <f>SUMIFS('compens8-Import'!$H$4:$H$1002,'compens8-Import'!$M$4:$M$1002,$B4,'compens8-Import'!$E$4:$E$1002,U$1)</f>
        <v>25336</v>
      </c>
      <c r="V4" s="8">
        <f>SUMIFS('compens8-Import'!$H$4:$H$1002,'compens8-Import'!$M$4:$M$1002,$B4,'compens8-Import'!$E$4:$E$1002,V$1)</f>
        <v>0</v>
      </c>
      <c r="W4" s="8">
        <f>SUMIFS('compens8-Import'!$H$4:$H$1002,'compens8-Import'!$M$4:$M$1002,$B4,'compens8-Import'!$E$4:$E$1002,W$1)</f>
        <v>0</v>
      </c>
      <c r="X4" s="8">
        <f>SUMIFS('compens8-Import'!$H$4:$H$1002,'compens8-Import'!$M$4:$M$1002,$B4,'compens8-Import'!$E$4:$E$1002,X$1)</f>
        <v>44333</v>
      </c>
      <c r="Y4" s="8">
        <f>SUMIFS('compens8-Import'!$H$4:$H$1002,'compens8-Import'!$M$4:$M$1002,$B4,'compens8-Import'!$E$4:$E$1002,Y$1)</f>
        <v>0</v>
      </c>
      <c r="Z4" s="8">
        <f>SUMIFS('compens8-Import'!$H$4:$H$1002,'compens8-Import'!$M$4:$M$1002,$B4,'compens8-Import'!$E$4:$E$1002,Z$1)</f>
        <v>0</v>
      </c>
      <c r="AA4" s="8">
        <f>SUMIFS('compens8-Import'!$H$4:$H$1002,'compens8-Import'!$M$4:$M$1002,$B4,'compens8-Import'!$E$4:$E$1002,AA$1)</f>
        <v>0</v>
      </c>
      <c r="AB4" s="8">
        <f>SUMIFS('compens8-Import'!$H$4:$H$1002,'compens8-Import'!$M$4:$M$1002,$B4,'compens8-Import'!$E$4:$E$1002,AB$1)</f>
        <v>0</v>
      </c>
      <c r="AC4" s="8">
        <f>SUMIFS('compens8-Import'!$H$4:$H$1002,'compens8-Import'!$M$4:$M$1002,$B4,'compens8-Import'!$E$4:$E$1002,AC$1)</f>
        <v>174268</v>
      </c>
      <c r="AD4" s="8">
        <f>SUMIFS('compens8-Import'!$H$4:$H$1002,'compens8-Import'!$M$4:$M$1002,$B4,'compens8-Import'!$E$4:$E$1002,AD$1)</f>
        <v>0</v>
      </c>
      <c r="AE4" s="8">
        <f>SUMIFS('compens8-Import'!$H$4:$H$1002,'compens8-Import'!$M$4:$M$1002,$B4,'compens8-Import'!$E$4:$E$1002,AE$1)</f>
        <v>0</v>
      </c>
      <c r="AF4" s="8">
        <f>SUMIFS('compens8-Import'!$H$4:$H$1002,'compens8-Import'!$M$4:$M$1002,$B4,'compens8-Import'!$E$4:$E$1002,AF$1)</f>
        <v>0</v>
      </c>
      <c r="AG4" s="8">
        <f>SUMIFS('compens8-Import'!$H$4:$H$1002,'compens8-Import'!$M$4:$M$1002,$B4,'compens8-Import'!$E$4:$E$1002,AG$1)</f>
        <v>0</v>
      </c>
      <c r="AH4" s="8">
        <f>SUMIFS('compens8-Import'!$H$4:$H$1002,'compens8-Import'!$M$4:$M$1002,$B4,'compens8-Import'!$E$4:$E$1002,AH$1)</f>
        <v>0</v>
      </c>
      <c r="AI4" s="8">
        <f>SUMIFS('compens8-Import'!$H$4:$H$1002,'compens8-Import'!$M$4:$M$1002,$B4,'compens8-Import'!$E$4:$E$1002,AI$1)</f>
        <v>0</v>
      </c>
      <c r="AJ4" s="8">
        <f>SUMIFS('compens8-Import'!$H$4:$H$1002,'compens8-Import'!$M$4:$M$1002,$B4,'compens8-Import'!$E$4:$E$1002,AJ$1)</f>
        <v>172731</v>
      </c>
      <c r="AK4" s="8">
        <f>SUMIFS('compens8-Import'!$H$4:$H$1002,'compens8-Import'!$M$4:$M$1002,$B4,'compens8-Import'!$E$4:$E$1002,AK$1)</f>
        <v>57918</v>
      </c>
      <c r="AL4" s="8">
        <f>SUMIFS('compens8-Import'!$H$4:$H$1002,'compens8-Import'!$M$4:$M$1002,$B4,'compens8-Import'!$E$4:$E$1002,AL$1)</f>
        <v>0</v>
      </c>
      <c r="AM4" s="8">
        <f>SUMIFS('compens8-Import'!$H$4:$H$1002,'compens8-Import'!$M$4:$M$1002,$B4,'compens8-Import'!$E$4:$E$1002,AM$1)</f>
        <v>0</v>
      </c>
      <c r="AN4" s="8">
        <f>SUMIFS('compens8-Import'!$H$4:$H$1002,'compens8-Import'!$M$4:$M$1002,$B4,'compens8-Import'!$E$4:$E$1002,AN$1)</f>
        <v>0</v>
      </c>
      <c r="AO4" s="8">
        <f>SUMIFS('compens8-Import'!$H$4:$H$1002,'compens8-Import'!$M$4:$M$1002,$B4,'compens8-Import'!$E$4:$E$1002,AO$1)</f>
        <v>0</v>
      </c>
      <c r="AP4" s="8">
        <f>SUMIFS('compens8-Import'!$H$4:$H$1002,'compens8-Import'!$M$4:$M$1002,$B4,'compens8-Import'!$E$4:$E$1002,AP$1)</f>
        <v>88405</v>
      </c>
      <c r="AQ4" s="8">
        <f>SUMIFS('compens8-Import'!$H$4:$H$1002,'compens8-Import'!$M$4:$M$1002,$B4,'compens8-Import'!$E$4:$E$1002,AQ$1)</f>
        <v>0</v>
      </c>
      <c r="AR4" s="8">
        <f>SUMIFS('compens8-Import'!$H$4:$H$1002,'compens8-Import'!$M$4:$M$1002,$B4,'compens8-Import'!$E$4:$E$1002,AR$1)</f>
        <v>0</v>
      </c>
      <c r="AS4" s="8">
        <f>SUMIFS('compens8-Import'!$H$4:$H$1002,'compens8-Import'!$M$4:$M$1002,$B4,'compens8-Import'!$E$4:$E$1002,AS$1)</f>
        <v>0</v>
      </c>
      <c r="AT4" s="8">
        <f>SUMIFS('compens8-Import'!$H$4:$H$1002,'compens8-Import'!$M$4:$M$1002,$B4,'compens8-Import'!$E$4:$E$1002,AT$1)</f>
        <v>0</v>
      </c>
      <c r="AU4" s="8">
        <f>SUMIFS('compens8-Import'!$H$4:$H$1002,'compens8-Import'!$M$4:$M$1002,$B4,'compens8-Import'!$E$4:$E$1002,AU$1)</f>
        <v>0</v>
      </c>
      <c r="AV4" s="8">
        <f>SUMIFS('compens8-Import'!$H$4:$H$1002,'compens8-Import'!$M$4:$M$1002,$B4,'compens8-Import'!$E$4:$E$1002,AV$1)</f>
        <v>70528</v>
      </c>
      <c r="AW4" s="8">
        <f>SUMIFS('compens8-Import'!$H$4:$H$1002,'compens8-Import'!$M$4:$M$1002,$B4,'compens8-Import'!$E$4:$E$1002,AW$1)</f>
        <v>0</v>
      </c>
      <c r="AX4" s="8">
        <f>SUMIFS('compens8-Import'!$H$4:$H$1002,'compens8-Import'!$M$4:$M$1002,$B4,'compens8-Import'!$E$4:$E$1002,AX$1)</f>
        <v>0</v>
      </c>
      <c r="AY4" s="8">
        <f>SUMIFS('compens8-Import'!$H$4:$H$1002,'compens8-Import'!$M$4:$M$1002,$B4,'compens8-Import'!$E$4:$E$1002,AY$1)</f>
        <v>0</v>
      </c>
      <c r="AZ4" s="8">
        <f>SUMIFS('compens8-Import'!$H$4:$H$1002,'compens8-Import'!$M$4:$M$1002,$B4,'compens8-Import'!$E$4:$E$1002,AZ$1)</f>
        <v>0</v>
      </c>
      <c r="BA4" s="8">
        <f>SUMIFS('compens8-Import'!$H$4:$H$1002,'compens8-Import'!$M$4:$M$1002,$B4,'compens8-Import'!$E$4:$E$1002,BA$1)</f>
        <v>26229</v>
      </c>
      <c r="BB4" s="8">
        <f>SUMIFS('compens8-Import'!$H$4:$H$1002,'compens8-Import'!$M$4:$M$1002,$B4,'compens8-Import'!$E$4:$E$1002,BB$1)</f>
        <v>0</v>
      </c>
      <c r="BC4" s="8">
        <f>SUMIFS('compens8-Import'!$H$4:$H$1002,'compens8-Import'!$M$4:$M$1002,$B4,'compens8-Import'!$E$4:$E$1002,BC$1)</f>
        <v>475517</v>
      </c>
      <c r="BD4" s="8">
        <f>SUMIFS('compens8-Import'!$H$4:$H$1002,'compens8-Import'!$M$4:$M$1002,$B4,'compens8-Import'!$E$4:$E$1002,BD$1)</f>
        <v>0</v>
      </c>
      <c r="BE4" s="8">
        <f>SUMIFS('compens8-Import'!$H$4:$H$1002,'compens8-Import'!$M$4:$M$1002,$B4,'compens8-Import'!$E$4:$E$1002,BE$1)</f>
        <v>0</v>
      </c>
      <c r="BF4" s="8">
        <f>SUMIFS('compens8-Import'!$H$4:$H$1002,'compens8-Import'!$M$4:$M$1002,$B4,'compens8-Import'!$E$4:$E$1002,BF$1)</f>
        <v>236431</v>
      </c>
      <c r="BG4" s="8">
        <f>SUMIFS('compens8-Import'!$H$4:$H$1002,'compens8-Import'!$M$4:$M$1002,$B4,'compens8-Import'!$E$4:$E$1002,BG$1)</f>
        <v>0</v>
      </c>
      <c r="BH4" s="8">
        <f>SUMIFS('compens8-Import'!$H$4:$H$1002,'compens8-Import'!$M$4:$M$1002,$B4,'compens8-Import'!$E$4:$E$1002,BH$1)</f>
        <v>0</v>
      </c>
      <c r="BI4" s="8">
        <f>SUMIFS('compens8-Import'!$H$4:$H$1002,'compens8-Import'!$M$4:$M$1002,$B4,'compens8-Import'!$E$4:$E$1002,BI$1)</f>
        <v>63596</v>
      </c>
      <c r="BJ4" s="8">
        <f>SUMIFS('compens8-Import'!$H$4:$H$1002,'compens8-Import'!$M$4:$M$1002,$B4,'compens8-Import'!$E$4:$E$1002,BJ$1)</f>
        <v>0</v>
      </c>
      <c r="BK4" s="8">
        <f>SUMIFS('compens8-Import'!$H$4:$H$1002,'compens8-Import'!$M$4:$M$1002,$B4,'compens8-Import'!$E$4:$E$1002,BK$1)</f>
        <v>0</v>
      </c>
      <c r="BL4" s="8">
        <f>SUMIFS('compens8-Import'!$H$4:$H$1002,'compens8-Import'!$M$4:$M$1002,$B4,'compens8-Import'!$E$4:$E$1002,BL$1)</f>
        <v>25751</v>
      </c>
      <c r="BM4" s="8">
        <f>SUMIFS('compens8-Import'!$H$4:$H$1002,'compens8-Import'!$M$4:$M$1002,$B4,'compens8-Import'!$E$4:$E$1002,BM$1)</f>
        <v>147659</v>
      </c>
      <c r="BN4" s="8">
        <f>SUMIFS('compens8-Import'!$H$4:$H$1002,'compens8-Import'!$M$4:$M$1002,$B4,'compens8-Import'!$E$4:$E$1002,BN$1)</f>
        <v>0</v>
      </c>
      <c r="BO4" s="8">
        <f>SUMIFS('compens8-Import'!$H$4:$H$1002,'compens8-Import'!$M$4:$M$1002,$B4,'compens8-Import'!$E$4:$E$1002,BO$1)</f>
        <v>0</v>
      </c>
      <c r="BP4" s="8">
        <f>SUMIFS('compens8-Import'!$H$4:$H$1002,'compens8-Import'!$M$4:$M$1002,$B4,'compens8-Import'!$E$4:$E$1002,BP$1)</f>
        <v>0</v>
      </c>
      <c r="BQ4" s="8">
        <f>SUMIFS('compens8-Import'!$H$4:$H$1002,'compens8-Import'!$M$4:$M$1002,$B4,'compens8-Import'!$E$4:$E$1002,BQ$1)</f>
        <v>0</v>
      </c>
      <c r="BR4" s="8">
        <f>SUMIFS('compens8-Import'!$H$4:$H$1002,'compens8-Import'!$M$4:$M$1002,$B4,'compens8-Import'!$E$4:$E$1002,BR$1)</f>
        <v>0</v>
      </c>
      <c r="BS4" s="8">
        <f>SUMIFS('compens8-Import'!$H$4:$H$1002,'compens8-Import'!$M$4:$M$1002,$B4,'compens8-Import'!$E$4:$E$1002,BS$1)</f>
        <v>83276</v>
      </c>
      <c r="BT4" s="8">
        <f>SUMIFS('compens8-Import'!$H$4:$H$1002,'compens8-Import'!$M$4:$M$1002,$B4,'compens8-Import'!$E$4:$E$1002,BT$1)</f>
        <v>24627</v>
      </c>
      <c r="BU4" s="8">
        <f>SUMIFS('compens8-Import'!$H$4:$H$1002,'compens8-Import'!$M$4:$M$1002,$B4,'compens8-Import'!$E$4:$E$1002,BU$1)</f>
        <v>0</v>
      </c>
      <c r="BV4" s="8">
        <f>SUMIFS('compens8-Import'!$H$4:$H$1002,'compens8-Import'!$M$4:$M$1002,$B4,'compens8-Import'!$E$4:$E$1002,BV$1)</f>
        <v>25730</v>
      </c>
      <c r="BW4" s="8">
        <f>SUMIFS('compens8-Import'!$H$4:$H$1002,'compens8-Import'!$M$4:$M$1002,$B4,'compens8-Import'!$E$4:$E$1002,BW$1)</f>
        <v>28117</v>
      </c>
      <c r="BX4" s="8">
        <f>SUMIFS('compens8-Import'!$H$4:$H$1002,'compens8-Import'!$M$4:$M$1002,$B4,'compens8-Import'!$E$4:$E$1002,BX$1)</f>
        <v>0</v>
      </c>
      <c r="BY4" s="8">
        <f>SUMIFS('compens8-Import'!$H$4:$H$1002,'compens8-Import'!$M$4:$M$1002,$B4,'compens8-Import'!$E$4:$E$1002,BY$1)</f>
        <v>0</v>
      </c>
      <c r="BZ4" s="8">
        <f>SUMIFS('compens8-Import'!$H$4:$H$1002,'compens8-Import'!$M$4:$M$1002,$B4,'compens8-Import'!$E$4:$E$1002,BZ$1)</f>
        <v>0</v>
      </c>
      <c r="CA4" s="8">
        <f>SUMIFS('compens8-Import'!$H$4:$H$1002,'compens8-Import'!$M$4:$M$1002,$B4,'compens8-Import'!$E$4:$E$1002,CA$1)</f>
        <v>12355</v>
      </c>
      <c r="CB4" s="8">
        <f>SUMIFS('compens8-Import'!$H$4:$H$1002,'compens8-Import'!$M$4:$M$1002,$B4,'compens8-Import'!$E$4:$E$1002,CB$1)</f>
        <v>0</v>
      </c>
      <c r="CC4" s="8">
        <f>SUMIFS('compens8-Import'!$H$4:$H$1002,'compens8-Import'!$M$4:$M$1002,$B4,'compens8-Import'!$E$4:$E$1002,CC$1)</f>
        <v>0</v>
      </c>
      <c r="CD4" s="8">
        <f>SUMIFS('compens8-Import'!$H$4:$H$1002,'compens8-Import'!$M$4:$M$1002,$B4,'compens8-Import'!$E$4:$E$1002,CD$1)</f>
        <v>234342</v>
      </c>
      <c r="CE4" s="8">
        <f>SUMIFS('compens8-Import'!$H$4:$H$1002,'compens8-Import'!$M$4:$M$1002,$B4,'compens8-Import'!$E$4:$E$1002,CE$1)</f>
        <v>198041</v>
      </c>
      <c r="CF4" s="8">
        <f>SUMIFS('compens8-Import'!$H$4:$H$1002,'compens8-Import'!$M$4:$M$1002,$B4,'compens8-Import'!$E$4:$E$1002,CF$1)</f>
        <v>0</v>
      </c>
      <c r="CG4" s="8">
        <f>SUMIFS('compens8-Import'!$H$4:$H$1002,'compens8-Import'!$M$4:$M$1002,$B4,'compens8-Import'!$E$4:$E$1002,CG$1)</f>
        <v>0</v>
      </c>
      <c r="CH4" s="8">
        <f>SUMIFS('compens8-Import'!$H$4:$H$1002,'compens8-Import'!$M$4:$M$1002,$B4,'compens8-Import'!$E$4:$E$1002,CH$1)</f>
        <v>0</v>
      </c>
      <c r="CI4" s="8">
        <f>SUMIFS('compens8-Import'!$H$4:$H$1002,'compens8-Import'!$M$4:$M$1002,$B4,'compens8-Import'!$E$4:$E$1002,CI$1)</f>
        <v>0</v>
      </c>
      <c r="CJ4" s="8">
        <f>SUMIFS('compens8-Import'!$H$4:$H$1002,'compens8-Import'!$M$4:$M$1002,$B4,'compens8-Import'!$E$4:$E$1002,CJ$1)</f>
        <v>0</v>
      </c>
      <c r="CK4" s="8">
        <f>SUMIFS('compens8-Import'!$H$4:$H$1002,'compens8-Import'!$M$4:$M$1002,$B4,'compens8-Import'!$E$4:$E$1002,CK$1)</f>
        <v>0</v>
      </c>
      <c r="CL4" s="8">
        <f>SUMIFS('compens8-Import'!$H$4:$H$1002,'compens8-Import'!$M$4:$M$1002,$B4,'compens8-Import'!$E$4:$E$1002,CL$1)</f>
        <v>0</v>
      </c>
      <c r="CM4" s="8">
        <f>SUMIFS('compens8-Import'!$H$4:$H$1002,'compens8-Import'!$M$4:$M$1002,$B4,'compens8-Import'!$E$4:$E$1002,CM$1)</f>
        <v>0</v>
      </c>
      <c r="CN4" s="8">
        <f>SUMIFS('compens8-Import'!$H$4:$H$1002,'compens8-Import'!$M$4:$M$1002,$B4,'compens8-Import'!$E$4:$E$1002,CN$1)</f>
        <v>0</v>
      </c>
    </row>
    <row r="5" spans="1:92" x14ac:dyDescent="0.25">
      <c r="A5" s="2" t="s">
        <v>5</v>
      </c>
      <c r="B5" s="2" t="str">
        <f>_xlfn.XLOOKUP(A5,'Correspondances pays'!$A$4:$A$200,'Correspondances pays'!$B$4:$B$200)</f>
        <v>Austria</v>
      </c>
      <c r="C5" s="44">
        <f>AutoConsommation!F4</f>
        <v>548841</v>
      </c>
      <c r="D5" s="8">
        <f t="shared" si="0"/>
        <v>548841</v>
      </c>
      <c r="E5" s="8">
        <f>SUMIFS('compens8-Import'!$H$4:$H$1002,'compens8-Import'!$M$4:$M$1002,$B5,'compens8-Import'!$E$4:$E$1002,E$1)</f>
        <v>0</v>
      </c>
      <c r="F5" s="8">
        <f>SUMIFS('compens8-Import'!$H$4:$H$1002,'compens8-Import'!$M$4:$M$1002,$B5,'compens8-Import'!$E$4:$E$1002,F$1)</f>
        <v>0</v>
      </c>
      <c r="G5" s="8">
        <f>SUMIFS('compens8-Import'!$H$4:$H$1002,'compens8-Import'!$M$4:$M$1002,$B5,'compens8-Import'!$E$4:$E$1002,G$1)</f>
        <v>0</v>
      </c>
      <c r="H5" s="8">
        <f>SUMIFS('compens8-Import'!$H$4:$H$1002,'compens8-Import'!$M$4:$M$1002,$B5,'compens8-Import'!$E$4:$E$1002,H$1)</f>
        <v>0</v>
      </c>
      <c r="I5" s="8">
        <f>SUMIFS('compens8-Import'!$H$4:$H$1002,'compens8-Import'!$M$4:$M$1002,$B5,'compens8-Import'!$E$4:$E$1002,I$1)</f>
        <v>0</v>
      </c>
      <c r="J5" s="8">
        <f>SUMIFS('compens8-Import'!$H$4:$H$1002,'compens8-Import'!$M$4:$M$1002,$B5,'compens8-Import'!$E$4:$E$1002,J$1)</f>
        <v>0</v>
      </c>
      <c r="K5" s="8">
        <f>SUMIFS('compens8-Import'!$H$4:$H$1002,'compens8-Import'!$M$4:$M$1002,$B5,'compens8-Import'!$E$4:$E$1002,K$1)</f>
        <v>0</v>
      </c>
      <c r="L5" s="8">
        <f>SUMIFS('compens8-Import'!$H$4:$H$1002,'compens8-Import'!$M$4:$M$1002,$B5,'compens8-Import'!$E$4:$E$1002,L$1)</f>
        <v>11203</v>
      </c>
      <c r="M5" s="8">
        <f>SUMIFS('compens8-Import'!$H$4:$H$1002,'compens8-Import'!$M$4:$M$1002,$B5,'compens8-Import'!$E$4:$E$1002,M$1)</f>
        <v>0</v>
      </c>
      <c r="N5" s="8">
        <f>SUMIFS('compens8-Import'!$H$4:$H$1002,'compens8-Import'!$M$4:$M$1002,$B5,'compens8-Import'!$E$4:$E$1002,N$1)</f>
        <v>0</v>
      </c>
      <c r="O5" s="8">
        <f>SUMIFS('compens8-Import'!$H$4:$H$1002,'compens8-Import'!$M$4:$M$1002,$B5,'compens8-Import'!$E$4:$E$1002,O$1)</f>
        <v>0</v>
      </c>
      <c r="P5" s="8">
        <f>SUMIFS('compens8-Import'!$H$4:$H$1002,'compens8-Import'!$M$4:$M$1002,$B5,'compens8-Import'!$E$4:$E$1002,P$1)</f>
        <v>0</v>
      </c>
      <c r="Q5" s="8">
        <f>SUMIFS('compens8-Import'!$H$4:$H$1002,'compens8-Import'!$M$4:$M$1002,$B5,'compens8-Import'!$E$4:$E$1002,Q$1)</f>
        <v>0</v>
      </c>
      <c r="R5" s="8">
        <f>SUMIFS('compens8-Import'!$H$4:$H$1002,'compens8-Import'!$M$4:$M$1002,$B5,'compens8-Import'!$E$4:$E$1002,R$1)</f>
        <v>0</v>
      </c>
      <c r="S5" s="8">
        <f>SUMIFS('compens8-Import'!$H$4:$H$1002,'compens8-Import'!$M$4:$M$1002,$B5,'compens8-Import'!$E$4:$E$1002,S$1)</f>
        <v>0</v>
      </c>
      <c r="T5" s="8">
        <f>SUMIFS('compens8-Import'!$H$4:$H$1002,'compens8-Import'!$M$4:$M$1002,$B5,'compens8-Import'!$E$4:$E$1002,T$1)</f>
        <v>0</v>
      </c>
      <c r="U5" s="8">
        <f>SUMIFS('compens8-Import'!$H$4:$H$1002,'compens8-Import'!$M$4:$M$1002,$B5,'compens8-Import'!$E$4:$E$1002,U$1)</f>
        <v>6800</v>
      </c>
      <c r="V5" s="8">
        <f>SUMIFS('compens8-Import'!$H$4:$H$1002,'compens8-Import'!$M$4:$M$1002,$B5,'compens8-Import'!$E$4:$E$1002,V$1)</f>
        <v>1288</v>
      </c>
      <c r="W5" s="8">
        <f>SUMIFS('compens8-Import'!$H$4:$H$1002,'compens8-Import'!$M$4:$M$1002,$B5,'compens8-Import'!$E$4:$E$1002,W$1)</f>
        <v>0</v>
      </c>
      <c r="X5" s="8">
        <f>SUMIFS('compens8-Import'!$H$4:$H$1002,'compens8-Import'!$M$4:$M$1002,$B5,'compens8-Import'!$E$4:$E$1002,X$1)</f>
        <v>5743</v>
      </c>
      <c r="Y5" s="8">
        <f>SUMIFS('compens8-Import'!$H$4:$H$1002,'compens8-Import'!$M$4:$M$1002,$B5,'compens8-Import'!$E$4:$E$1002,Y$1)</f>
        <v>0</v>
      </c>
      <c r="Z5" s="8">
        <f>SUMIFS('compens8-Import'!$H$4:$H$1002,'compens8-Import'!$M$4:$M$1002,$B5,'compens8-Import'!$E$4:$E$1002,Z$1)</f>
        <v>0</v>
      </c>
      <c r="AA5" s="8">
        <f>SUMIFS('compens8-Import'!$H$4:$H$1002,'compens8-Import'!$M$4:$M$1002,$B5,'compens8-Import'!$E$4:$E$1002,AA$1)</f>
        <v>0</v>
      </c>
      <c r="AB5" s="8">
        <f>SUMIFS('compens8-Import'!$H$4:$H$1002,'compens8-Import'!$M$4:$M$1002,$B5,'compens8-Import'!$E$4:$E$1002,AB$1)</f>
        <v>1515</v>
      </c>
      <c r="AC5" s="8">
        <f>SUMIFS('compens8-Import'!$H$4:$H$1002,'compens8-Import'!$M$4:$M$1002,$B5,'compens8-Import'!$E$4:$E$1002,AC$1)</f>
        <v>20947</v>
      </c>
      <c r="AD5" s="8">
        <f>SUMIFS('compens8-Import'!$H$4:$H$1002,'compens8-Import'!$M$4:$M$1002,$B5,'compens8-Import'!$E$4:$E$1002,AD$1)</f>
        <v>0</v>
      </c>
      <c r="AE5" s="8">
        <f>SUMIFS('compens8-Import'!$H$4:$H$1002,'compens8-Import'!$M$4:$M$1002,$B5,'compens8-Import'!$E$4:$E$1002,AE$1)</f>
        <v>101347</v>
      </c>
      <c r="AF5" s="8">
        <f>SUMIFS('compens8-Import'!$H$4:$H$1002,'compens8-Import'!$M$4:$M$1002,$B5,'compens8-Import'!$E$4:$E$1002,AF$1)</f>
        <v>0</v>
      </c>
      <c r="AG5" s="8">
        <f>SUMIFS('compens8-Import'!$H$4:$H$1002,'compens8-Import'!$M$4:$M$1002,$B5,'compens8-Import'!$E$4:$E$1002,AG$1)</f>
        <v>1245</v>
      </c>
      <c r="AH5" s="8">
        <f>SUMIFS('compens8-Import'!$H$4:$H$1002,'compens8-Import'!$M$4:$M$1002,$B5,'compens8-Import'!$E$4:$E$1002,AH$1)</f>
        <v>0</v>
      </c>
      <c r="AI5" s="8">
        <f>SUMIFS('compens8-Import'!$H$4:$H$1002,'compens8-Import'!$M$4:$M$1002,$B5,'compens8-Import'!$E$4:$E$1002,AI$1)</f>
        <v>4667</v>
      </c>
      <c r="AJ5" s="8">
        <f>SUMIFS('compens8-Import'!$H$4:$H$1002,'compens8-Import'!$M$4:$M$1002,$B5,'compens8-Import'!$E$4:$E$1002,AJ$1)</f>
        <v>23832</v>
      </c>
      <c r="AK5" s="8">
        <f>SUMIFS('compens8-Import'!$H$4:$H$1002,'compens8-Import'!$M$4:$M$1002,$B5,'compens8-Import'!$E$4:$E$1002,AK$1)</f>
        <v>4815</v>
      </c>
      <c r="AL5" s="8">
        <f>SUMIFS('compens8-Import'!$H$4:$H$1002,'compens8-Import'!$M$4:$M$1002,$B5,'compens8-Import'!$E$4:$E$1002,AL$1)</f>
        <v>0</v>
      </c>
      <c r="AM5" s="8">
        <f>SUMIFS('compens8-Import'!$H$4:$H$1002,'compens8-Import'!$M$4:$M$1002,$B5,'compens8-Import'!$E$4:$E$1002,AM$1)</f>
        <v>0</v>
      </c>
      <c r="AN5" s="8">
        <f>SUMIFS('compens8-Import'!$H$4:$H$1002,'compens8-Import'!$M$4:$M$1002,$B5,'compens8-Import'!$E$4:$E$1002,AN$1)</f>
        <v>0</v>
      </c>
      <c r="AO5" s="8">
        <f>SUMIFS('compens8-Import'!$H$4:$H$1002,'compens8-Import'!$M$4:$M$1002,$B5,'compens8-Import'!$E$4:$E$1002,AO$1)</f>
        <v>0</v>
      </c>
      <c r="AP5" s="8">
        <f>SUMIFS('compens8-Import'!$H$4:$H$1002,'compens8-Import'!$M$4:$M$1002,$B5,'compens8-Import'!$E$4:$E$1002,AP$1)</f>
        <v>36295</v>
      </c>
      <c r="AQ5" s="8">
        <f>SUMIFS('compens8-Import'!$H$4:$H$1002,'compens8-Import'!$M$4:$M$1002,$B5,'compens8-Import'!$E$4:$E$1002,AQ$1)</f>
        <v>0</v>
      </c>
      <c r="AR5" s="8">
        <f>SUMIFS('compens8-Import'!$H$4:$H$1002,'compens8-Import'!$M$4:$M$1002,$B5,'compens8-Import'!$E$4:$E$1002,AR$1)</f>
        <v>0</v>
      </c>
      <c r="AS5" s="8">
        <f>SUMIFS('compens8-Import'!$H$4:$H$1002,'compens8-Import'!$M$4:$M$1002,$B5,'compens8-Import'!$E$4:$E$1002,AS$1)</f>
        <v>0</v>
      </c>
      <c r="AT5" s="8">
        <f>SUMIFS('compens8-Import'!$H$4:$H$1002,'compens8-Import'!$M$4:$M$1002,$B5,'compens8-Import'!$E$4:$E$1002,AT$1)</f>
        <v>0</v>
      </c>
      <c r="AU5" s="8">
        <f>SUMIFS('compens8-Import'!$H$4:$H$1002,'compens8-Import'!$M$4:$M$1002,$B5,'compens8-Import'!$E$4:$E$1002,AU$1)</f>
        <v>0</v>
      </c>
      <c r="AV5" s="8">
        <f>SUMIFS('compens8-Import'!$H$4:$H$1002,'compens8-Import'!$M$4:$M$1002,$B5,'compens8-Import'!$E$4:$E$1002,AV$1)</f>
        <v>0</v>
      </c>
      <c r="AW5" s="8">
        <f>SUMIFS('compens8-Import'!$H$4:$H$1002,'compens8-Import'!$M$4:$M$1002,$B5,'compens8-Import'!$E$4:$E$1002,AW$1)</f>
        <v>0</v>
      </c>
      <c r="AX5" s="8">
        <f>SUMIFS('compens8-Import'!$H$4:$H$1002,'compens8-Import'!$M$4:$M$1002,$B5,'compens8-Import'!$E$4:$E$1002,AX$1)</f>
        <v>0</v>
      </c>
      <c r="AY5" s="8">
        <f>SUMIFS('compens8-Import'!$H$4:$H$1002,'compens8-Import'!$M$4:$M$1002,$B5,'compens8-Import'!$E$4:$E$1002,AY$1)</f>
        <v>0</v>
      </c>
      <c r="AZ5" s="8">
        <f>SUMIFS('compens8-Import'!$H$4:$H$1002,'compens8-Import'!$M$4:$M$1002,$B5,'compens8-Import'!$E$4:$E$1002,AZ$1)</f>
        <v>0</v>
      </c>
      <c r="BA5" s="8">
        <f>SUMIFS('compens8-Import'!$H$4:$H$1002,'compens8-Import'!$M$4:$M$1002,$B5,'compens8-Import'!$E$4:$E$1002,BA$1)</f>
        <v>1862</v>
      </c>
      <c r="BB5" s="8">
        <f>SUMIFS('compens8-Import'!$H$4:$H$1002,'compens8-Import'!$M$4:$M$1002,$B5,'compens8-Import'!$E$4:$E$1002,BB$1)</f>
        <v>0</v>
      </c>
      <c r="BC5" s="8">
        <f>SUMIFS('compens8-Import'!$H$4:$H$1002,'compens8-Import'!$M$4:$M$1002,$B5,'compens8-Import'!$E$4:$E$1002,BC$1)</f>
        <v>103079</v>
      </c>
      <c r="BD5" s="8">
        <f>SUMIFS('compens8-Import'!$H$4:$H$1002,'compens8-Import'!$M$4:$M$1002,$B5,'compens8-Import'!$E$4:$E$1002,BD$1)</f>
        <v>1039</v>
      </c>
      <c r="BE5" s="8">
        <f>SUMIFS('compens8-Import'!$H$4:$H$1002,'compens8-Import'!$M$4:$M$1002,$B5,'compens8-Import'!$E$4:$E$1002,BE$1)</f>
        <v>0</v>
      </c>
      <c r="BF5" s="8">
        <f>SUMIFS('compens8-Import'!$H$4:$H$1002,'compens8-Import'!$M$4:$M$1002,$B5,'compens8-Import'!$E$4:$E$1002,BF$1)</f>
        <v>121607</v>
      </c>
      <c r="BG5" s="8">
        <f>SUMIFS('compens8-Import'!$H$4:$H$1002,'compens8-Import'!$M$4:$M$1002,$B5,'compens8-Import'!$E$4:$E$1002,BG$1)</f>
        <v>0</v>
      </c>
      <c r="BH5" s="8">
        <f>SUMIFS('compens8-Import'!$H$4:$H$1002,'compens8-Import'!$M$4:$M$1002,$B5,'compens8-Import'!$E$4:$E$1002,BH$1)</f>
        <v>0</v>
      </c>
      <c r="BI5" s="8">
        <f>SUMIFS('compens8-Import'!$H$4:$H$1002,'compens8-Import'!$M$4:$M$1002,$B5,'compens8-Import'!$E$4:$E$1002,BI$1)</f>
        <v>17157</v>
      </c>
      <c r="BJ5" s="8">
        <f>SUMIFS('compens8-Import'!$H$4:$H$1002,'compens8-Import'!$M$4:$M$1002,$B5,'compens8-Import'!$E$4:$E$1002,BJ$1)</f>
        <v>0</v>
      </c>
      <c r="BK5" s="8">
        <f>SUMIFS('compens8-Import'!$H$4:$H$1002,'compens8-Import'!$M$4:$M$1002,$B5,'compens8-Import'!$E$4:$E$1002,BK$1)</f>
        <v>0</v>
      </c>
      <c r="BL5" s="8">
        <f>SUMIFS('compens8-Import'!$H$4:$H$1002,'compens8-Import'!$M$4:$M$1002,$B5,'compens8-Import'!$E$4:$E$1002,BL$1)</f>
        <v>8099</v>
      </c>
      <c r="BM5" s="8">
        <f>SUMIFS('compens8-Import'!$H$4:$H$1002,'compens8-Import'!$M$4:$M$1002,$B5,'compens8-Import'!$E$4:$E$1002,BM$1)</f>
        <v>15473</v>
      </c>
      <c r="BN5" s="8">
        <f>SUMIFS('compens8-Import'!$H$4:$H$1002,'compens8-Import'!$M$4:$M$1002,$B5,'compens8-Import'!$E$4:$E$1002,BN$1)</f>
        <v>0</v>
      </c>
      <c r="BO5" s="8">
        <f>SUMIFS('compens8-Import'!$H$4:$H$1002,'compens8-Import'!$M$4:$M$1002,$B5,'compens8-Import'!$E$4:$E$1002,BO$1)</f>
        <v>0</v>
      </c>
      <c r="BP5" s="8">
        <f>SUMIFS('compens8-Import'!$H$4:$H$1002,'compens8-Import'!$M$4:$M$1002,$B5,'compens8-Import'!$E$4:$E$1002,BP$1)</f>
        <v>7996</v>
      </c>
      <c r="BQ5" s="8">
        <f>SUMIFS('compens8-Import'!$H$4:$H$1002,'compens8-Import'!$M$4:$M$1002,$B5,'compens8-Import'!$E$4:$E$1002,BQ$1)</f>
        <v>1901</v>
      </c>
      <c r="BR5" s="8">
        <f>SUMIFS('compens8-Import'!$H$4:$H$1002,'compens8-Import'!$M$4:$M$1002,$B5,'compens8-Import'!$E$4:$E$1002,BR$1)</f>
        <v>2963</v>
      </c>
      <c r="BS5" s="8">
        <f>SUMIFS('compens8-Import'!$H$4:$H$1002,'compens8-Import'!$M$4:$M$1002,$B5,'compens8-Import'!$E$4:$E$1002,BS$1)</f>
        <v>0</v>
      </c>
      <c r="BT5" s="8">
        <f>SUMIFS('compens8-Import'!$H$4:$H$1002,'compens8-Import'!$M$4:$M$1002,$B5,'compens8-Import'!$E$4:$E$1002,BT$1)</f>
        <v>0</v>
      </c>
      <c r="BU5" s="8">
        <f>SUMIFS('compens8-Import'!$H$4:$H$1002,'compens8-Import'!$M$4:$M$1002,$B5,'compens8-Import'!$E$4:$E$1002,BU$1)</f>
        <v>0</v>
      </c>
      <c r="BV5" s="8">
        <f>SUMIFS('compens8-Import'!$H$4:$H$1002,'compens8-Import'!$M$4:$M$1002,$B5,'compens8-Import'!$E$4:$E$1002,BV$1)</f>
        <v>0</v>
      </c>
      <c r="BW5" s="8">
        <f>SUMIFS('compens8-Import'!$H$4:$H$1002,'compens8-Import'!$M$4:$M$1002,$B5,'compens8-Import'!$E$4:$E$1002,BW$1)</f>
        <v>27318</v>
      </c>
      <c r="BX5" s="8">
        <f>SUMIFS('compens8-Import'!$H$4:$H$1002,'compens8-Import'!$M$4:$M$1002,$B5,'compens8-Import'!$E$4:$E$1002,BX$1)</f>
        <v>0</v>
      </c>
      <c r="BY5" s="8">
        <f>SUMIFS('compens8-Import'!$H$4:$H$1002,'compens8-Import'!$M$4:$M$1002,$B5,'compens8-Import'!$E$4:$E$1002,BY$1)</f>
        <v>0</v>
      </c>
      <c r="BZ5" s="8">
        <f>SUMIFS('compens8-Import'!$H$4:$H$1002,'compens8-Import'!$M$4:$M$1002,$B5,'compens8-Import'!$E$4:$E$1002,BZ$1)</f>
        <v>0</v>
      </c>
      <c r="CA5" s="8">
        <f>SUMIFS('compens8-Import'!$H$4:$H$1002,'compens8-Import'!$M$4:$M$1002,$B5,'compens8-Import'!$E$4:$E$1002,CA$1)</f>
        <v>0</v>
      </c>
      <c r="CB5" s="8">
        <f>SUMIFS('compens8-Import'!$H$4:$H$1002,'compens8-Import'!$M$4:$M$1002,$B5,'compens8-Import'!$E$4:$E$1002,CB$1)</f>
        <v>0</v>
      </c>
      <c r="CC5" s="8">
        <f>SUMIFS('compens8-Import'!$H$4:$H$1002,'compens8-Import'!$M$4:$M$1002,$B5,'compens8-Import'!$E$4:$E$1002,CC$1)</f>
        <v>0</v>
      </c>
      <c r="CD5" s="8">
        <f>SUMIFS('compens8-Import'!$H$4:$H$1002,'compens8-Import'!$M$4:$M$1002,$B5,'compens8-Import'!$E$4:$E$1002,CD$1)</f>
        <v>20650</v>
      </c>
      <c r="CE5" s="8">
        <f>SUMIFS('compens8-Import'!$H$4:$H$1002,'compens8-Import'!$M$4:$M$1002,$B5,'compens8-Import'!$E$4:$E$1002,CE$1)</f>
        <v>0</v>
      </c>
      <c r="CF5" s="8">
        <f>SUMIFS('compens8-Import'!$H$4:$H$1002,'compens8-Import'!$M$4:$M$1002,$B5,'compens8-Import'!$E$4:$E$1002,CF$1)</f>
        <v>0</v>
      </c>
      <c r="CG5" s="8">
        <f>SUMIFS('compens8-Import'!$H$4:$H$1002,'compens8-Import'!$M$4:$M$1002,$B5,'compens8-Import'!$E$4:$E$1002,CG$1)</f>
        <v>0</v>
      </c>
      <c r="CH5" s="8">
        <f>SUMIFS('compens8-Import'!$H$4:$H$1002,'compens8-Import'!$M$4:$M$1002,$B5,'compens8-Import'!$E$4:$E$1002,CH$1)</f>
        <v>0</v>
      </c>
      <c r="CI5" s="8">
        <f>SUMIFS('compens8-Import'!$H$4:$H$1002,'compens8-Import'!$M$4:$M$1002,$B5,'compens8-Import'!$E$4:$E$1002,CI$1)</f>
        <v>0</v>
      </c>
      <c r="CJ5" s="8">
        <f>SUMIFS('compens8-Import'!$H$4:$H$1002,'compens8-Import'!$M$4:$M$1002,$B5,'compens8-Import'!$E$4:$E$1002,CJ$1)</f>
        <v>0</v>
      </c>
      <c r="CK5" s="8">
        <f>SUMIFS('compens8-Import'!$H$4:$H$1002,'compens8-Import'!$M$4:$M$1002,$B5,'compens8-Import'!$E$4:$E$1002,CK$1)</f>
        <v>0</v>
      </c>
      <c r="CL5" s="8">
        <f>SUMIFS('compens8-Import'!$H$4:$H$1002,'compens8-Import'!$M$4:$M$1002,$B5,'compens8-Import'!$E$4:$E$1002,CL$1)</f>
        <v>0</v>
      </c>
      <c r="CM5" s="8">
        <f>SUMIFS('compens8-Import'!$H$4:$H$1002,'compens8-Import'!$M$4:$M$1002,$B5,'compens8-Import'!$E$4:$E$1002,CM$1)</f>
        <v>0</v>
      </c>
      <c r="CN5" s="8">
        <f>SUMIFS('compens8-Import'!$H$4:$H$1002,'compens8-Import'!$M$4:$M$1002,$B5,'compens8-Import'!$E$4:$E$1002,CN$1)</f>
        <v>0</v>
      </c>
    </row>
    <row r="6" spans="1:92" x14ac:dyDescent="0.25">
      <c r="A6" s="2" t="s">
        <v>11</v>
      </c>
      <c r="B6" s="2" t="str">
        <f>_xlfn.XLOOKUP(A6,'Correspondances pays'!$A$4:$A$200,'Correspondances pays'!$B$4:$B$200)</f>
        <v>Belgium</v>
      </c>
      <c r="C6" s="44">
        <f>AutoConsommation!F5</f>
        <v>353833</v>
      </c>
      <c r="D6" s="8">
        <f t="shared" si="0"/>
        <v>353833</v>
      </c>
      <c r="E6" s="8">
        <f>SUMIFS('compens8-Import'!$H$4:$H$1002,'compens8-Import'!$M$4:$M$1002,$B6,'compens8-Import'!$E$4:$E$1002,E$1)</f>
        <v>0</v>
      </c>
      <c r="F6" s="8">
        <f>SUMIFS('compens8-Import'!$H$4:$H$1002,'compens8-Import'!$M$4:$M$1002,$B6,'compens8-Import'!$E$4:$E$1002,F$1)</f>
        <v>0</v>
      </c>
      <c r="G6" s="8">
        <f>SUMIFS('compens8-Import'!$H$4:$H$1002,'compens8-Import'!$M$4:$M$1002,$B6,'compens8-Import'!$E$4:$E$1002,G$1)</f>
        <v>0</v>
      </c>
      <c r="H6" s="8">
        <f>SUMIFS('compens8-Import'!$H$4:$H$1002,'compens8-Import'!$M$4:$M$1002,$B6,'compens8-Import'!$E$4:$E$1002,H$1)</f>
        <v>0</v>
      </c>
      <c r="I6" s="8">
        <f>SUMIFS('compens8-Import'!$H$4:$H$1002,'compens8-Import'!$M$4:$M$1002,$B6,'compens8-Import'!$E$4:$E$1002,I$1)</f>
        <v>485</v>
      </c>
      <c r="J6" s="8">
        <f>SUMIFS('compens8-Import'!$H$4:$H$1002,'compens8-Import'!$M$4:$M$1002,$B6,'compens8-Import'!$E$4:$E$1002,J$1)</f>
        <v>2513</v>
      </c>
      <c r="K6" s="8">
        <f>SUMIFS('compens8-Import'!$H$4:$H$1002,'compens8-Import'!$M$4:$M$1002,$B6,'compens8-Import'!$E$4:$E$1002,K$1)</f>
        <v>0</v>
      </c>
      <c r="L6" s="8">
        <f>SUMIFS('compens8-Import'!$H$4:$H$1002,'compens8-Import'!$M$4:$M$1002,$B6,'compens8-Import'!$E$4:$E$1002,L$1)</f>
        <v>0</v>
      </c>
      <c r="M6" s="8">
        <f>SUMIFS('compens8-Import'!$H$4:$H$1002,'compens8-Import'!$M$4:$M$1002,$B6,'compens8-Import'!$E$4:$E$1002,M$1)</f>
        <v>0</v>
      </c>
      <c r="N6" s="8">
        <f>SUMIFS('compens8-Import'!$H$4:$H$1002,'compens8-Import'!$M$4:$M$1002,$B6,'compens8-Import'!$E$4:$E$1002,N$1)</f>
        <v>0</v>
      </c>
      <c r="O6" s="8">
        <f>SUMIFS('compens8-Import'!$H$4:$H$1002,'compens8-Import'!$M$4:$M$1002,$B6,'compens8-Import'!$E$4:$E$1002,O$1)</f>
        <v>0</v>
      </c>
      <c r="P6" s="8">
        <f>SUMIFS('compens8-Import'!$H$4:$H$1002,'compens8-Import'!$M$4:$M$1002,$B6,'compens8-Import'!$E$4:$E$1002,P$1)</f>
        <v>0</v>
      </c>
      <c r="Q6" s="8">
        <f>SUMIFS('compens8-Import'!$H$4:$H$1002,'compens8-Import'!$M$4:$M$1002,$B6,'compens8-Import'!$E$4:$E$1002,Q$1)</f>
        <v>158</v>
      </c>
      <c r="R6" s="8">
        <f>SUMIFS('compens8-Import'!$H$4:$H$1002,'compens8-Import'!$M$4:$M$1002,$B6,'compens8-Import'!$E$4:$E$1002,R$1)</f>
        <v>0</v>
      </c>
      <c r="S6" s="8">
        <f>SUMIFS('compens8-Import'!$H$4:$H$1002,'compens8-Import'!$M$4:$M$1002,$B6,'compens8-Import'!$E$4:$E$1002,S$1)</f>
        <v>0</v>
      </c>
      <c r="T6" s="8">
        <f>SUMIFS('compens8-Import'!$H$4:$H$1002,'compens8-Import'!$M$4:$M$1002,$B6,'compens8-Import'!$E$4:$E$1002,T$1)</f>
        <v>0</v>
      </c>
      <c r="U6" s="8">
        <f>SUMIFS('compens8-Import'!$H$4:$H$1002,'compens8-Import'!$M$4:$M$1002,$B6,'compens8-Import'!$E$4:$E$1002,U$1)</f>
        <v>0</v>
      </c>
      <c r="V6" s="8">
        <f>SUMIFS('compens8-Import'!$H$4:$H$1002,'compens8-Import'!$M$4:$M$1002,$B6,'compens8-Import'!$E$4:$E$1002,V$1)</f>
        <v>0</v>
      </c>
      <c r="W6" s="8">
        <f>SUMIFS('compens8-Import'!$H$4:$H$1002,'compens8-Import'!$M$4:$M$1002,$B6,'compens8-Import'!$E$4:$E$1002,W$1)</f>
        <v>0</v>
      </c>
      <c r="X6" s="8">
        <f>SUMIFS('compens8-Import'!$H$4:$H$1002,'compens8-Import'!$M$4:$M$1002,$B6,'compens8-Import'!$E$4:$E$1002,X$1)</f>
        <v>0</v>
      </c>
      <c r="Y6" s="8">
        <f>SUMIFS('compens8-Import'!$H$4:$H$1002,'compens8-Import'!$M$4:$M$1002,$B6,'compens8-Import'!$E$4:$E$1002,Y$1)</f>
        <v>0</v>
      </c>
      <c r="Z6" s="8">
        <f>SUMIFS('compens8-Import'!$H$4:$H$1002,'compens8-Import'!$M$4:$M$1002,$B6,'compens8-Import'!$E$4:$E$1002,Z$1)</f>
        <v>0</v>
      </c>
      <c r="AA6" s="8">
        <f>SUMIFS('compens8-Import'!$H$4:$H$1002,'compens8-Import'!$M$4:$M$1002,$B6,'compens8-Import'!$E$4:$E$1002,AA$1)</f>
        <v>0</v>
      </c>
      <c r="AB6" s="8">
        <f>SUMIFS('compens8-Import'!$H$4:$H$1002,'compens8-Import'!$M$4:$M$1002,$B6,'compens8-Import'!$E$4:$E$1002,AB$1)</f>
        <v>0</v>
      </c>
      <c r="AC6" s="8">
        <f>SUMIFS('compens8-Import'!$H$4:$H$1002,'compens8-Import'!$M$4:$M$1002,$B6,'compens8-Import'!$E$4:$E$1002,AC$1)</f>
        <v>31205</v>
      </c>
      <c r="AD6" s="8">
        <f>SUMIFS('compens8-Import'!$H$4:$H$1002,'compens8-Import'!$M$4:$M$1002,$B6,'compens8-Import'!$E$4:$E$1002,AD$1)</f>
        <v>0</v>
      </c>
      <c r="AE6" s="8">
        <f>SUMIFS('compens8-Import'!$H$4:$H$1002,'compens8-Import'!$M$4:$M$1002,$B6,'compens8-Import'!$E$4:$E$1002,AE$1)</f>
        <v>57762</v>
      </c>
      <c r="AF6" s="8">
        <f>SUMIFS('compens8-Import'!$H$4:$H$1002,'compens8-Import'!$M$4:$M$1002,$B6,'compens8-Import'!$E$4:$E$1002,AF$1)</f>
        <v>0</v>
      </c>
      <c r="AG6" s="8">
        <f>SUMIFS('compens8-Import'!$H$4:$H$1002,'compens8-Import'!$M$4:$M$1002,$B6,'compens8-Import'!$E$4:$E$1002,AG$1)</f>
        <v>0</v>
      </c>
      <c r="AH6" s="8">
        <f>SUMIFS('compens8-Import'!$H$4:$H$1002,'compens8-Import'!$M$4:$M$1002,$B6,'compens8-Import'!$E$4:$E$1002,AH$1)</f>
        <v>0</v>
      </c>
      <c r="AI6" s="8">
        <f>SUMIFS('compens8-Import'!$H$4:$H$1002,'compens8-Import'!$M$4:$M$1002,$B6,'compens8-Import'!$E$4:$E$1002,AI$1)</f>
        <v>1632</v>
      </c>
      <c r="AJ6" s="8">
        <f>SUMIFS('compens8-Import'!$H$4:$H$1002,'compens8-Import'!$M$4:$M$1002,$B6,'compens8-Import'!$E$4:$E$1002,AJ$1)</f>
        <v>0</v>
      </c>
      <c r="AK6" s="8">
        <f>SUMIFS('compens8-Import'!$H$4:$H$1002,'compens8-Import'!$M$4:$M$1002,$B6,'compens8-Import'!$E$4:$E$1002,AK$1)</f>
        <v>23620</v>
      </c>
      <c r="AL6" s="8">
        <f>SUMIFS('compens8-Import'!$H$4:$H$1002,'compens8-Import'!$M$4:$M$1002,$B6,'compens8-Import'!$E$4:$E$1002,AL$1)</f>
        <v>973</v>
      </c>
      <c r="AM6" s="8">
        <f>SUMIFS('compens8-Import'!$H$4:$H$1002,'compens8-Import'!$M$4:$M$1002,$B6,'compens8-Import'!$E$4:$E$1002,AM$1)</f>
        <v>0</v>
      </c>
      <c r="AN6" s="8">
        <f>SUMIFS('compens8-Import'!$H$4:$H$1002,'compens8-Import'!$M$4:$M$1002,$B6,'compens8-Import'!$E$4:$E$1002,AN$1)</f>
        <v>0</v>
      </c>
      <c r="AO6" s="8">
        <f>SUMIFS('compens8-Import'!$H$4:$H$1002,'compens8-Import'!$M$4:$M$1002,$B6,'compens8-Import'!$E$4:$E$1002,AO$1)</f>
        <v>0</v>
      </c>
      <c r="AP6" s="8">
        <f>SUMIFS('compens8-Import'!$H$4:$H$1002,'compens8-Import'!$M$4:$M$1002,$B6,'compens8-Import'!$E$4:$E$1002,AP$1)</f>
        <v>325</v>
      </c>
      <c r="AQ6" s="8">
        <f>SUMIFS('compens8-Import'!$H$4:$H$1002,'compens8-Import'!$M$4:$M$1002,$B6,'compens8-Import'!$E$4:$E$1002,AQ$1)</f>
        <v>0</v>
      </c>
      <c r="AR6" s="8">
        <f>SUMIFS('compens8-Import'!$H$4:$H$1002,'compens8-Import'!$M$4:$M$1002,$B6,'compens8-Import'!$E$4:$E$1002,AR$1)</f>
        <v>0</v>
      </c>
      <c r="AS6" s="8">
        <f>SUMIFS('compens8-Import'!$H$4:$H$1002,'compens8-Import'!$M$4:$M$1002,$B6,'compens8-Import'!$E$4:$E$1002,AS$1)</f>
        <v>99</v>
      </c>
      <c r="AT6" s="8">
        <f>SUMIFS('compens8-Import'!$H$4:$H$1002,'compens8-Import'!$M$4:$M$1002,$B6,'compens8-Import'!$E$4:$E$1002,AT$1)</f>
        <v>0</v>
      </c>
      <c r="AU6" s="8">
        <f>SUMIFS('compens8-Import'!$H$4:$H$1002,'compens8-Import'!$M$4:$M$1002,$B6,'compens8-Import'!$E$4:$E$1002,AU$1)</f>
        <v>0</v>
      </c>
      <c r="AV6" s="8">
        <f>SUMIFS('compens8-Import'!$H$4:$H$1002,'compens8-Import'!$M$4:$M$1002,$B6,'compens8-Import'!$E$4:$E$1002,AV$1)</f>
        <v>5651</v>
      </c>
      <c r="AW6" s="8">
        <f>SUMIFS('compens8-Import'!$H$4:$H$1002,'compens8-Import'!$M$4:$M$1002,$B6,'compens8-Import'!$E$4:$E$1002,AW$1)</f>
        <v>0</v>
      </c>
      <c r="AX6" s="8">
        <f>SUMIFS('compens8-Import'!$H$4:$H$1002,'compens8-Import'!$M$4:$M$1002,$B6,'compens8-Import'!$E$4:$E$1002,AX$1)</f>
        <v>0</v>
      </c>
      <c r="AY6" s="8">
        <f>SUMIFS('compens8-Import'!$H$4:$H$1002,'compens8-Import'!$M$4:$M$1002,$B6,'compens8-Import'!$E$4:$E$1002,AY$1)</f>
        <v>0</v>
      </c>
      <c r="AZ6" s="8">
        <f>SUMIFS('compens8-Import'!$H$4:$H$1002,'compens8-Import'!$M$4:$M$1002,$B6,'compens8-Import'!$E$4:$E$1002,AZ$1)</f>
        <v>0</v>
      </c>
      <c r="BA6" s="8">
        <f>SUMIFS('compens8-Import'!$H$4:$H$1002,'compens8-Import'!$M$4:$M$1002,$B6,'compens8-Import'!$E$4:$E$1002,BA$1)</f>
        <v>24277</v>
      </c>
      <c r="BB6" s="8">
        <f>SUMIFS('compens8-Import'!$H$4:$H$1002,'compens8-Import'!$M$4:$M$1002,$B6,'compens8-Import'!$E$4:$E$1002,BB$1)</f>
        <v>0</v>
      </c>
      <c r="BC6" s="8">
        <f>SUMIFS('compens8-Import'!$H$4:$H$1002,'compens8-Import'!$M$4:$M$1002,$B6,'compens8-Import'!$E$4:$E$1002,BC$1)</f>
        <v>157067</v>
      </c>
      <c r="BD6" s="8">
        <f>SUMIFS('compens8-Import'!$H$4:$H$1002,'compens8-Import'!$M$4:$M$1002,$B6,'compens8-Import'!$E$4:$E$1002,BD$1)</f>
        <v>0</v>
      </c>
      <c r="BE6" s="8">
        <f>SUMIFS('compens8-Import'!$H$4:$H$1002,'compens8-Import'!$M$4:$M$1002,$B6,'compens8-Import'!$E$4:$E$1002,BE$1)</f>
        <v>0</v>
      </c>
      <c r="BF6" s="8">
        <f>SUMIFS('compens8-Import'!$H$4:$H$1002,'compens8-Import'!$M$4:$M$1002,$B6,'compens8-Import'!$E$4:$E$1002,BF$1)</f>
        <v>392</v>
      </c>
      <c r="BG6" s="8">
        <f>SUMIFS('compens8-Import'!$H$4:$H$1002,'compens8-Import'!$M$4:$M$1002,$B6,'compens8-Import'!$E$4:$E$1002,BG$1)</f>
        <v>0</v>
      </c>
      <c r="BH6" s="8">
        <f>SUMIFS('compens8-Import'!$H$4:$H$1002,'compens8-Import'!$M$4:$M$1002,$B6,'compens8-Import'!$E$4:$E$1002,BH$1)</f>
        <v>0</v>
      </c>
      <c r="BI6" s="8">
        <f>SUMIFS('compens8-Import'!$H$4:$H$1002,'compens8-Import'!$M$4:$M$1002,$B6,'compens8-Import'!$E$4:$E$1002,BI$1)</f>
        <v>3189</v>
      </c>
      <c r="BJ6" s="8">
        <f>SUMIFS('compens8-Import'!$H$4:$H$1002,'compens8-Import'!$M$4:$M$1002,$B6,'compens8-Import'!$E$4:$E$1002,BJ$1)</f>
        <v>0</v>
      </c>
      <c r="BK6" s="8">
        <f>SUMIFS('compens8-Import'!$H$4:$H$1002,'compens8-Import'!$M$4:$M$1002,$B6,'compens8-Import'!$E$4:$E$1002,BK$1)</f>
        <v>0</v>
      </c>
      <c r="BL6" s="8">
        <f>SUMIFS('compens8-Import'!$H$4:$H$1002,'compens8-Import'!$M$4:$M$1002,$B6,'compens8-Import'!$E$4:$E$1002,BL$1)</f>
        <v>0</v>
      </c>
      <c r="BM6" s="8">
        <f>SUMIFS('compens8-Import'!$H$4:$H$1002,'compens8-Import'!$M$4:$M$1002,$B6,'compens8-Import'!$E$4:$E$1002,BM$1)</f>
        <v>20805</v>
      </c>
      <c r="BN6" s="8">
        <f>SUMIFS('compens8-Import'!$H$4:$H$1002,'compens8-Import'!$M$4:$M$1002,$B6,'compens8-Import'!$E$4:$E$1002,BN$1)</f>
        <v>0</v>
      </c>
      <c r="BO6" s="8">
        <f>SUMIFS('compens8-Import'!$H$4:$H$1002,'compens8-Import'!$M$4:$M$1002,$B6,'compens8-Import'!$E$4:$E$1002,BO$1)</f>
        <v>42</v>
      </c>
      <c r="BP6" s="8">
        <f>SUMIFS('compens8-Import'!$H$4:$H$1002,'compens8-Import'!$M$4:$M$1002,$B6,'compens8-Import'!$E$4:$E$1002,BP$1)</f>
        <v>0</v>
      </c>
      <c r="BQ6" s="8">
        <f>SUMIFS('compens8-Import'!$H$4:$H$1002,'compens8-Import'!$M$4:$M$1002,$B6,'compens8-Import'!$E$4:$E$1002,BQ$1)</f>
        <v>0</v>
      </c>
      <c r="BR6" s="8">
        <f>SUMIFS('compens8-Import'!$H$4:$H$1002,'compens8-Import'!$M$4:$M$1002,$B6,'compens8-Import'!$E$4:$E$1002,BR$1)</f>
        <v>3433</v>
      </c>
      <c r="BS6" s="8">
        <f>SUMIFS('compens8-Import'!$H$4:$H$1002,'compens8-Import'!$M$4:$M$1002,$B6,'compens8-Import'!$E$4:$E$1002,BS$1)</f>
        <v>3195</v>
      </c>
      <c r="BT6" s="8">
        <f>SUMIFS('compens8-Import'!$H$4:$H$1002,'compens8-Import'!$M$4:$M$1002,$B6,'compens8-Import'!$E$4:$E$1002,BT$1)</f>
        <v>258</v>
      </c>
      <c r="BU6" s="8">
        <f>SUMIFS('compens8-Import'!$H$4:$H$1002,'compens8-Import'!$M$4:$M$1002,$B6,'compens8-Import'!$E$4:$E$1002,BU$1)</f>
        <v>0</v>
      </c>
      <c r="BV6" s="8">
        <f>SUMIFS('compens8-Import'!$H$4:$H$1002,'compens8-Import'!$M$4:$M$1002,$B6,'compens8-Import'!$E$4:$E$1002,BV$1)</f>
        <v>6880</v>
      </c>
      <c r="BW6" s="8">
        <f>SUMIFS('compens8-Import'!$H$4:$H$1002,'compens8-Import'!$M$4:$M$1002,$B6,'compens8-Import'!$E$4:$E$1002,BW$1)</f>
        <v>0</v>
      </c>
      <c r="BX6" s="8">
        <f>SUMIFS('compens8-Import'!$H$4:$H$1002,'compens8-Import'!$M$4:$M$1002,$B6,'compens8-Import'!$E$4:$E$1002,BX$1)</f>
        <v>0</v>
      </c>
      <c r="BY6" s="8">
        <f>SUMIFS('compens8-Import'!$H$4:$H$1002,'compens8-Import'!$M$4:$M$1002,$B6,'compens8-Import'!$E$4:$E$1002,BY$1)</f>
        <v>0</v>
      </c>
      <c r="BZ6" s="8">
        <f>SUMIFS('compens8-Import'!$H$4:$H$1002,'compens8-Import'!$M$4:$M$1002,$B6,'compens8-Import'!$E$4:$E$1002,BZ$1)</f>
        <v>0</v>
      </c>
      <c r="CA6" s="8">
        <f>SUMIFS('compens8-Import'!$H$4:$H$1002,'compens8-Import'!$M$4:$M$1002,$B6,'compens8-Import'!$E$4:$E$1002,CA$1)</f>
        <v>184</v>
      </c>
      <c r="CB6" s="8">
        <f>SUMIFS('compens8-Import'!$H$4:$H$1002,'compens8-Import'!$M$4:$M$1002,$B6,'compens8-Import'!$E$4:$E$1002,CB$1)</f>
        <v>0</v>
      </c>
      <c r="CC6" s="8">
        <f>SUMIFS('compens8-Import'!$H$4:$H$1002,'compens8-Import'!$M$4:$M$1002,$B6,'compens8-Import'!$E$4:$E$1002,CC$1)</f>
        <v>0</v>
      </c>
      <c r="CD6" s="8">
        <f>SUMIFS('compens8-Import'!$H$4:$H$1002,'compens8-Import'!$M$4:$M$1002,$B6,'compens8-Import'!$E$4:$E$1002,CD$1)</f>
        <v>8976</v>
      </c>
      <c r="CE6" s="8">
        <f>SUMIFS('compens8-Import'!$H$4:$H$1002,'compens8-Import'!$M$4:$M$1002,$B6,'compens8-Import'!$E$4:$E$1002,CE$1)</f>
        <v>0</v>
      </c>
      <c r="CF6" s="8">
        <f>SUMIFS('compens8-Import'!$H$4:$H$1002,'compens8-Import'!$M$4:$M$1002,$B6,'compens8-Import'!$E$4:$E$1002,CF$1)</f>
        <v>712</v>
      </c>
      <c r="CG6" s="8">
        <f>SUMIFS('compens8-Import'!$H$4:$H$1002,'compens8-Import'!$M$4:$M$1002,$B6,'compens8-Import'!$E$4:$E$1002,CG$1)</f>
        <v>0</v>
      </c>
      <c r="CH6" s="8">
        <f>SUMIFS('compens8-Import'!$H$4:$H$1002,'compens8-Import'!$M$4:$M$1002,$B6,'compens8-Import'!$E$4:$E$1002,CH$1)</f>
        <v>0</v>
      </c>
      <c r="CI6" s="8">
        <f>SUMIFS('compens8-Import'!$H$4:$H$1002,'compens8-Import'!$M$4:$M$1002,$B6,'compens8-Import'!$E$4:$E$1002,CI$1)</f>
        <v>0</v>
      </c>
      <c r="CJ6" s="8">
        <f>SUMIFS('compens8-Import'!$H$4:$H$1002,'compens8-Import'!$M$4:$M$1002,$B6,'compens8-Import'!$E$4:$E$1002,CJ$1)</f>
        <v>0</v>
      </c>
      <c r="CK6" s="8">
        <f>SUMIFS('compens8-Import'!$H$4:$H$1002,'compens8-Import'!$M$4:$M$1002,$B6,'compens8-Import'!$E$4:$E$1002,CK$1)</f>
        <v>0</v>
      </c>
      <c r="CL6" s="8">
        <f>SUMIFS('compens8-Import'!$H$4:$H$1002,'compens8-Import'!$M$4:$M$1002,$B6,'compens8-Import'!$E$4:$E$1002,CL$1)</f>
        <v>0</v>
      </c>
      <c r="CM6" s="8">
        <f>SUMIFS('compens8-Import'!$H$4:$H$1002,'compens8-Import'!$M$4:$M$1002,$B6,'compens8-Import'!$E$4:$E$1002,CM$1)</f>
        <v>0</v>
      </c>
      <c r="CN6" s="8">
        <f>SUMIFS('compens8-Import'!$H$4:$H$1002,'compens8-Import'!$M$4:$M$1002,$B6,'compens8-Import'!$E$4:$E$1002,CN$1)</f>
        <v>0</v>
      </c>
    </row>
    <row r="7" spans="1:92" x14ac:dyDescent="0.25">
      <c r="A7" s="2" t="s">
        <v>14</v>
      </c>
      <c r="B7" s="2" t="str">
        <f>_xlfn.XLOOKUP(A7,'Correspondances pays'!$A$4:$A$200,'Correspondances pays'!$B$4:$B$200)</f>
        <v>Brazil</v>
      </c>
      <c r="C7" s="44">
        <f>AutoConsommation!F6</f>
        <v>312704</v>
      </c>
      <c r="D7" s="8">
        <f t="shared" si="0"/>
        <v>312704</v>
      </c>
      <c r="E7" s="8">
        <f>SUMIFS('compens8-Import'!$H$4:$H$1002,'compens8-Import'!$M$4:$M$1002,$B7,'compens8-Import'!$E$4:$E$1002,E$1)</f>
        <v>0</v>
      </c>
      <c r="F7" s="8">
        <f>SUMIFS('compens8-Import'!$H$4:$H$1002,'compens8-Import'!$M$4:$M$1002,$B7,'compens8-Import'!$E$4:$E$1002,F$1)</f>
        <v>0</v>
      </c>
      <c r="G7" s="8">
        <f>SUMIFS('compens8-Import'!$H$4:$H$1002,'compens8-Import'!$M$4:$M$1002,$B7,'compens8-Import'!$E$4:$E$1002,G$1)</f>
        <v>0</v>
      </c>
      <c r="H7" s="8">
        <f>SUMIFS('compens8-Import'!$H$4:$H$1002,'compens8-Import'!$M$4:$M$1002,$B7,'compens8-Import'!$E$4:$E$1002,H$1)</f>
        <v>36881</v>
      </c>
      <c r="I7" s="8">
        <f>SUMIFS('compens8-Import'!$H$4:$H$1002,'compens8-Import'!$M$4:$M$1002,$B7,'compens8-Import'!$E$4:$E$1002,I$1)</f>
        <v>33431</v>
      </c>
      <c r="J7" s="8">
        <f>SUMIFS('compens8-Import'!$H$4:$H$1002,'compens8-Import'!$M$4:$M$1002,$B7,'compens8-Import'!$E$4:$E$1002,J$1)</f>
        <v>0</v>
      </c>
      <c r="K7" s="8">
        <f>SUMIFS('compens8-Import'!$H$4:$H$1002,'compens8-Import'!$M$4:$M$1002,$B7,'compens8-Import'!$E$4:$E$1002,K$1)</f>
        <v>0</v>
      </c>
      <c r="L7" s="8">
        <f>SUMIFS('compens8-Import'!$H$4:$H$1002,'compens8-Import'!$M$4:$M$1002,$B7,'compens8-Import'!$E$4:$E$1002,L$1)</f>
        <v>24489</v>
      </c>
      <c r="M7" s="8">
        <f>SUMIFS('compens8-Import'!$H$4:$H$1002,'compens8-Import'!$M$4:$M$1002,$B7,'compens8-Import'!$E$4:$E$1002,M$1)</f>
        <v>0</v>
      </c>
      <c r="N7" s="8">
        <f>SUMIFS('compens8-Import'!$H$4:$H$1002,'compens8-Import'!$M$4:$M$1002,$B7,'compens8-Import'!$E$4:$E$1002,N$1)</f>
        <v>0</v>
      </c>
      <c r="O7" s="8">
        <f>SUMIFS('compens8-Import'!$H$4:$H$1002,'compens8-Import'!$M$4:$M$1002,$B7,'compens8-Import'!$E$4:$E$1002,O$1)</f>
        <v>0</v>
      </c>
      <c r="P7" s="8">
        <f>SUMIFS('compens8-Import'!$H$4:$H$1002,'compens8-Import'!$M$4:$M$1002,$B7,'compens8-Import'!$E$4:$E$1002,P$1)</f>
        <v>0</v>
      </c>
      <c r="Q7" s="8">
        <f>SUMIFS('compens8-Import'!$H$4:$H$1002,'compens8-Import'!$M$4:$M$1002,$B7,'compens8-Import'!$E$4:$E$1002,Q$1)</f>
        <v>6411</v>
      </c>
      <c r="R7" s="8">
        <f>SUMIFS('compens8-Import'!$H$4:$H$1002,'compens8-Import'!$M$4:$M$1002,$B7,'compens8-Import'!$E$4:$E$1002,R$1)</f>
        <v>0</v>
      </c>
      <c r="S7" s="8">
        <f>SUMIFS('compens8-Import'!$H$4:$H$1002,'compens8-Import'!$M$4:$M$1002,$B7,'compens8-Import'!$E$4:$E$1002,S$1)</f>
        <v>0</v>
      </c>
      <c r="T7" s="8">
        <f>SUMIFS('compens8-Import'!$H$4:$H$1002,'compens8-Import'!$M$4:$M$1002,$B7,'compens8-Import'!$E$4:$E$1002,T$1)</f>
        <v>0</v>
      </c>
      <c r="U7" s="8">
        <f>SUMIFS('compens8-Import'!$H$4:$H$1002,'compens8-Import'!$M$4:$M$1002,$B7,'compens8-Import'!$E$4:$E$1002,U$1)</f>
        <v>0</v>
      </c>
      <c r="V7" s="8">
        <f>SUMIFS('compens8-Import'!$H$4:$H$1002,'compens8-Import'!$M$4:$M$1002,$B7,'compens8-Import'!$E$4:$E$1002,V$1)</f>
        <v>154</v>
      </c>
      <c r="W7" s="8">
        <f>SUMIFS('compens8-Import'!$H$4:$H$1002,'compens8-Import'!$M$4:$M$1002,$B7,'compens8-Import'!$E$4:$E$1002,W$1)</f>
        <v>0</v>
      </c>
      <c r="X7" s="8">
        <f>SUMIFS('compens8-Import'!$H$4:$H$1002,'compens8-Import'!$M$4:$M$1002,$B7,'compens8-Import'!$E$4:$E$1002,X$1)</f>
        <v>0</v>
      </c>
      <c r="Y7" s="8">
        <f>SUMIFS('compens8-Import'!$H$4:$H$1002,'compens8-Import'!$M$4:$M$1002,$B7,'compens8-Import'!$E$4:$E$1002,Y$1)</f>
        <v>0</v>
      </c>
      <c r="Z7" s="8">
        <f>SUMIFS('compens8-Import'!$H$4:$H$1002,'compens8-Import'!$M$4:$M$1002,$B7,'compens8-Import'!$E$4:$E$1002,Z$1)</f>
        <v>84</v>
      </c>
      <c r="AA7" s="8">
        <f>SUMIFS('compens8-Import'!$H$4:$H$1002,'compens8-Import'!$M$4:$M$1002,$B7,'compens8-Import'!$E$4:$E$1002,AA$1)</f>
        <v>170</v>
      </c>
      <c r="AB7" s="8">
        <f>SUMIFS('compens8-Import'!$H$4:$H$1002,'compens8-Import'!$M$4:$M$1002,$B7,'compens8-Import'!$E$4:$E$1002,AB$1)</f>
        <v>0</v>
      </c>
      <c r="AC7" s="8">
        <f>SUMIFS('compens8-Import'!$H$4:$H$1002,'compens8-Import'!$M$4:$M$1002,$B7,'compens8-Import'!$E$4:$E$1002,AC$1)</f>
        <v>0</v>
      </c>
      <c r="AD7" s="8">
        <f>SUMIFS('compens8-Import'!$H$4:$H$1002,'compens8-Import'!$M$4:$M$1002,$B7,'compens8-Import'!$E$4:$E$1002,AD$1)</f>
        <v>0</v>
      </c>
      <c r="AE7" s="8">
        <f>SUMIFS('compens8-Import'!$H$4:$H$1002,'compens8-Import'!$M$4:$M$1002,$B7,'compens8-Import'!$E$4:$E$1002,AE$1)</f>
        <v>0</v>
      </c>
      <c r="AF7" s="8">
        <f>SUMIFS('compens8-Import'!$H$4:$H$1002,'compens8-Import'!$M$4:$M$1002,$B7,'compens8-Import'!$E$4:$E$1002,AF$1)</f>
        <v>0</v>
      </c>
      <c r="AG7" s="8">
        <f>SUMIFS('compens8-Import'!$H$4:$H$1002,'compens8-Import'!$M$4:$M$1002,$B7,'compens8-Import'!$E$4:$E$1002,AG$1)</f>
        <v>0</v>
      </c>
      <c r="AH7" s="8">
        <f>SUMIFS('compens8-Import'!$H$4:$H$1002,'compens8-Import'!$M$4:$M$1002,$B7,'compens8-Import'!$E$4:$E$1002,AH$1)</f>
        <v>0</v>
      </c>
      <c r="AI7" s="8">
        <f>SUMIFS('compens8-Import'!$H$4:$H$1002,'compens8-Import'!$M$4:$M$1002,$B7,'compens8-Import'!$E$4:$E$1002,AI$1)</f>
        <v>0</v>
      </c>
      <c r="AJ7" s="8">
        <f>SUMIFS('compens8-Import'!$H$4:$H$1002,'compens8-Import'!$M$4:$M$1002,$B7,'compens8-Import'!$E$4:$E$1002,AJ$1)</f>
        <v>0</v>
      </c>
      <c r="AK7" s="8">
        <f>SUMIFS('compens8-Import'!$H$4:$H$1002,'compens8-Import'!$M$4:$M$1002,$B7,'compens8-Import'!$E$4:$E$1002,AK$1)</f>
        <v>65998</v>
      </c>
      <c r="AL7" s="8">
        <f>SUMIFS('compens8-Import'!$H$4:$H$1002,'compens8-Import'!$M$4:$M$1002,$B7,'compens8-Import'!$E$4:$E$1002,AL$1)</f>
        <v>8497</v>
      </c>
      <c r="AM7" s="8">
        <f>SUMIFS('compens8-Import'!$H$4:$H$1002,'compens8-Import'!$M$4:$M$1002,$B7,'compens8-Import'!$E$4:$E$1002,AM$1)</f>
        <v>0</v>
      </c>
      <c r="AN7" s="8">
        <f>SUMIFS('compens8-Import'!$H$4:$H$1002,'compens8-Import'!$M$4:$M$1002,$B7,'compens8-Import'!$E$4:$E$1002,AN$1)</f>
        <v>0</v>
      </c>
      <c r="AO7" s="8">
        <f>SUMIFS('compens8-Import'!$H$4:$H$1002,'compens8-Import'!$M$4:$M$1002,$B7,'compens8-Import'!$E$4:$E$1002,AO$1)</f>
        <v>0</v>
      </c>
      <c r="AP7" s="8">
        <f>SUMIFS('compens8-Import'!$H$4:$H$1002,'compens8-Import'!$M$4:$M$1002,$B7,'compens8-Import'!$E$4:$E$1002,AP$1)</f>
        <v>0</v>
      </c>
      <c r="AQ7" s="8">
        <f>SUMIFS('compens8-Import'!$H$4:$H$1002,'compens8-Import'!$M$4:$M$1002,$B7,'compens8-Import'!$E$4:$E$1002,AQ$1)</f>
        <v>0</v>
      </c>
      <c r="AR7" s="8">
        <f>SUMIFS('compens8-Import'!$H$4:$H$1002,'compens8-Import'!$M$4:$M$1002,$B7,'compens8-Import'!$E$4:$E$1002,AR$1)</f>
        <v>0</v>
      </c>
      <c r="AS7" s="8">
        <f>SUMIFS('compens8-Import'!$H$4:$H$1002,'compens8-Import'!$M$4:$M$1002,$B7,'compens8-Import'!$E$4:$E$1002,AS$1)</f>
        <v>177</v>
      </c>
      <c r="AT7" s="8">
        <f>SUMIFS('compens8-Import'!$H$4:$H$1002,'compens8-Import'!$M$4:$M$1002,$B7,'compens8-Import'!$E$4:$E$1002,AT$1)</f>
        <v>0</v>
      </c>
      <c r="AU7" s="8">
        <f>SUMIFS('compens8-Import'!$H$4:$H$1002,'compens8-Import'!$M$4:$M$1002,$B7,'compens8-Import'!$E$4:$E$1002,AU$1)</f>
        <v>0</v>
      </c>
      <c r="AV7" s="8">
        <f>SUMIFS('compens8-Import'!$H$4:$H$1002,'compens8-Import'!$M$4:$M$1002,$B7,'compens8-Import'!$E$4:$E$1002,AV$1)</f>
        <v>0</v>
      </c>
      <c r="AW7" s="8">
        <f>SUMIFS('compens8-Import'!$H$4:$H$1002,'compens8-Import'!$M$4:$M$1002,$B7,'compens8-Import'!$E$4:$E$1002,AW$1)</f>
        <v>2915</v>
      </c>
      <c r="AX7" s="8">
        <f>SUMIFS('compens8-Import'!$H$4:$H$1002,'compens8-Import'!$M$4:$M$1002,$B7,'compens8-Import'!$E$4:$E$1002,AX$1)</f>
        <v>0</v>
      </c>
      <c r="AY7" s="8">
        <f>SUMIFS('compens8-Import'!$H$4:$H$1002,'compens8-Import'!$M$4:$M$1002,$B7,'compens8-Import'!$E$4:$E$1002,AY$1)</f>
        <v>0</v>
      </c>
      <c r="AZ7" s="8">
        <f>SUMIFS('compens8-Import'!$H$4:$H$1002,'compens8-Import'!$M$4:$M$1002,$B7,'compens8-Import'!$E$4:$E$1002,AZ$1)</f>
        <v>0</v>
      </c>
      <c r="BA7" s="8">
        <f>SUMIFS('compens8-Import'!$H$4:$H$1002,'compens8-Import'!$M$4:$M$1002,$B7,'compens8-Import'!$E$4:$E$1002,BA$1)</f>
        <v>0</v>
      </c>
      <c r="BB7" s="8">
        <f>SUMIFS('compens8-Import'!$H$4:$H$1002,'compens8-Import'!$M$4:$M$1002,$B7,'compens8-Import'!$E$4:$E$1002,BB$1)</f>
        <v>0</v>
      </c>
      <c r="BC7" s="8">
        <f>SUMIFS('compens8-Import'!$H$4:$H$1002,'compens8-Import'!$M$4:$M$1002,$B7,'compens8-Import'!$E$4:$E$1002,BC$1)</f>
        <v>0</v>
      </c>
      <c r="BD7" s="8">
        <f>SUMIFS('compens8-Import'!$H$4:$H$1002,'compens8-Import'!$M$4:$M$1002,$B7,'compens8-Import'!$E$4:$E$1002,BD$1)</f>
        <v>2778</v>
      </c>
      <c r="BE7" s="8">
        <f>SUMIFS('compens8-Import'!$H$4:$H$1002,'compens8-Import'!$M$4:$M$1002,$B7,'compens8-Import'!$E$4:$E$1002,BE$1)</f>
        <v>0</v>
      </c>
      <c r="BF7" s="8">
        <f>SUMIFS('compens8-Import'!$H$4:$H$1002,'compens8-Import'!$M$4:$M$1002,$B7,'compens8-Import'!$E$4:$E$1002,BF$1)</f>
        <v>0</v>
      </c>
      <c r="BG7" s="8">
        <f>SUMIFS('compens8-Import'!$H$4:$H$1002,'compens8-Import'!$M$4:$M$1002,$B7,'compens8-Import'!$E$4:$E$1002,BG$1)</f>
        <v>0</v>
      </c>
      <c r="BH7" s="8">
        <f>SUMIFS('compens8-Import'!$H$4:$H$1002,'compens8-Import'!$M$4:$M$1002,$B7,'compens8-Import'!$E$4:$E$1002,BH$1)</f>
        <v>0</v>
      </c>
      <c r="BI7" s="8">
        <f>SUMIFS('compens8-Import'!$H$4:$H$1002,'compens8-Import'!$M$4:$M$1002,$B7,'compens8-Import'!$E$4:$E$1002,BI$1)</f>
        <v>0</v>
      </c>
      <c r="BJ7" s="8">
        <f>SUMIFS('compens8-Import'!$H$4:$H$1002,'compens8-Import'!$M$4:$M$1002,$B7,'compens8-Import'!$E$4:$E$1002,BJ$1)</f>
        <v>0</v>
      </c>
      <c r="BK7" s="8">
        <f>SUMIFS('compens8-Import'!$H$4:$H$1002,'compens8-Import'!$M$4:$M$1002,$B7,'compens8-Import'!$E$4:$E$1002,BK$1)</f>
        <v>2436</v>
      </c>
      <c r="BL7" s="8">
        <f>SUMIFS('compens8-Import'!$H$4:$H$1002,'compens8-Import'!$M$4:$M$1002,$B7,'compens8-Import'!$E$4:$E$1002,BL$1)</f>
        <v>0</v>
      </c>
      <c r="BM7" s="8">
        <f>SUMIFS('compens8-Import'!$H$4:$H$1002,'compens8-Import'!$M$4:$M$1002,$B7,'compens8-Import'!$E$4:$E$1002,BM$1)</f>
        <v>7043</v>
      </c>
      <c r="BN7" s="8">
        <f>SUMIFS('compens8-Import'!$H$4:$H$1002,'compens8-Import'!$M$4:$M$1002,$B7,'compens8-Import'!$E$4:$E$1002,BN$1)</f>
        <v>36352</v>
      </c>
      <c r="BO7" s="8">
        <f>SUMIFS('compens8-Import'!$H$4:$H$1002,'compens8-Import'!$M$4:$M$1002,$B7,'compens8-Import'!$E$4:$E$1002,BO$1)</f>
        <v>0</v>
      </c>
      <c r="BP7" s="8">
        <f>SUMIFS('compens8-Import'!$H$4:$H$1002,'compens8-Import'!$M$4:$M$1002,$B7,'compens8-Import'!$E$4:$E$1002,BP$1)</f>
        <v>0</v>
      </c>
      <c r="BQ7" s="8">
        <f>SUMIFS('compens8-Import'!$H$4:$H$1002,'compens8-Import'!$M$4:$M$1002,$B7,'compens8-Import'!$E$4:$E$1002,BQ$1)</f>
        <v>0</v>
      </c>
      <c r="BR7" s="8">
        <f>SUMIFS('compens8-Import'!$H$4:$H$1002,'compens8-Import'!$M$4:$M$1002,$B7,'compens8-Import'!$E$4:$E$1002,BR$1)</f>
        <v>0</v>
      </c>
      <c r="BS7" s="8">
        <f>SUMIFS('compens8-Import'!$H$4:$H$1002,'compens8-Import'!$M$4:$M$1002,$B7,'compens8-Import'!$E$4:$E$1002,BS$1)</f>
        <v>28437</v>
      </c>
      <c r="BT7" s="8">
        <f>SUMIFS('compens8-Import'!$H$4:$H$1002,'compens8-Import'!$M$4:$M$1002,$B7,'compens8-Import'!$E$4:$E$1002,BT$1)</f>
        <v>9366</v>
      </c>
      <c r="BU7" s="8">
        <f>SUMIFS('compens8-Import'!$H$4:$H$1002,'compens8-Import'!$M$4:$M$1002,$B7,'compens8-Import'!$E$4:$E$1002,BU$1)</f>
        <v>0</v>
      </c>
      <c r="BV7" s="8">
        <f>SUMIFS('compens8-Import'!$H$4:$H$1002,'compens8-Import'!$M$4:$M$1002,$B7,'compens8-Import'!$E$4:$E$1002,BV$1)</f>
        <v>0</v>
      </c>
      <c r="BW7" s="8">
        <f>SUMIFS('compens8-Import'!$H$4:$H$1002,'compens8-Import'!$M$4:$M$1002,$B7,'compens8-Import'!$E$4:$E$1002,BW$1)</f>
        <v>0</v>
      </c>
      <c r="BX7" s="8">
        <f>SUMIFS('compens8-Import'!$H$4:$H$1002,'compens8-Import'!$M$4:$M$1002,$B7,'compens8-Import'!$E$4:$E$1002,BX$1)</f>
        <v>149</v>
      </c>
      <c r="BY7" s="8">
        <f>SUMIFS('compens8-Import'!$H$4:$H$1002,'compens8-Import'!$M$4:$M$1002,$B7,'compens8-Import'!$E$4:$E$1002,BY$1)</f>
        <v>0</v>
      </c>
      <c r="BZ7" s="8">
        <f>SUMIFS('compens8-Import'!$H$4:$H$1002,'compens8-Import'!$M$4:$M$1002,$B7,'compens8-Import'!$E$4:$E$1002,BZ$1)</f>
        <v>0</v>
      </c>
      <c r="CA7" s="8">
        <f>SUMIFS('compens8-Import'!$H$4:$H$1002,'compens8-Import'!$M$4:$M$1002,$B7,'compens8-Import'!$E$4:$E$1002,CA$1)</f>
        <v>187</v>
      </c>
      <c r="CB7" s="8">
        <f>SUMIFS('compens8-Import'!$H$4:$H$1002,'compens8-Import'!$M$4:$M$1002,$B7,'compens8-Import'!$E$4:$E$1002,CB$1)</f>
        <v>0</v>
      </c>
      <c r="CC7" s="8">
        <f>SUMIFS('compens8-Import'!$H$4:$H$1002,'compens8-Import'!$M$4:$M$1002,$B7,'compens8-Import'!$E$4:$E$1002,CC$1)</f>
        <v>0</v>
      </c>
      <c r="CD7" s="8">
        <f>SUMIFS('compens8-Import'!$H$4:$H$1002,'compens8-Import'!$M$4:$M$1002,$B7,'compens8-Import'!$E$4:$E$1002,CD$1)</f>
        <v>16875</v>
      </c>
      <c r="CE7" s="8">
        <f>SUMIFS('compens8-Import'!$H$4:$H$1002,'compens8-Import'!$M$4:$M$1002,$B7,'compens8-Import'!$E$4:$E$1002,CE$1)</f>
        <v>79</v>
      </c>
      <c r="CF7" s="8">
        <f>SUMIFS('compens8-Import'!$H$4:$H$1002,'compens8-Import'!$M$4:$M$1002,$B7,'compens8-Import'!$E$4:$E$1002,CF$1)</f>
        <v>197</v>
      </c>
      <c r="CG7" s="8">
        <f>SUMIFS('compens8-Import'!$H$4:$H$1002,'compens8-Import'!$M$4:$M$1002,$B7,'compens8-Import'!$E$4:$E$1002,CG$1)</f>
        <v>0</v>
      </c>
      <c r="CH7" s="8">
        <f>SUMIFS('compens8-Import'!$H$4:$H$1002,'compens8-Import'!$M$4:$M$1002,$B7,'compens8-Import'!$E$4:$E$1002,CH$1)</f>
        <v>27209</v>
      </c>
      <c r="CI7" s="8">
        <f>SUMIFS('compens8-Import'!$H$4:$H$1002,'compens8-Import'!$M$4:$M$1002,$B7,'compens8-Import'!$E$4:$E$1002,CI$1)</f>
        <v>2389</v>
      </c>
      <c r="CJ7" s="8">
        <f>SUMIFS('compens8-Import'!$H$4:$H$1002,'compens8-Import'!$M$4:$M$1002,$B7,'compens8-Import'!$E$4:$E$1002,CJ$1)</f>
        <v>0</v>
      </c>
      <c r="CK7" s="8">
        <f>SUMIFS('compens8-Import'!$H$4:$H$1002,'compens8-Import'!$M$4:$M$1002,$B7,'compens8-Import'!$E$4:$E$1002,CK$1)</f>
        <v>0</v>
      </c>
      <c r="CL7" s="8">
        <f>SUMIFS('compens8-Import'!$H$4:$H$1002,'compens8-Import'!$M$4:$M$1002,$B7,'compens8-Import'!$E$4:$E$1002,CL$1)</f>
        <v>0</v>
      </c>
      <c r="CM7" s="8">
        <f>SUMIFS('compens8-Import'!$H$4:$H$1002,'compens8-Import'!$M$4:$M$1002,$B7,'compens8-Import'!$E$4:$E$1002,CM$1)</f>
        <v>0</v>
      </c>
      <c r="CN7" s="8">
        <f>SUMIFS('compens8-Import'!$H$4:$H$1002,'compens8-Import'!$M$4:$M$1002,$B7,'compens8-Import'!$E$4:$E$1002,CN$1)</f>
        <v>0</v>
      </c>
    </row>
    <row r="8" spans="1:92" x14ac:dyDescent="0.25">
      <c r="A8" s="2" t="s">
        <v>18</v>
      </c>
      <c r="B8" s="2" t="str">
        <f>_xlfn.XLOOKUP(A8,'Correspondances pays'!$A$4:$A$200,'Correspondances pays'!$B$4:$B$200)</f>
        <v>China</v>
      </c>
      <c r="C8" s="44">
        <f>AutoConsommation!F7</f>
        <v>1822428</v>
      </c>
      <c r="D8" s="8">
        <f t="shared" si="0"/>
        <v>1822428</v>
      </c>
      <c r="E8" s="8">
        <f>SUMIFS('compens8-Import'!$H$4:$H$1002,'compens8-Import'!$M$4:$M$1002,$B8,'compens8-Import'!$E$4:$E$1002,E$1)</f>
        <v>0</v>
      </c>
      <c r="F8" s="8">
        <f>SUMIFS('compens8-Import'!$H$4:$H$1002,'compens8-Import'!$M$4:$M$1002,$B8,'compens8-Import'!$E$4:$E$1002,F$1)</f>
        <v>10112</v>
      </c>
      <c r="G8" s="8">
        <f>SUMIFS('compens8-Import'!$H$4:$H$1002,'compens8-Import'!$M$4:$M$1002,$B8,'compens8-Import'!$E$4:$E$1002,G$1)</f>
        <v>0</v>
      </c>
      <c r="H8" s="8">
        <f>SUMIFS('compens8-Import'!$H$4:$H$1002,'compens8-Import'!$M$4:$M$1002,$B8,'compens8-Import'!$E$4:$E$1002,H$1)</f>
        <v>0</v>
      </c>
      <c r="I8" s="8">
        <f>SUMIFS('compens8-Import'!$H$4:$H$1002,'compens8-Import'!$M$4:$M$1002,$B8,'compens8-Import'!$E$4:$E$1002,I$1)</f>
        <v>28233</v>
      </c>
      <c r="J8" s="8">
        <f>SUMIFS('compens8-Import'!$H$4:$H$1002,'compens8-Import'!$M$4:$M$1002,$B8,'compens8-Import'!$E$4:$E$1002,J$1)</f>
        <v>0</v>
      </c>
      <c r="K8" s="8">
        <f>SUMIFS('compens8-Import'!$H$4:$H$1002,'compens8-Import'!$M$4:$M$1002,$B8,'compens8-Import'!$E$4:$E$1002,K$1)</f>
        <v>0</v>
      </c>
      <c r="L8" s="8">
        <f>SUMIFS('compens8-Import'!$H$4:$H$1002,'compens8-Import'!$M$4:$M$1002,$B8,'compens8-Import'!$E$4:$E$1002,L$1)</f>
        <v>22929</v>
      </c>
      <c r="M8" s="8">
        <f>SUMIFS('compens8-Import'!$H$4:$H$1002,'compens8-Import'!$M$4:$M$1002,$B8,'compens8-Import'!$E$4:$E$1002,M$1)</f>
        <v>12542</v>
      </c>
      <c r="N8" s="8">
        <f>SUMIFS('compens8-Import'!$H$4:$H$1002,'compens8-Import'!$M$4:$M$1002,$B8,'compens8-Import'!$E$4:$E$1002,N$1)</f>
        <v>0</v>
      </c>
      <c r="O8" s="8">
        <f>SUMIFS('compens8-Import'!$H$4:$H$1002,'compens8-Import'!$M$4:$M$1002,$B8,'compens8-Import'!$E$4:$E$1002,O$1)</f>
        <v>0</v>
      </c>
      <c r="P8" s="8">
        <f>SUMIFS('compens8-Import'!$H$4:$H$1002,'compens8-Import'!$M$4:$M$1002,$B8,'compens8-Import'!$E$4:$E$1002,P$1)</f>
        <v>0</v>
      </c>
      <c r="Q8" s="8">
        <f>SUMIFS('compens8-Import'!$H$4:$H$1002,'compens8-Import'!$M$4:$M$1002,$B8,'compens8-Import'!$E$4:$E$1002,Q$1)</f>
        <v>0</v>
      </c>
      <c r="R8" s="8">
        <f>SUMIFS('compens8-Import'!$H$4:$H$1002,'compens8-Import'!$M$4:$M$1002,$B8,'compens8-Import'!$E$4:$E$1002,R$1)</f>
        <v>0</v>
      </c>
      <c r="S8" s="8">
        <f>SUMIFS('compens8-Import'!$H$4:$H$1002,'compens8-Import'!$M$4:$M$1002,$B8,'compens8-Import'!$E$4:$E$1002,S$1)</f>
        <v>11354</v>
      </c>
      <c r="T8" s="8">
        <f>SUMIFS('compens8-Import'!$H$4:$H$1002,'compens8-Import'!$M$4:$M$1002,$B8,'compens8-Import'!$E$4:$E$1002,T$1)</f>
        <v>0</v>
      </c>
      <c r="U8" s="8">
        <f>SUMIFS('compens8-Import'!$H$4:$H$1002,'compens8-Import'!$M$4:$M$1002,$B8,'compens8-Import'!$E$4:$E$1002,U$1)</f>
        <v>0</v>
      </c>
      <c r="V8" s="8">
        <f>SUMIFS('compens8-Import'!$H$4:$H$1002,'compens8-Import'!$M$4:$M$1002,$B8,'compens8-Import'!$E$4:$E$1002,V$1)</f>
        <v>0</v>
      </c>
      <c r="W8" s="8">
        <f>SUMIFS('compens8-Import'!$H$4:$H$1002,'compens8-Import'!$M$4:$M$1002,$B8,'compens8-Import'!$E$4:$E$1002,W$1)</f>
        <v>0</v>
      </c>
      <c r="X8" s="8">
        <f>SUMIFS('compens8-Import'!$H$4:$H$1002,'compens8-Import'!$M$4:$M$1002,$B8,'compens8-Import'!$E$4:$E$1002,X$1)</f>
        <v>0</v>
      </c>
      <c r="Y8" s="8">
        <f>SUMIFS('compens8-Import'!$H$4:$H$1002,'compens8-Import'!$M$4:$M$1002,$B8,'compens8-Import'!$E$4:$E$1002,Y$1)</f>
        <v>0</v>
      </c>
      <c r="Z8" s="8">
        <f>SUMIFS('compens8-Import'!$H$4:$H$1002,'compens8-Import'!$M$4:$M$1002,$B8,'compens8-Import'!$E$4:$E$1002,Z$1)</f>
        <v>0</v>
      </c>
      <c r="AA8" s="8">
        <f>SUMIFS('compens8-Import'!$H$4:$H$1002,'compens8-Import'!$M$4:$M$1002,$B8,'compens8-Import'!$E$4:$E$1002,AA$1)</f>
        <v>0</v>
      </c>
      <c r="AB8" s="8">
        <f>SUMIFS('compens8-Import'!$H$4:$H$1002,'compens8-Import'!$M$4:$M$1002,$B8,'compens8-Import'!$E$4:$E$1002,AB$1)</f>
        <v>0</v>
      </c>
      <c r="AC8" s="8">
        <f>SUMIFS('compens8-Import'!$H$4:$H$1002,'compens8-Import'!$M$4:$M$1002,$B8,'compens8-Import'!$E$4:$E$1002,AC$1)</f>
        <v>0</v>
      </c>
      <c r="AD8" s="8">
        <f>SUMIFS('compens8-Import'!$H$4:$H$1002,'compens8-Import'!$M$4:$M$1002,$B8,'compens8-Import'!$E$4:$E$1002,AD$1)</f>
        <v>0</v>
      </c>
      <c r="AE8" s="8">
        <f>SUMIFS('compens8-Import'!$H$4:$H$1002,'compens8-Import'!$M$4:$M$1002,$B8,'compens8-Import'!$E$4:$E$1002,AE$1)</f>
        <v>0</v>
      </c>
      <c r="AF8" s="8">
        <f>SUMIFS('compens8-Import'!$H$4:$H$1002,'compens8-Import'!$M$4:$M$1002,$B8,'compens8-Import'!$E$4:$E$1002,AF$1)</f>
        <v>0</v>
      </c>
      <c r="AG8" s="8">
        <f>SUMIFS('compens8-Import'!$H$4:$H$1002,'compens8-Import'!$M$4:$M$1002,$B8,'compens8-Import'!$E$4:$E$1002,AG$1)</f>
        <v>0</v>
      </c>
      <c r="AH8" s="8">
        <f>SUMIFS('compens8-Import'!$H$4:$H$1002,'compens8-Import'!$M$4:$M$1002,$B8,'compens8-Import'!$E$4:$E$1002,AH$1)</f>
        <v>28668</v>
      </c>
      <c r="AI8" s="8">
        <f>SUMIFS('compens8-Import'!$H$4:$H$1002,'compens8-Import'!$M$4:$M$1002,$B8,'compens8-Import'!$E$4:$E$1002,AI$1)</f>
        <v>0</v>
      </c>
      <c r="AJ8" s="8">
        <f>SUMIFS('compens8-Import'!$H$4:$H$1002,'compens8-Import'!$M$4:$M$1002,$B8,'compens8-Import'!$E$4:$E$1002,AJ$1)</f>
        <v>0</v>
      </c>
      <c r="AK8" s="8">
        <f>SUMIFS('compens8-Import'!$H$4:$H$1002,'compens8-Import'!$M$4:$M$1002,$B8,'compens8-Import'!$E$4:$E$1002,AK$1)</f>
        <v>151390</v>
      </c>
      <c r="AL8" s="8">
        <f>SUMIFS('compens8-Import'!$H$4:$H$1002,'compens8-Import'!$M$4:$M$1002,$B8,'compens8-Import'!$E$4:$E$1002,AL$1)</f>
        <v>34788</v>
      </c>
      <c r="AM8" s="8">
        <f>SUMIFS('compens8-Import'!$H$4:$H$1002,'compens8-Import'!$M$4:$M$1002,$B8,'compens8-Import'!$E$4:$E$1002,AM$1)</f>
        <v>57828</v>
      </c>
      <c r="AN8" s="8">
        <f>SUMIFS('compens8-Import'!$H$4:$H$1002,'compens8-Import'!$M$4:$M$1002,$B8,'compens8-Import'!$E$4:$E$1002,AN$1)</f>
        <v>0</v>
      </c>
      <c r="AO8" s="8">
        <f>SUMIFS('compens8-Import'!$H$4:$H$1002,'compens8-Import'!$M$4:$M$1002,$B8,'compens8-Import'!$E$4:$E$1002,AO$1)</f>
        <v>0</v>
      </c>
      <c r="AP8" s="8">
        <f>SUMIFS('compens8-Import'!$H$4:$H$1002,'compens8-Import'!$M$4:$M$1002,$B8,'compens8-Import'!$E$4:$E$1002,AP$1)</f>
        <v>12233</v>
      </c>
      <c r="AQ8" s="8">
        <f>SUMIFS('compens8-Import'!$H$4:$H$1002,'compens8-Import'!$M$4:$M$1002,$B8,'compens8-Import'!$E$4:$E$1002,AQ$1)</f>
        <v>6051</v>
      </c>
      <c r="AR8" s="8">
        <f>SUMIFS('compens8-Import'!$H$4:$H$1002,'compens8-Import'!$M$4:$M$1002,$B8,'compens8-Import'!$E$4:$E$1002,AR$1)</f>
        <v>0</v>
      </c>
      <c r="AS8" s="8">
        <f>SUMIFS('compens8-Import'!$H$4:$H$1002,'compens8-Import'!$M$4:$M$1002,$B8,'compens8-Import'!$E$4:$E$1002,AS$1)</f>
        <v>122627</v>
      </c>
      <c r="AT8" s="8">
        <f>SUMIFS('compens8-Import'!$H$4:$H$1002,'compens8-Import'!$M$4:$M$1002,$B8,'compens8-Import'!$E$4:$E$1002,AT$1)</f>
        <v>0</v>
      </c>
      <c r="AU8" s="8">
        <f>SUMIFS('compens8-Import'!$H$4:$H$1002,'compens8-Import'!$M$4:$M$1002,$B8,'compens8-Import'!$E$4:$E$1002,AU$1)</f>
        <v>0</v>
      </c>
      <c r="AV8" s="8">
        <f>SUMIFS('compens8-Import'!$H$4:$H$1002,'compens8-Import'!$M$4:$M$1002,$B8,'compens8-Import'!$E$4:$E$1002,AV$1)</f>
        <v>0</v>
      </c>
      <c r="AW8" s="8">
        <f>SUMIFS('compens8-Import'!$H$4:$H$1002,'compens8-Import'!$M$4:$M$1002,$B8,'compens8-Import'!$E$4:$E$1002,AW$1)</f>
        <v>409109</v>
      </c>
      <c r="AX8" s="8">
        <f>SUMIFS('compens8-Import'!$H$4:$H$1002,'compens8-Import'!$M$4:$M$1002,$B8,'compens8-Import'!$E$4:$E$1002,AX$1)</f>
        <v>0</v>
      </c>
      <c r="AY8" s="8">
        <f>SUMIFS('compens8-Import'!$H$4:$H$1002,'compens8-Import'!$M$4:$M$1002,$B8,'compens8-Import'!$E$4:$E$1002,AY$1)</f>
        <v>0</v>
      </c>
      <c r="AZ8" s="8">
        <f>SUMIFS('compens8-Import'!$H$4:$H$1002,'compens8-Import'!$M$4:$M$1002,$B8,'compens8-Import'!$E$4:$E$1002,AZ$1)</f>
        <v>0</v>
      </c>
      <c r="BA8" s="8">
        <f>SUMIFS('compens8-Import'!$H$4:$H$1002,'compens8-Import'!$M$4:$M$1002,$B8,'compens8-Import'!$E$4:$E$1002,BA$1)</f>
        <v>0</v>
      </c>
      <c r="BB8" s="8">
        <f>SUMIFS('compens8-Import'!$H$4:$H$1002,'compens8-Import'!$M$4:$M$1002,$B8,'compens8-Import'!$E$4:$E$1002,BB$1)</f>
        <v>20498</v>
      </c>
      <c r="BC8" s="8">
        <f>SUMIFS('compens8-Import'!$H$4:$H$1002,'compens8-Import'!$M$4:$M$1002,$B8,'compens8-Import'!$E$4:$E$1002,BC$1)</f>
        <v>0</v>
      </c>
      <c r="BD8" s="8">
        <f>SUMIFS('compens8-Import'!$H$4:$H$1002,'compens8-Import'!$M$4:$M$1002,$B8,'compens8-Import'!$E$4:$E$1002,BD$1)</f>
        <v>0</v>
      </c>
      <c r="BE8" s="8">
        <f>SUMIFS('compens8-Import'!$H$4:$H$1002,'compens8-Import'!$M$4:$M$1002,$B8,'compens8-Import'!$E$4:$E$1002,BE$1)</f>
        <v>35283</v>
      </c>
      <c r="BF8" s="8">
        <f>SUMIFS('compens8-Import'!$H$4:$H$1002,'compens8-Import'!$M$4:$M$1002,$B8,'compens8-Import'!$E$4:$E$1002,BF$1)</f>
        <v>0</v>
      </c>
      <c r="BG8" s="8">
        <f>SUMIFS('compens8-Import'!$H$4:$H$1002,'compens8-Import'!$M$4:$M$1002,$B8,'compens8-Import'!$E$4:$E$1002,BG$1)</f>
        <v>8005</v>
      </c>
      <c r="BH8" s="8">
        <f>SUMIFS('compens8-Import'!$H$4:$H$1002,'compens8-Import'!$M$4:$M$1002,$B8,'compens8-Import'!$E$4:$E$1002,BH$1)</f>
        <v>36433</v>
      </c>
      <c r="BI8" s="8">
        <f>SUMIFS('compens8-Import'!$H$4:$H$1002,'compens8-Import'!$M$4:$M$1002,$B8,'compens8-Import'!$E$4:$E$1002,BI$1)</f>
        <v>0</v>
      </c>
      <c r="BJ8" s="8">
        <f>SUMIFS('compens8-Import'!$H$4:$H$1002,'compens8-Import'!$M$4:$M$1002,$B8,'compens8-Import'!$E$4:$E$1002,BJ$1)</f>
        <v>0</v>
      </c>
      <c r="BK8" s="8">
        <f>SUMIFS('compens8-Import'!$H$4:$H$1002,'compens8-Import'!$M$4:$M$1002,$B8,'compens8-Import'!$E$4:$E$1002,BK$1)</f>
        <v>0</v>
      </c>
      <c r="BL8" s="8">
        <f>SUMIFS('compens8-Import'!$H$4:$H$1002,'compens8-Import'!$M$4:$M$1002,$B8,'compens8-Import'!$E$4:$E$1002,BL$1)</f>
        <v>0</v>
      </c>
      <c r="BM8" s="8">
        <f>SUMIFS('compens8-Import'!$H$4:$H$1002,'compens8-Import'!$M$4:$M$1002,$B8,'compens8-Import'!$E$4:$E$1002,BM$1)</f>
        <v>519178</v>
      </c>
      <c r="BN8" s="8">
        <f>SUMIFS('compens8-Import'!$H$4:$H$1002,'compens8-Import'!$M$4:$M$1002,$B8,'compens8-Import'!$E$4:$E$1002,BN$1)</f>
        <v>0</v>
      </c>
      <c r="BO8" s="8">
        <f>SUMIFS('compens8-Import'!$H$4:$H$1002,'compens8-Import'!$M$4:$M$1002,$B8,'compens8-Import'!$E$4:$E$1002,BO$1)</f>
        <v>0</v>
      </c>
      <c r="BP8" s="8">
        <f>SUMIFS('compens8-Import'!$H$4:$H$1002,'compens8-Import'!$M$4:$M$1002,$B8,'compens8-Import'!$E$4:$E$1002,BP$1)</f>
        <v>0</v>
      </c>
      <c r="BQ8" s="8">
        <f>SUMIFS('compens8-Import'!$H$4:$H$1002,'compens8-Import'!$M$4:$M$1002,$B8,'compens8-Import'!$E$4:$E$1002,BQ$1)</f>
        <v>0</v>
      </c>
      <c r="BR8" s="8">
        <f>SUMIFS('compens8-Import'!$H$4:$H$1002,'compens8-Import'!$M$4:$M$1002,$B8,'compens8-Import'!$E$4:$E$1002,BR$1)</f>
        <v>0</v>
      </c>
      <c r="BS8" s="8">
        <f>SUMIFS('compens8-Import'!$H$4:$H$1002,'compens8-Import'!$M$4:$M$1002,$B8,'compens8-Import'!$E$4:$E$1002,BS$1)</f>
        <v>15289</v>
      </c>
      <c r="BT8" s="8">
        <f>SUMIFS('compens8-Import'!$H$4:$H$1002,'compens8-Import'!$M$4:$M$1002,$B8,'compens8-Import'!$E$4:$E$1002,BT$1)</f>
        <v>0</v>
      </c>
      <c r="BU8" s="8">
        <f>SUMIFS('compens8-Import'!$H$4:$H$1002,'compens8-Import'!$M$4:$M$1002,$B8,'compens8-Import'!$E$4:$E$1002,BU$1)</f>
        <v>0</v>
      </c>
      <c r="BV8" s="8">
        <f>SUMIFS('compens8-Import'!$H$4:$H$1002,'compens8-Import'!$M$4:$M$1002,$B8,'compens8-Import'!$E$4:$E$1002,BV$1)</f>
        <v>0</v>
      </c>
      <c r="BW8" s="8">
        <f>SUMIFS('compens8-Import'!$H$4:$H$1002,'compens8-Import'!$M$4:$M$1002,$B8,'compens8-Import'!$E$4:$E$1002,BW$1)</f>
        <v>0</v>
      </c>
      <c r="BX8" s="8">
        <f>SUMIFS('compens8-Import'!$H$4:$H$1002,'compens8-Import'!$M$4:$M$1002,$B8,'compens8-Import'!$E$4:$E$1002,BX$1)</f>
        <v>19207</v>
      </c>
      <c r="BY8" s="8">
        <f>SUMIFS('compens8-Import'!$H$4:$H$1002,'compens8-Import'!$M$4:$M$1002,$B8,'compens8-Import'!$E$4:$E$1002,BY$1)</f>
        <v>0</v>
      </c>
      <c r="BZ8" s="8">
        <f>SUMIFS('compens8-Import'!$H$4:$H$1002,'compens8-Import'!$M$4:$M$1002,$B8,'compens8-Import'!$E$4:$E$1002,BZ$1)</f>
        <v>108633</v>
      </c>
      <c r="CA8" s="8">
        <f>SUMIFS('compens8-Import'!$H$4:$H$1002,'compens8-Import'!$M$4:$M$1002,$B8,'compens8-Import'!$E$4:$E$1002,CA$1)</f>
        <v>0</v>
      </c>
      <c r="CB8" s="8">
        <f>SUMIFS('compens8-Import'!$H$4:$H$1002,'compens8-Import'!$M$4:$M$1002,$B8,'compens8-Import'!$E$4:$E$1002,CB$1)</f>
        <v>0</v>
      </c>
      <c r="CC8" s="8">
        <f>SUMIFS('compens8-Import'!$H$4:$H$1002,'compens8-Import'!$M$4:$M$1002,$B8,'compens8-Import'!$E$4:$E$1002,CC$1)</f>
        <v>0</v>
      </c>
      <c r="CD8" s="8">
        <f>SUMIFS('compens8-Import'!$H$4:$H$1002,'compens8-Import'!$M$4:$M$1002,$B8,'compens8-Import'!$E$4:$E$1002,CD$1)</f>
        <v>40543</v>
      </c>
      <c r="CE8" s="8">
        <f>SUMIFS('compens8-Import'!$H$4:$H$1002,'compens8-Import'!$M$4:$M$1002,$B8,'compens8-Import'!$E$4:$E$1002,CE$1)</f>
        <v>0</v>
      </c>
      <c r="CF8" s="8">
        <f>SUMIFS('compens8-Import'!$H$4:$H$1002,'compens8-Import'!$M$4:$M$1002,$B8,'compens8-Import'!$E$4:$E$1002,CF$1)</f>
        <v>0</v>
      </c>
      <c r="CG8" s="8">
        <f>SUMIFS('compens8-Import'!$H$4:$H$1002,'compens8-Import'!$M$4:$M$1002,$B8,'compens8-Import'!$E$4:$E$1002,CG$1)</f>
        <v>0</v>
      </c>
      <c r="CH8" s="8">
        <f>SUMIFS('compens8-Import'!$H$4:$H$1002,'compens8-Import'!$M$4:$M$1002,$B8,'compens8-Import'!$E$4:$E$1002,CH$1)</f>
        <v>14450</v>
      </c>
      <c r="CI8" s="8">
        <f>SUMIFS('compens8-Import'!$H$4:$H$1002,'compens8-Import'!$M$4:$M$1002,$B8,'compens8-Import'!$E$4:$E$1002,CI$1)</f>
        <v>97045</v>
      </c>
      <c r="CJ8" s="8">
        <f>SUMIFS('compens8-Import'!$H$4:$H$1002,'compens8-Import'!$M$4:$M$1002,$B8,'compens8-Import'!$E$4:$E$1002,CJ$1)</f>
        <v>0</v>
      </c>
      <c r="CK8" s="8">
        <f>SUMIFS('compens8-Import'!$H$4:$H$1002,'compens8-Import'!$M$4:$M$1002,$B8,'compens8-Import'!$E$4:$E$1002,CK$1)</f>
        <v>0</v>
      </c>
      <c r="CL8" s="8">
        <f>SUMIFS('compens8-Import'!$H$4:$H$1002,'compens8-Import'!$M$4:$M$1002,$B8,'compens8-Import'!$E$4:$E$1002,CL$1)</f>
        <v>0</v>
      </c>
      <c r="CM8" s="8">
        <f>SUMIFS('compens8-Import'!$H$4:$H$1002,'compens8-Import'!$M$4:$M$1002,$B8,'compens8-Import'!$E$4:$E$1002,CM$1)</f>
        <v>0</v>
      </c>
      <c r="CN8" s="8">
        <f>SUMIFS('compens8-Import'!$H$4:$H$1002,'compens8-Import'!$M$4:$M$1002,$B8,'compens8-Import'!$E$4:$E$1002,CN$1)</f>
        <v>0</v>
      </c>
    </row>
    <row r="9" spans="1:92" x14ac:dyDescent="0.25">
      <c r="A9" s="2" t="s">
        <v>271</v>
      </c>
      <c r="B9" s="2" t="str">
        <f>_xlfn.XLOOKUP(A9,'Correspondances pays'!$A$4:$A$200,'Correspondances pays'!$B$4:$B$200)</f>
        <v>Korea  Republic of</v>
      </c>
      <c r="C9" s="44">
        <f>AutoConsommation!F8</f>
        <v>1519052</v>
      </c>
      <c r="D9" s="8">
        <f t="shared" si="0"/>
        <v>1519052</v>
      </c>
      <c r="E9" s="8">
        <f>SUMIFS('compens8-Import'!$H$4:$H$1002,'compens8-Import'!$M$4:$M$1002,$B9,'compens8-Import'!$E$4:$E$1002,E$1)</f>
        <v>0</v>
      </c>
      <c r="F9" s="8">
        <f>SUMIFS('compens8-Import'!$H$4:$H$1002,'compens8-Import'!$M$4:$M$1002,$B9,'compens8-Import'!$E$4:$E$1002,F$1)</f>
        <v>0</v>
      </c>
      <c r="G9" s="8">
        <f>SUMIFS('compens8-Import'!$H$4:$H$1002,'compens8-Import'!$M$4:$M$1002,$B9,'compens8-Import'!$E$4:$E$1002,G$1)</f>
        <v>0</v>
      </c>
      <c r="H9" s="8">
        <f>SUMIFS('compens8-Import'!$H$4:$H$1002,'compens8-Import'!$M$4:$M$1002,$B9,'compens8-Import'!$E$4:$E$1002,H$1)</f>
        <v>0</v>
      </c>
      <c r="I9" s="8">
        <f>SUMIFS('compens8-Import'!$H$4:$H$1002,'compens8-Import'!$M$4:$M$1002,$B9,'compens8-Import'!$E$4:$E$1002,I$1)</f>
        <v>235233</v>
      </c>
      <c r="J9" s="8">
        <f>SUMIFS('compens8-Import'!$H$4:$H$1002,'compens8-Import'!$M$4:$M$1002,$B9,'compens8-Import'!$E$4:$E$1002,J$1)</f>
        <v>0</v>
      </c>
      <c r="K9" s="8">
        <f>SUMIFS('compens8-Import'!$H$4:$H$1002,'compens8-Import'!$M$4:$M$1002,$B9,'compens8-Import'!$E$4:$E$1002,K$1)</f>
        <v>0</v>
      </c>
      <c r="L9" s="8">
        <f>SUMIFS('compens8-Import'!$H$4:$H$1002,'compens8-Import'!$M$4:$M$1002,$B9,'compens8-Import'!$E$4:$E$1002,L$1)</f>
        <v>69674</v>
      </c>
      <c r="M9" s="8">
        <f>SUMIFS('compens8-Import'!$H$4:$H$1002,'compens8-Import'!$M$4:$M$1002,$B9,'compens8-Import'!$E$4:$E$1002,M$1)</f>
        <v>0</v>
      </c>
      <c r="N9" s="8">
        <f>SUMIFS('compens8-Import'!$H$4:$H$1002,'compens8-Import'!$M$4:$M$1002,$B9,'compens8-Import'!$E$4:$E$1002,N$1)</f>
        <v>0</v>
      </c>
      <c r="O9" s="8">
        <f>SUMIFS('compens8-Import'!$H$4:$H$1002,'compens8-Import'!$M$4:$M$1002,$B9,'compens8-Import'!$E$4:$E$1002,O$1)</f>
        <v>0</v>
      </c>
      <c r="P9" s="8">
        <f>SUMIFS('compens8-Import'!$H$4:$H$1002,'compens8-Import'!$M$4:$M$1002,$B9,'compens8-Import'!$E$4:$E$1002,P$1)</f>
        <v>0</v>
      </c>
      <c r="Q9" s="8">
        <f>SUMIFS('compens8-Import'!$H$4:$H$1002,'compens8-Import'!$M$4:$M$1002,$B9,'compens8-Import'!$E$4:$E$1002,Q$1)</f>
        <v>0</v>
      </c>
      <c r="R9" s="8">
        <f>SUMIFS('compens8-Import'!$H$4:$H$1002,'compens8-Import'!$M$4:$M$1002,$B9,'compens8-Import'!$E$4:$E$1002,R$1)</f>
        <v>0</v>
      </c>
      <c r="S9" s="8">
        <f>SUMIFS('compens8-Import'!$H$4:$H$1002,'compens8-Import'!$M$4:$M$1002,$B9,'compens8-Import'!$E$4:$E$1002,S$1)</f>
        <v>0</v>
      </c>
      <c r="T9" s="8">
        <f>SUMIFS('compens8-Import'!$H$4:$H$1002,'compens8-Import'!$M$4:$M$1002,$B9,'compens8-Import'!$E$4:$E$1002,T$1)</f>
        <v>0</v>
      </c>
      <c r="U9" s="8">
        <f>SUMIFS('compens8-Import'!$H$4:$H$1002,'compens8-Import'!$M$4:$M$1002,$B9,'compens8-Import'!$E$4:$E$1002,U$1)</f>
        <v>0</v>
      </c>
      <c r="V9" s="8">
        <f>SUMIFS('compens8-Import'!$H$4:$H$1002,'compens8-Import'!$M$4:$M$1002,$B9,'compens8-Import'!$E$4:$E$1002,V$1)</f>
        <v>27036</v>
      </c>
      <c r="W9" s="8">
        <f>SUMIFS('compens8-Import'!$H$4:$H$1002,'compens8-Import'!$M$4:$M$1002,$B9,'compens8-Import'!$E$4:$E$1002,W$1)</f>
        <v>0</v>
      </c>
      <c r="X9" s="8">
        <f>SUMIFS('compens8-Import'!$H$4:$H$1002,'compens8-Import'!$M$4:$M$1002,$B9,'compens8-Import'!$E$4:$E$1002,X$1)</f>
        <v>0</v>
      </c>
      <c r="Y9" s="8">
        <f>SUMIFS('compens8-Import'!$H$4:$H$1002,'compens8-Import'!$M$4:$M$1002,$B9,'compens8-Import'!$E$4:$E$1002,Y$1)</f>
        <v>0</v>
      </c>
      <c r="Z9" s="8">
        <f>SUMIFS('compens8-Import'!$H$4:$H$1002,'compens8-Import'!$M$4:$M$1002,$B9,'compens8-Import'!$E$4:$E$1002,Z$1)</f>
        <v>0</v>
      </c>
      <c r="AA9" s="8">
        <f>SUMIFS('compens8-Import'!$H$4:$H$1002,'compens8-Import'!$M$4:$M$1002,$B9,'compens8-Import'!$E$4:$E$1002,AA$1)</f>
        <v>0</v>
      </c>
      <c r="AB9" s="8">
        <f>SUMIFS('compens8-Import'!$H$4:$H$1002,'compens8-Import'!$M$4:$M$1002,$B9,'compens8-Import'!$E$4:$E$1002,AB$1)</f>
        <v>0</v>
      </c>
      <c r="AC9" s="8">
        <f>SUMIFS('compens8-Import'!$H$4:$H$1002,'compens8-Import'!$M$4:$M$1002,$B9,'compens8-Import'!$E$4:$E$1002,AC$1)</f>
        <v>0</v>
      </c>
      <c r="AD9" s="8">
        <f>SUMIFS('compens8-Import'!$H$4:$H$1002,'compens8-Import'!$M$4:$M$1002,$B9,'compens8-Import'!$E$4:$E$1002,AD$1)</f>
        <v>0</v>
      </c>
      <c r="AE9" s="8">
        <f>SUMIFS('compens8-Import'!$H$4:$H$1002,'compens8-Import'!$M$4:$M$1002,$B9,'compens8-Import'!$E$4:$E$1002,AE$1)</f>
        <v>8872</v>
      </c>
      <c r="AF9" s="8">
        <f>SUMIFS('compens8-Import'!$H$4:$H$1002,'compens8-Import'!$M$4:$M$1002,$B9,'compens8-Import'!$E$4:$E$1002,AF$1)</f>
        <v>0</v>
      </c>
      <c r="AG9" s="8">
        <f>SUMIFS('compens8-Import'!$H$4:$H$1002,'compens8-Import'!$M$4:$M$1002,$B9,'compens8-Import'!$E$4:$E$1002,AG$1)</f>
        <v>0</v>
      </c>
      <c r="AH9" s="8">
        <f>SUMIFS('compens8-Import'!$H$4:$H$1002,'compens8-Import'!$M$4:$M$1002,$B9,'compens8-Import'!$E$4:$E$1002,AH$1)</f>
        <v>0</v>
      </c>
      <c r="AI9" s="8">
        <f>SUMIFS('compens8-Import'!$H$4:$H$1002,'compens8-Import'!$M$4:$M$1002,$B9,'compens8-Import'!$E$4:$E$1002,AI$1)</f>
        <v>0</v>
      </c>
      <c r="AJ9" s="8">
        <f>SUMIFS('compens8-Import'!$H$4:$H$1002,'compens8-Import'!$M$4:$M$1002,$B9,'compens8-Import'!$E$4:$E$1002,AJ$1)</f>
        <v>0</v>
      </c>
      <c r="AK9" s="8">
        <f>SUMIFS('compens8-Import'!$H$4:$H$1002,'compens8-Import'!$M$4:$M$1002,$B9,'compens8-Import'!$E$4:$E$1002,AK$1)</f>
        <v>539240</v>
      </c>
      <c r="AL9" s="8">
        <f>SUMIFS('compens8-Import'!$H$4:$H$1002,'compens8-Import'!$M$4:$M$1002,$B9,'compens8-Import'!$E$4:$E$1002,AL$1)</f>
        <v>933</v>
      </c>
      <c r="AM9" s="8">
        <f>SUMIFS('compens8-Import'!$H$4:$H$1002,'compens8-Import'!$M$4:$M$1002,$B9,'compens8-Import'!$E$4:$E$1002,AM$1)</f>
        <v>0</v>
      </c>
      <c r="AN9" s="8">
        <f>SUMIFS('compens8-Import'!$H$4:$H$1002,'compens8-Import'!$M$4:$M$1002,$B9,'compens8-Import'!$E$4:$E$1002,AN$1)</f>
        <v>0</v>
      </c>
      <c r="AO9" s="8">
        <f>SUMIFS('compens8-Import'!$H$4:$H$1002,'compens8-Import'!$M$4:$M$1002,$B9,'compens8-Import'!$E$4:$E$1002,AO$1)</f>
        <v>0</v>
      </c>
      <c r="AP9" s="8">
        <f>SUMIFS('compens8-Import'!$H$4:$H$1002,'compens8-Import'!$M$4:$M$1002,$B9,'compens8-Import'!$E$4:$E$1002,AP$1)</f>
        <v>0</v>
      </c>
      <c r="AQ9" s="8">
        <f>SUMIFS('compens8-Import'!$H$4:$H$1002,'compens8-Import'!$M$4:$M$1002,$B9,'compens8-Import'!$E$4:$E$1002,AQ$1)</f>
        <v>6098</v>
      </c>
      <c r="AR9" s="8">
        <f>SUMIFS('compens8-Import'!$H$4:$H$1002,'compens8-Import'!$M$4:$M$1002,$B9,'compens8-Import'!$E$4:$E$1002,AR$1)</f>
        <v>0</v>
      </c>
      <c r="AS9" s="8">
        <f>SUMIFS('compens8-Import'!$H$4:$H$1002,'compens8-Import'!$M$4:$M$1002,$B9,'compens8-Import'!$E$4:$E$1002,AS$1)</f>
        <v>0</v>
      </c>
      <c r="AT9" s="8">
        <f>SUMIFS('compens8-Import'!$H$4:$H$1002,'compens8-Import'!$M$4:$M$1002,$B9,'compens8-Import'!$E$4:$E$1002,AT$1)</f>
        <v>219</v>
      </c>
      <c r="AU9" s="8">
        <f>SUMIFS('compens8-Import'!$H$4:$H$1002,'compens8-Import'!$M$4:$M$1002,$B9,'compens8-Import'!$E$4:$E$1002,AU$1)</f>
        <v>0</v>
      </c>
      <c r="AV9" s="8">
        <f>SUMIFS('compens8-Import'!$H$4:$H$1002,'compens8-Import'!$M$4:$M$1002,$B9,'compens8-Import'!$E$4:$E$1002,AV$1)</f>
        <v>0</v>
      </c>
      <c r="AW9" s="8">
        <f>SUMIFS('compens8-Import'!$H$4:$H$1002,'compens8-Import'!$M$4:$M$1002,$B9,'compens8-Import'!$E$4:$E$1002,AW$1)</f>
        <v>153550</v>
      </c>
      <c r="AX9" s="8">
        <f>SUMIFS('compens8-Import'!$H$4:$H$1002,'compens8-Import'!$M$4:$M$1002,$B9,'compens8-Import'!$E$4:$E$1002,AX$1)</f>
        <v>192</v>
      </c>
      <c r="AY9" s="8">
        <f>SUMIFS('compens8-Import'!$H$4:$H$1002,'compens8-Import'!$M$4:$M$1002,$B9,'compens8-Import'!$E$4:$E$1002,AY$1)</f>
        <v>0</v>
      </c>
      <c r="AZ9" s="8">
        <f>SUMIFS('compens8-Import'!$H$4:$H$1002,'compens8-Import'!$M$4:$M$1002,$B9,'compens8-Import'!$E$4:$E$1002,AZ$1)</f>
        <v>0</v>
      </c>
      <c r="BA9" s="8">
        <f>SUMIFS('compens8-Import'!$H$4:$H$1002,'compens8-Import'!$M$4:$M$1002,$B9,'compens8-Import'!$E$4:$E$1002,BA$1)</f>
        <v>489</v>
      </c>
      <c r="BB9" s="8">
        <f>SUMIFS('compens8-Import'!$H$4:$H$1002,'compens8-Import'!$M$4:$M$1002,$B9,'compens8-Import'!$E$4:$E$1002,BB$1)</f>
        <v>0</v>
      </c>
      <c r="BC9" s="8">
        <f>SUMIFS('compens8-Import'!$H$4:$H$1002,'compens8-Import'!$M$4:$M$1002,$B9,'compens8-Import'!$E$4:$E$1002,BC$1)</f>
        <v>0</v>
      </c>
      <c r="BD9" s="8">
        <f>SUMIFS('compens8-Import'!$H$4:$H$1002,'compens8-Import'!$M$4:$M$1002,$B9,'compens8-Import'!$E$4:$E$1002,BD$1)</f>
        <v>76327</v>
      </c>
      <c r="BE9" s="8">
        <f>SUMIFS('compens8-Import'!$H$4:$H$1002,'compens8-Import'!$M$4:$M$1002,$B9,'compens8-Import'!$E$4:$E$1002,BE$1)</f>
        <v>295</v>
      </c>
      <c r="BF9" s="8">
        <f>SUMIFS('compens8-Import'!$H$4:$H$1002,'compens8-Import'!$M$4:$M$1002,$B9,'compens8-Import'!$E$4:$E$1002,BF$1)</f>
        <v>0</v>
      </c>
      <c r="BG9" s="8">
        <f>SUMIFS('compens8-Import'!$H$4:$H$1002,'compens8-Import'!$M$4:$M$1002,$B9,'compens8-Import'!$E$4:$E$1002,BG$1)</f>
        <v>4571</v>
      </c>
      <c r="BH9" s="8">
        <f>SUMIFS('compens8-Import'!$H$4:$H$1002,'compens8-Import'!$M$4:$M$1002,$B9,'compens8-Import'!$E$4:$E$1002,BH$1)</f>
        <v>0</v>
      </c>
      <c r="BI9" s="8">
        <f>SUMIFS('compens8-Import'!$H$4:$H$1002,'compens8-Import'!$M$4:$M$1002,$B9,'compens8-Import'!$E$4:$E$1002,BI$1)</f>
        <v>0</v>
      </c>
      <c r="BJ9" s="8">
        <f>SUMIFS('compens8-Import'!$H$4:$H$1002,'compens8-Import'!$M$4:$M$1002,$B9,'compens8-Import'!$E$4:$E$1002,BJ$1)</f>
        <v>0</v>
      </c>
      <c r="BK9" s="8">
        <f>SUMIFS('compens8-Import'!$H$4:$H$1002,'compens8-Import'!$M$4:$M$1002,$B9,'compens8-Import'!$E$4:$E$1002,BK$1)</f>
        <v>93746</v>
      </c>
      <c r="BL9" s="8">
        <f>SUMIFS('compens8-Import'!$H$4:$H$1002,'compens8-Import'!$M$4:$M$1002,$B9,'compens8-Import'!$E$4:$E$1002,BL$1)</f>
        <v>0</v>
      </c>
      <c r="BM9" s="8">
        <f>SUMIFS('compens8-Import'!$H$4:$H$1002,'compens8-Import'!$M$4:$M$1002,$B9,'compens8-Import'!$E$4:$E$1002,BM$1)</f>
        <v>140087</v>
      </c>
      <c r="BN9" s="8">
        <f>SUMIFS('compens8-Import'!$H$4:$H$1002,'compens8-Import'!$M$4:$M$1002,$B9,'compens8-Import'!$E$4:$E$1002,BN$1)</f>
        <v>43036</v>
      </c>
      <c r="BO9" s="8">
        <f>SUMIFS('compens8-Import'!$H$4:$H$1002,'compens8-Import'!$M$4:$M$1002,$B9,'compens8-Import'!$E$4:$E$1002,BO$1)</f>
        <v>0</v>
      </c>
      <c r="BP9" s="8">
        <f>SUMIFS('compens8-Import'!$H$4:$H$1002,'compens8-Import'!$M$4:$M$1002,$B9,'compens8-Import'!$E$4:$E$1002,BP$1)</f>
        <v>0</v>
      </c>
      <c r="BQ9" s="8">
        <f>SUMIFS('compens8-Import'!$H$4:$H$1002,'compens8-Import'!$M$4:$M$1002,$B9,'compens8-Import'!$E$4:$E$1002,BQ$1)</f>
        <v>0</v>
      </c>
      <c r="BR9" s="8">
        <f>SUMIFS('compens8-Import'!$H$4:$H$1002,'compens8-Import'!$M$4:$M$1002,$B9,'compens8-Import'!$E$4:$E$1002,BR$1)</f>
        <v>0</v>
      </c>
      <c r="BS9" s="8">
        <f>SUMIFS('compens8-Import'!$H$4:$H$1002,'compens8-Import'!$M$4:$M$1002,$B9,'compens8-Import'!$E$4:$E$1002,BS$1)</f>
        <v>0</v>
      </c>
      <c r="BT9" s="8">
        <f>SUMIFS('compens8-Import'!$H$4:$H$1002,'compens8-Import'!$M$4:$M$1002,$B9,'compens8-Import'!$E$4:$E$1002,BT$1)</f>
        <v>173</v>
      </c>
      <c r="BU9" s="8">
        <f>SUMIFS('compens8-Import'!$H$4:$H$1002,'compens8-Import'!$M$4:$M$1002,$B9,'compens8-Import'!$E$4:$E$1002,BU$1)</f>
        <v>0</v>
      </c>
      <c r="BV9" s="8">
        <f>SUMIFS('compens8-Import'!$H$4:$H$1002,'compens8-Import'!$M$4:$M$1002,$B9,'compens8-Import'!$E$4:$E$1002,BV$1)</f>
        <v>387</v>
      </c>
      <c r="BW9" s="8">
        <f>SUMIFS('compens8-Import'!$H$4:$H$1002,'compens8-Import'!$M$4:$M$1002,$B9,'compens8-Import'!$E$4:$E$1002,BW$1)</f>
        <v>0</v>
      </c>
      <c r="BX9" s="8">
        <f>SUMIFS('compens8-Import'!$H$4:$H$1002,'compens8-Import'!$M$4:$M$1002,$B9,'compens8-Import'!$E$4:$E$1002,BX$1)</f>
        <v>2150</v>
      </c>
      <c r="BY9" s="8">
        <f>SUMIFS('compens8-Import'!$H$4:$H$1002,'compens8-Import'!$M$4:$M$1002,$B9,'compens8-Import'!$E$4:$E$1002,BY$1)</f>
        <v>0</v>
      </c>
      <c r="BZ9" s="8">
        <f>SUMIFS('compens8-Import'!$H$4:$H$1002,'compens8-Import'!$M$4:$M$1002,$B9,'compens8-Import'!$E$4:$E$1002,BZ$1)</f>
        <v>0</v>
      </c>
      <c r="CA9" s="8">
        <f>SUMIFS('compens8-Import'!$H$4:$H$1002,'compens8-Import'!$M$4:$M$1002,$B9,'compens8-Import'!$E$4:$E$1002,CA$1)</f>
        <v>0</v>
      </c>
      <c r="CB9" s="8">
        <f>SUMIFS('compens8-Import'!$H$4:$H$1002,'compens8-Import'!$M$4:$M$1002,$B9,'compens8-Import'!$E$4:$E$1002,CB$1)</f>
        <v>0</v>
      </c>
      <c r="CC9" s="8">
        <f>SUMIFS('compens8-Import'!$H$4:$H$1002,'compens8-Import'!$M$4:$M$1002,$B9,'compens8-Import'!$E$4:$E$1002,CC$1)</f>
        <v>0</v>
      </c>
      <c r="CD9" s="8">
        <f>SUMIFS('compens8-Import'!$H$4:$H$1002,'compens8-Import'!$M$4:$M$1002,$B9,'compens8-Import'!$E$4:$E$1002,CD$1)</f>
        <v>109576</v>
      </c>
      <c r="CE9" s="8">
        <f>SUMIFS('compens8-Import'!$H$4:$H$1002,'compens8-Import'!$M$4:$M$1002,$B9,'compens8-Import'!$E$4:$E$1002,CE$1)</f>
        <v>77</v>
      </c>
      <c r="CF9" s="8">
        <f>SUMIFS('compens8-Import'!$H$4:$H$1002,'compens8-Import'!$M$4:$M$1002,$B9,'compens8-Import'!$E$4:$E$1002,CF$1)</f>
        <v>2745</v>
      </c>
      <c r="CG9" s="8">
        <f>SUMIFS('compens8-Import'!$H$4:$H$1002,'compens8-Import'!$M$4:$M$1002,$B9,'compens8-Import'!$E$4:$E$1002,CG$1)</f>
        <v>0</v>
      </c>
      <c r="CH9" s="8">
        <f>SUMIFS('compens8-Import'!$H$4:$H$1002,'compens8-Import'!$M$4:$M$1002,$B9,'compens8-Import'!$E$4:$E$1002,CH$1)</f>
        <v>0</v>
      </c>
      <c r="CI9" s="8">
        <f>SUMIFS('compens8-Import'!$H$4:$H$1002,'compens8-Import'!$M$4:$M$1002,$B9,'compens8-Import'!$E$4:$E$1002,CI$1)</f>
        <v>4346</v>
      </c>
      <c r="CJ9" s="8">
        <f>SUMIFS('compens8-Import'!$H$4:$H$1002,'compens8-Import'!$M$4:$M$1002,$B9,'compens8-Import'!$E$4:$E$1002,CJ$1)</f>
        <v>0</v>
      </c>
      <c r="CK9" s="8">
        <f>SUMIFS('compens8-Import'!$H$4:$H$1002,'compens8-Import'!$M$4:$M$1002,$B9,'compens8-Import'!$E$4:$E$1002,CK$1)</f>
        <v>0</v>
      </c>
      <c r="CL9" s="8">
        <f>SUMIFS('compens8-Import'!$H$4:$H$1002,'compens8-Import'!$M$4:$M$1002,$B9,'compens8-Import'!$E$4:$E$1002,CL$1)</f>
        <v>0</v>
      </c>
      <c r="CM9" s="8">
        <f>SUMIFS('compens8-Import'!$H$4:$H$1002,'compens8-Import'!$M$4:$M$1002,$B9,'compens8-Import'!$E$4:$E$1002,CM$1)</f>
        <v>0</v>
      </c>
      <c r="CN9" s="8">
        <f>SUMIFS('compens8-Import'!$H$4:$H$1002,'compens8-Import'!$M$4:$M$1002,$B9,'compens8-Import'!$E$4:$E$1002,CN$1)</f>
        <v>0</v>
      </c>
    </row>
    <row r="10" spans="1:92" x14ac:dyDescent="0.25">
      <c r="A10" s="2" t="s">
        <v>98</v>
      </c>
      <c r="B10" s="2" t="str">
        <f>_xlfn.XLOOKUP(A10,'Correspondances pays'!$A$4:$A$200,'Correspondances pays'!$B$4:$B$200)</f>
        <v>Spain</v>
      </c>
      <c r="C10" s="44">
        <f>AutoConsommation!F9</f>
        <v>687394.01</v>
      </c>
      <c r="D10" s="8">
        <f t="shared" si="0"/>
        <v>687394.01</v>
      </c>
      <c r="E10" s="8">
        <f>SUMIFS('compens8-Import'!$H$4:$H$1002,'compens8-Import'!$M$4:$M$1002,$B10,'compens8-Import'!$E$4:$E$1002,E$1)</f>
        <v>0</v>
      </c>
      <c r="F10" s="8">
        <f>SUMIFS('compens8-Import'!$H$4:$H$1002,'compens8-Import'!$M$4:$M$1002,$B10,'compens8-Import'!$E$4:$E$1002,F$1)</f>
        <v>0</v>
      </c>
      <c r="G10" s="8">
        <f>SUMIFS('compens8-Import'!$H$4:$H$1002,'compens8-Import'!$M$4:$M$1002,$B10,'compens8-Import'!$E$4:$E$1002,G$1)</f>
        <v>0</v>
      </c>
      <c r="H10" s="8">
        <f>SUMIFS('compens8-Import'!$H$4:$H$1002,'compens8-Import'!$M$4:$M$1002,$B10,'compens8-Import'!$E$4:$E$1002,H$1)</f>
        <v>0</v>
      </c>
      <c r="I10" s="8">
        <f>SUMIFS('compens8-Import'!$H$4:$H$1002,'compens8-Import'!$M$4:$M$1002,$B10,'compens8-Import'!$E$4:$E$1002,I$1)</f>
        <v>0</v>
      </c>
      <c r="J10" s="8">
        <f>SUMIFS('compens8-Import'!$H$4:$H$1002,'compens8-Import'!$M$4:$M$1002,$B10,'compens8-Import'!$E$4:$E$1002,J$1)</f>
        <v>0</v>
      </c>
      <c r="K10" s="8">
        <f>SUMIFS('compens8-Import'!$H$4:$H$1002,'compens8-Import'!$M$4:$M$1002,$B10,'compens8-Import'!$E$4:$E$1002,K$1)</f>
        <v>0</v>
      </c>
      <c r="L10" s="8">
        <f>SUMIFS('compens8-Import'!$H$4:$H$1002,'compens8-Import'!$M$4:$M$1002,$B10,'compens8-Import'!$E$4:$E$1002,L$1)</f>
        <v>92086</v>
      </c>
      <c r="M10" s="8">
        <f>SUMIFS('compens8-Import'!$H$4:$H$1002,'compens8-Import'!$M$4:$M$1002,$B10,'compens8-Import'!$E$4:$E$1002,M$1)</f>
        <v>0</v>
      </c>
      <c r="N10" s="8">
        <f>SUMIFS('compens8-Import'!$H$4:$H$1002,'compens8-Import'!$M$4:$M$1002,$B10,'compens8-Import'!$E$4:$E$1002,N$1)</f>
        <v>0</v>
      </c>
      <c r="O10" s="8">
        <f>SUMIFS('compens8-Import'!$H$4:$H$1002,'compens8-Import'!$M$4:$M$1002,$B10,'compens8-Import'!$E$4:$E$1002,O$1)</f>
        <v>0</v>
      </c>
      <c r="P10" s="8">
        <f>SUMIFS('compens8-Import'!$H$4:$H$1002,'compens8-Import'!$M$4:$M$1002,$B10,'compens8-Import'!$E$4:$E$1002,P$1)</f>
        <v>0</v>
      </c>
      <c r="Q10" s="8">
        <f>SUMIFS('compens8-Import'!$H$4:$H$1002,'compens8-Import'!$M$4:$M$1002,$B10,'compens8-Import'!$E$4:$E$1002,Q$1)</f>
        <v>12225</v>
      </c>
      <c r="R10" s="8">
        <f>SUMIFS('compens8-Import'!$H$4:$H$1002,'compens8-Import'!$M$4:$M$1002,$B10,'compens8-Import'!$E$4:$E$1002,R$1)</f>
        <v>0</v>
      </c>
      <c r="S10" s="8">
        <f>SUMIFS('compens8-Import'!$H$4:$H$1002,'compens8-Import'!$M$4:$M$1002,$B10,'compens8-Import'!$E$4:$E$1002,S$1)</f>
        <v>0</v>
      </c>
      <c r="T10" s="8">
        <f>SUMIFS('compens8-Import'!$H$4:$H$1002,'compens8-Import'!$M$4:$M$1002,$B10,'compens8-Import'!$E$4:$E$1002,T$1)</f>
        <v>6738</v>
      </c>
      <c r="U10" s="8">
        <f>SUMIFS('compens8-Import'!$H$4:$H$1002,'compens8-Import'!$M$4:$M$1002,$B10,'compens8-Import'!$E$4:$E$1002,U$1)</f>
        <v>0</v>
      </c>
      <c r="V10" s="8">
        <f>SUMIFS('compens8-Import'!$H$4:$H$1002,'compens8-Import'!$M$4:$M$1002,$B10,'compens8-Import'!$E$4:$E$1002,V$1)</f>
        <v>0</v>
      </c>
      <c r="W10" s="8">
        <f>SUMIFS('compens8-Import'!$H$4:$H$1002,'compens8-Import'!$M$4:$M$1002,$B10,'compens8-Import'!$E$4:$E$1002,W$1)</f>
        <v>0</v>
      </c>
      <c r="X10" s="8">
        <f>SUMIFS('compens8-Import'!$H$4:$H$1002,'compens8-Import'!$M$4:$M$1002,$B10,'compens8-Import'!$E$4:$E$1002,X$1)</f>
        <v>0</v>
      </c>
      <c r="Y10" s="8">
        <f>SUMIFS('compens8-Import'!$H$4:$H$1002,'compens8-Import'!$M$4:$M$1002,$B10,'compens8-Import'!$E$4:$E$1002,Y$1)</f>
        <v>0</v>
      </c>
      <c r="Z10" s="8">
        <f>SUMIFS('compens8-Import'!$H$4:$H$1002,'compens8-Import'!$M$4:$M$1002,$B10,'compens8-Import'!$E$4:$E$1002,Z$1)</f>
        <v>5644</v>
      </c>
      <c r="AA10" s="8">
        <f>SUMIFS('compens8-Import'!$H$4:$H$1002,'compens8-Import'!$M$4:$M$1002,$B10,'compens8-Import'!$E$4:$E$1002,AA$1)</f>
        <v>0</v>
      </c>
      <c r="AB10" s="8">
        <f>SUMIFS('compens8-Import'!$H$4:$H$1002,'compens8-Import'!$M$4:$M$1002,$B10,'compens8-Import'!$E$4:$E$1002,AB$1)</f>
        <v>0</v>
      </c>
      <c r="AC10" s="8">
        <f>SUMIFS('compens8-Import'!$H$4:$H$1002,'compens8-Import'!$M$4:$M$1002,$B10,'compens8-Import'!$E$4:$E$1002,AC$1)</f>
        <v>18554</v>
      </c>
      <c r="AD10" s="8">
        <f>SUMIFS('compens8-Import'!$H$4:$H$1002,'compens8-Import'!$M$4:$M$1002,$B10,'compens8-Import'!$E$4:$E$1002,AD$1)</f>
        <v>0</v>
      </c>
      <c r="AE10" s="8">
        <f>SUMIFS('compens8-Import'!$H$4:$H$1002,'compens8-Import'!$M$4:$M$1002,$B10,'compens8-Import'!$E$4:$E$1002,AE$1)</f>
        <v>6253.01</v>
      </c>
      <c r="AF10" s="8">
        <f>SUMIFS('compens8-Import'!$H$4:$H$1002,'compens8-Import'!$M$4:$M$1002,$B10,'compens8-Import'!$E$4:$E$1002,AF$1)</f>
        <v>4002</v>
      </c>
      <c r="AG10" s="8">
        <f>SUMIFS('compens8-Import'!$H$4:$H$1002,'compens8-Import'!$M$4:$M$1002,$B10,'compens8-Import'!$E$4:$E$1002,AG$1)</f>
        <v>0</v>
      </c>
      <c r="AH10" s="8">
        <f>SUMIFS('compens8-Import'!$H$4:$H$1002,'compens8-Import'!$M$4:$M$1002,$B10,'compens8-Import'!$E$4:$E$1002,AH$1)</f>
        <v>0</v>
      </c>
      <c r="AI10" s="8">
        <f>SUMIFS('compens8-Import'!$H$4:$H$1002,'compens8-Import'!$M$4:$M$1002,$B10,'compens8-Import'!$E$4:$E$1002,AI$1)</f>
        <v>0</v>
      </c>
      <c r="AJ10" s="8">
        <f>SUMIFS('compens8-Import'!$H$4:$H$1002,'compens8-Import'!$M$4:$M$1002,$B10,'compens8-Import'!$E$4:$E$1002,AJ$1)</f>
        <v>6725</v>
      </c>
      <c r="AK10" s="8">
        <f>SUMIFS('compens8-Import'!$H$4:$H$1002,'compens8-Import'!$M$4:$M$1002,$B10,'compens8-Import'!$E$4:$E$1002,AK$1)</f>
        <v>32168</v>
      </c>
      <c r="AL10" s="8">
        <f>SUMIFS('compens8-Import'!$H$4:$H$1002,'compens8-Import'!$M$4:$M$1002,$B10,'compens8-Import'!$E$4:$E$1002,AL$1)</f>
        <v>0</v>
      </c>
      <c r="AM10" s="8">
        <f>SUMIFS('compens8-Import'!$H$4:$H$1002,'compens8-Import'!$M$4:$M$1002,$B10,'compens8-Import'!$E$4:$E$1002,AM$1)</f>
        <v>0</v>
      </c>
      <c r="AN10" s="8">
        <f>SUMIFS('compens8-Import'!$H$4:$H$1002,'compens8-Import'!$M$4:$M$1002,$B10,'compens8-Import'!$E$4:$E$1002,AN$1)</f>
        <v>0</v>
      </c>
      <c r="AO10" s="8">
        <f>SUMIFS('compens8-Import'!$H$4:$H$1002,'compens8-Import'!$M$4:$M$1002,$B10,'compens8-Import'!$E$4:$E$1002,AO$1)</f>
        <v>0</v>
      </c>
      <c r="AP10" s="8">
        <f>SUMIFS('compens8-Import'!$H$4:$H$1002,'compens8-Import'!$M$4:$M$1002,$B10,'compens8-Import'!$E$4:$E$1002,AP$1)</f>
        <v>10898</v>
      </c>
      <c r="AQ10" s="8">
        <f>SUMIFS('compens8-Import'!$H$4:$H$1002,'compens8-Import'!$M$4:$M$1002,$B10,'compens8-Import'!$E$4:$E$1002,AQ$1)</f>
        <v>0</v>
      </c>
      <c r="AR10" s="8">
        <f>SUMIFS('compens8-Import'!$H$4:$H$1002,'compens8-Import'!$M$4:$M$1002,$B10,'compens8-Import'!$E$4:$E$1002,AR$1)</f>
        <v>0</v>
      </c>
      <c r="AS10" s="8">
        <f>SUMIFS('compens8-Import'!$H$4:$H$1002,'compens8-Import'!$M$4:$M$1002,$B10,'compens8-Import'!$E$4:$E$1002,AS$1)</f>
        <v>25371</v>
      </c>
      <c r="AT10" s="8">
        <f>SUMIFS('compens8-Import'!$H$4:$H$1002,'compens8-Import'!$M$4:$M$1002,$B10,'compens8-Import'!$E$4:$E$1002,AT$1)</f>
        <v>0</v>
      </c>
      <c r="AU10" s="8">
        <f>SUMIFS('compens8-Import'!$H$4:$H$1002,'compens8-Import'!$M$4:$M$1002,$B10,'compens8-Import'!$E$4:$E$1002,AU$1)</f>
        <v>0</v>
      </c>
      <c r="AV10" s="8">
        <f>SUMIFS('compens8-Import'!$H$4:$H$1002,'compens8-Import'!$M$4:$M$1002,$B10,'compens8-Import'!$E$4:$E$1002,AV$1)</f>
        <v>0</v>
      </c>
      <c r="AW10" s="8">
        <f>SUMIFS('compens8-Import'!$H$4:$H$1002,'compens8-Import'!$M$4:$M$1002,$B10,'compens8-Import'!$E$4:$E$1002,AW$1)</f>
        <v>17067</v>
      </c>
      <c r="AX10" s="8">
        <f>SUMIFS('compens8-Import'!$H$4:$H$1002,'compens8-Import'!$M$4:$M$1002,$B10,'compens8-Import'!$E$4:$E$1002,AX$1)</f>
        <v>5875</v>
      </c>
      <c r="AY10" s="8">
        <f>SUMIFS('compens8-Import'!$H$4:$H$1002,'compens8-Import'!$M$4:$M$1002,$B10,'compens8-Import'!$E$4:$E$1002,AY$1)</f>
        <v>6633</v>
      </c>
      <c r="AZ10" s="8">
        <f>SUMIFS('compens8-Import'!$H$4:$H$1002,'compens8-Import'!$M$4:$M$1002,$B10,'compens8-Import'!$E$4:$E$1002,AZ$1)</f>
        <v>0</v>
      </c>
      <c r="BA10" s="8">
        <f>SUMIFS('compens8-Import'!$H$4:$H$1002,'compens8-Import'!$M$4:$M$1002,$B10,'compens8-Import'!$E$4:$E$1002,BA$1)</f>
        <v>98401</v>
      </c>
      <c r="BB10" s="8">
        <f>SUMIFS('compens8-Import'!$H$4:$H$1002,'compens8-Import'!$M$4:$M$1002,$B10,'compens8-Import'!$E$4:$E$1002,BB$1)</f>
        <v>0</v>
      </c>
      <c r="BC10" s="8">
        <f>SUMIFS('compens8-Import'!$H$4:$H$1002,'compens8-Import'!$M$4:$M$1002,$B10,'compens8-Import'!$E$4:$E$1002,BC$1)</f>
        <v>169747</v>
      </c>
      <c r="BD10" s="8">
        <f>SUMIFS('compens8-Import'!$H$4:$H$1002,'compens8-Import'!$M$4:$M$1002,$B10,'compens8-Import'!$E$4:$E$1002,BD$1)</f>
        <v>1970</v>
      </c>
      <c r="BE10" s="8">
        <f>SUMIFS('compens8-Import'!$H$4:$H$1002,'compens8-Import'!$M$4:$M$1002,$B10,'compens8-Import'!$E$4:$E$1002,BE$1)</f>
        <v>0</v>
      </c>
      <c r="BF10" s="8">
        <f>SUMIFS('compens8-Import'!$H$4:$H$1002,'compens8-Import'!$M$4:$M$1002,$B10,'compens8-Import'!$E$4:$E$1002,BF$1)</f>
        <v>8446</v>
      </c>
      <c r="BG10" s="8">
        <f>SUMIFS('compens8-Import'!$H$4:$H$1002,'compens8-Import'!$M$4:$M$1002,$B10,'compens8-Import'!$E$4:$E$1002,BG$1)</f>
        <v>0</v>
      </c>
      <c r="BH10" s="8">
        <f>SUMIFS('compens8-Import'!$H$4:$H$1002,'compens8-Import'!$M$4:$M$1002,$B10,'compens8-Import'!$E$4:$E$1002,BH$1)</f>
        <v>0</v>
      </c>
      <c r="BI10" s="8">
        <f>SUMIFS('compens8-Import'!$H$4:$H$1002,'compens8-Import'!$M$4:$M$1002,$B10,'compens8-Import'!$E$4:$E$1002,BI$1)</f>
        <v>0</v>
      </c>
      <c r="BJ10" s="8">
        <f>SUMIFS('compens8-Import'!$H$4:$H$1002,'compens8-Import'!$M$4:$M$1002,$B10,'compens8-Import'!$E$4:$E$1002,BJ$1)</f>
        <v>14130</v>
      </c>
      <c r="BK10" s="8">
        <f>SUMIFS('compens8-Import'!$H$4:$H$1002,'compens8-Import'!$M$4:$M$1002,$B10,'compens8-Import'!$E$4:$E$1002,BK$1)</f>
        <v>0</v>
      </c>
      <c r="BL10" s="8">
        <f>SUMIFS('compens8-Import'!$H$4:$H$1002,'compens8-Import'!$M$4:$M$1002,$B10,'compens8-Import'!$E$4:$E$1002,BL$1)</f>
        <v>0</v>
      </c>
      <c r="BM10" s="8">
        <f>SUMIFS('compens8-Import'!$H$4:$H$1002,'compens8-Import'!$M$4:$M$1002,$B10,'compens8-Import'!$E$4:$E$1002,BM$1)</f>
        <v>8955</v>
      </c>
      <c r="BN10" s="8">
        <f>SUMIFS('compens8-Import'!$H$4:$H$1002,'compens8-Import'!$M$4:$M$1002,$B10,'compens8-Import'!$E$4:$E$1002,BN$1)</f>
        <v>16011</v>
      </c>
      <c r="BO10" s="8">
        <f>SUMIFS('compens8-Import'!$H$4:$H$1002,'compens8-Import'!$M$4:$M$1002,$B10,'compens8-Import'!$E$4:$E$1002,BO$1)</f>
        <v>0</v>
      </c>
      <c r="BP10" s="8">
        <f>SUMIFS('compens8-Import'!$H$4:$H$1002,'compens8-Import'!$M$4:$M$1002,$B10,'compens8-Import'!$E$4:$E$1002,BP$1)</f>
        <v>0</v>
      </c>
      <c r="BQ10" s="8">
        <f>SUMIFS('compens8-Import'!$H$4:$H$1002,'compens8-Import'!$M$4:$M$1002,$B10,'compens8-Import'!$E$4:$E$1002,BQ$1)</f>
        <v>0</v>
      </c>
      <c r="BR10" s="8">
        <f>SUMIFS('compens8-Import'!$H$4:$H$1002,'compens8-Import'!$M$4:$M$1002,$B10,'compens8-Import'!$E$4:$E$1002,BR$1)</f>
        <v>0</v>
      </c>
      <c r="BS10" s="8">
        <f>SUMIFS('compens8-Import'!$H$4:$H$1002,'compens8-Import'!$M$4:$M$1002,$B10,'compens8-Import'!$E$4:$E$1002,BS$1)</f>
        <v>0</v>
      </c>
      <c r="BT10" s="8">
        <f>SUMIFS('compens8-Import'!$H$4:$H$1002,'compens8-Import'!$M$4:$M$1002,$B10,'compens8-Import'!$E$4:$E$1002,BT$1)</f>
        <v>0</v>
      </c>
      <c r="BU10" s="8">
        <f>SUMIFS('compens8-Import'!$H$4:$H$1002,'compens8-Import'!$M$4:$M$1002,$B10,'compens8-Import'!$E$4:$E$1002,BU$1)</f>
        <v>0</v>
      </c>
      <c r="BV10" s="8">
        <f>SUMIFS('compens8-Import'!$H$4:$H$1002,'compens8-Import'!$M$4:$M$1002,$B10,'compens8-Import'!$E$4:$E$1002,BV$1)</f>
        <v>0</v>
      </c>
      <c r="BW10" s="8">
        <f>SUMIFS('compens8-Import'!$H$4:$H$1002,'compens8-Import'!$M$4:$M$1002,$B10,'compens8-Import'!$E$4:$E$1002,BW$1)</f>
        <v>0</v>
      </c>
      <c r="BX10" s="8">
        <f>SUMIFS('compens8-Import'!$H$4:$H$1002,'compens8-Import'!$M$4:$M$1002,$B10,'compens8-Import'!$E$4:$E$1002,BX$1)</f>
        <v>0</v>
      </c>
      <c r="BY10" s="8">
        <f>SUMIFS('compens8-Import'!$H$4:$H$1002,'compens8-Import'!$M$4:$M$1002,$B10,'compens8-Import'!$E$4:$E$1002,BY$1)</f>
        <v>0</v>
      </c>
      <c r="BZ10" s="8">
        <f>SUMIFS('compens8-Import'!$H$4:$H$1002,'compens8-Import'!$M$4:$M$1002,$B10,'compens8-Import'!$E$4:$E$1002,BZ$1)</f>
        <v>0</v>
      </c>
      <c r="CA10" s="8">
        <f>SUMIFS('compens8-Import'!$H$4:$H$1002,'compens8-Import'!$M$4:$M$1002,$B10,'compens8-Import'!$E$4:$E$1002,CA$1)</f>
        <v>25124</v>
      </c>
      <c r="CB10" s="8">
        <f>SUMIFS('compens8-Import'!$H$4:$H$1002,'compens8-Import'!$M$4:$M$1002,$B10,'compens8-Import'!$E$4:$E$1002,CB$1)</f>
        <v>0</v>
      </c>
      <c r="CC10" s="8">
        <f>SUMIFS('compens8-Import'!$H$4:$H$1002,'compens8-Import'!$M$4:$M$1002,$B10,'compens8-Import'!$E$4:$E$1002,CC$1)</f>
        <v>0</v>
      </c>
      <c r="CD10" s="8">
        <f>SUMIFS('compens8-Import'!$H$4:$H$1002,'compens8-Import'!$M$4:$M$1002,$B10,'compens8-Import'!$E$4:$E$1002,CD$1)</f>
        <v>55418</v>
      </c>
      <c r="CE10" s="8">
        <f>SUMIFS('compens8-Import'!$H$4:$H$1002,'compens8-Import'!$M$4:$M$1002,$B10,'compens8-Import'!$E$4:$E$1002,CE$1)</f>
        <v>0</v>
      </c>
      <c r="CF10" s="8">
        <f>SUMIFS('compens8-Import'!$H$4:$H$1002,'compens8-Import'!$M$4:$M$1002,$B10,'compens8-Import'!$E$4:$E$1002,CF$1)</f>
        <v>0</v>
      </c>
      <c r="CG10" s="8">
        <f>SUMIFS('compens8-Import'!$H$4:$H$1002,'compens8-Import'!$M$4:$M$1002,$B10,'compens8-Import'!$E$4:$E$1002,CG$1)</f>
        <v>0</v>
      </c>
      <c r="CH10" s="8">
        <f>SUMIFS('compens8-Import'!$H$4:$H$1002,'compens8-Import'!$M$4:$M$1002,$B10,'compens8-Import'!$E$4:$E$1002,CH$1)</f>
        <v>0</v>
      </c>
      <c r="CI10" s="8">
        <f>SUMIFS('compens8-Import'!$H$4:$H$1002,'compens8-Import'!$M$4:$M$1002,$B10,'compens8-Import'!$E$4:$E$1002,CI$1)</f>
        <v>38953</v>
      </c>
      <c r="CJ10" s="8">
        <f>SUMIFS('compens8-Import'!$H$4:$H$1002,'compens8-Import'!$M$4:$M$1002,$B10,'compens8-Import'!$E$4:$E$1002,CJ$1)</f>
        <v>0</v>
      </c>
      <c r="CK10" s="8">
        <f>SUMIFS('compens8-Import'!$H$4:$H$1002,'compens8-Import'!$M$4:$M$1002,$B10,'compens8-Import'!$E$4:$E$1002,CK$1)</f>
        <v>0</v>
      </c>
      <c r="CL10" s="8">
        <f>SUMIFS('compens8-Import'!$H$4:$H$1002,'compens8-Import'!$M$4:$M$1002,$B10,'compens8-Import'!$E$4:$E$1002,CL$1)</f>
        <v>0</v>
      </c>
      <c r="CM10" s="8">
        <f>SUMIFS('compens8-Import'!$H$4:$H$1002,'compens8-Import'!$M$4:$M$1002,$B10,'compens8-Import'!$E$4:$E$1002,CM$1)</f>
        <v>0</v>
      </c>
      <c r="CN10" s="8">
        <f>SUMIFS('compens8-Import'!$H$4:$H$1002,'compens8-Import'!$M$4:$M$1002,$B10,'compens8-Import'!$E$4:$E$1002,CN$1)</f>
        <v>0</v>
      </c>
    </row>
    <row r="11" spans="1:92" x14ac:dyDescent="0.25">
      <c r="A11" s="2" t="s">
        <v>229</v>
      </c>
      <c r="B11" s="2" t="str">
        <f>_xlfn.XLOOKUP(A11,'Correspondances pays'!$A$4:$A$200,'Correspondances pays'!$B$4:$B$200)</f>
        <v>United States of America</v>
      </c>
      <c r="C11" s="44">
        <f>AutoConsommation!F10</f>
        <v>4397916</v>
      </c>
      <c r="D11" s="8">
        <f t="shared" si="0"/>
        <v>4397916</v>
      </c>
      <c r="E11" s="8">
        <f>SUMIFS('compens8-Import'!$H$4:$H$1002,'compens8-Import'!$M$4:$M$1002,$B11,'compens8-Import'!$E$4:$E$1002,E$1)</f>
        <v>0</v>
      </c>
      <c r="F11" s="8">
        <f>SUMIFS('compens8-Import'!$H$4:$H$1002,'compens8-Import'!$M$4:$M$1002,$B11,'compens8-Import'!$E$4:$E$1002,F$1)</f>
        <v>0</v>
      </c>
      <c r="G11" s="8">
        <f>SUMIFS('compens8-Import'!$H$4:$H$1002,'compens8-Import'!$M$4:$M$1002,$B11,'compens8-Import'!$E$4:$E$1002,G$1)</f>
        <v>0</v>
      </c>
      <c r="H11" s="8">
        <f>SUMIFS('compens8-Import'!$H$4:$H$1002,'compens8-Import'!$M$4:$M$1002,$B11,'compens8-Import'!$E$4:$E$1002,H$1)</f>
        <v>160903</v>
      </c>
      <c r="I11" s="8">
        <f>SUMIFS('compens8-Import'!$H$4:$H$1002,'compens8-Import'!$M$4:$M$1002,$B11,'compens8-Import'!$E$4:$E$1002,I$1)</f>
        <v>207404</v>
      </c>
      <c r="J11" s="8">
        <f>SUMIFS('compens8-Import'!$H$4:$H$1002,'compens8-Import'!$M$4:$M$1002,$B11,'compens8-Import'!$E$4:$E$1002,J$1)</f>
        <v>0</v>
      </c>
      <c r="K11" s="8">
        <f>SUMIFS('compens8-Import'!$H$4:$H$1002,'compens8-Import'!$M$4:$M$1002,$B11,'compens8-Import'!$E$4:$E$1002,K$1)</f>
        <v>0</v>
      </c>
      <c r="L11" s="8">
        <f>SUMIFS('compens8-Import'!$H$4:$H$1002,'compens8-Import'!$M$4:$M$1002,$B11,'compens8-Import'!$E$4:$E$1002,L$1)</f>
        <v>272074</v>
      </c>
      <c r="M11" s="8">
        <f>SUMIFS('compens8-Import'!$H$4:$H$1002,'compens8-Import'!$M$4:$M$1002,$B11,'compens8-Import'!$E$4:$E$1002,M$1)</f>
        <v>0</v>
      </c>
      <c r="N11" s="8">
        <f>SUMIFS('compens8-Import'!$H$4:$H$1002,'compens8-Import'!$M$4:$M$1002,$B11,'compens8-Import'!$E$4:$E$1002,N$1)</f>
        <v>0</v>
      </c>
      <c r="O11" s="8">
        <f>SUMIFS('compens8-Import'!$H$4:$H$1002,'compens8-Import'!$M$4:$M$1002,$B11,'compens8-Import'!$E$4:$E$1002,O$1)</f>
        <v>561</v>
      </c>
      <c r="P11" s="8">
        <f>SUMIFS('compens8-Import'!$H$4:$H$1002,'compens8-Import'!$M$4:$M$1002,$B11,'compens8-Import'!$E$4:$E$1002,P$1)</f>
        <v>0</v>
      </c>
      <c r="Q11" s="8">
        <f>SUMIFS('compens8-Import'!$H$4:$H$1002,'compens8-Import'!$M$4:$M$1002,$B11,'compens8-Import'!$E$4:$E$1002,Q$1)</f>
        <v>27615</v>
      </c>
      <c r="R11" s="8">
        <f>SUMIFS('compens8-Import'!$H$4:$H$1002,'compens8-Import'!$M$4:$M$1002,$B11,'compens8-Import'!$E$4:$E$1002,R$1)</f>
        <v>0</v>
      </c>
      <c r="S11" s="8">
        <f>SUMIFS('compens8-Import'!$H$4:$H$1002,'compens8-Import'!$M$4:$M$1002,$B11,'compens8-Import'!$E$4:$E$1002,S$1)</f>
        <v>0</v>
      </c>
      <c r="T11" s="8">
        <f>SUMIFS('compens8-Import'!$H$4:$H$1002,'compens8-Import'!$M$4:$M$1002,$B11,'compens8-Import'!$E$4:$E$1002,T$1)</f>
        <v>0</v>
      </c>
      <c r="U11" s="8">
        <f>SUMIFS('compens8-Import'!$H$4:$H$1002,'compens8-Import'!$M$4:$M$1002,$B11,'compens8-Import'!$E$4:$E$1002,U$1)</f>
        <v>2579834</v>
      </c>
      <c r="V11" s="8">
        <f>SUMIFS('compens8-Import'!$H$4:$H$1002,'compens8-Import'!$M$4:$M$1002,$B11,'compens8-Import'!$E$4:$E$1002,V$1)</f>
        <v>1797</v>
      </c>
      <c r="W11" s="8">
        <f>SUMIFS('compens8-Import'!$H$4:$H$1002,'compens8-Import'!$M$4:$M$1002,$B11,'compens8-Import'!$E$4:$E$1002,W$1)</f>
        <v>0</v>
      </c>
      <c r="X11" s="8">
        <f>SUMIFS('compens8-Import'!$H$4:$H$1002,'compens8-Import'!$M$4:$M$1002,$B11,'compens8-Import'!$E$4:$E$1002,X$1)</f>
        <v>0</v>
      </c>
      <c r="Y11" s="8">
        <f>SUMIFS('compens8-Import'!$H$4:$H$1002,'compens8-Import'!$M$4:$M$1002,$B11,'compens8-Import'!$E$4:$E$1002,Y$1)</f>
        <v>0</v>
      </c>
      <c r="Z11" s="8">
        <f>SUMIFS('compens8-Import'!$H$4:$H$1002,'compens8-Import'!$M$4:$M$1002,$B11,'compens8-Import'!$E$4:$E$1002,Z$1)</f>
        <v>0</v>
      </c>
      <c r="AA11" s="8">
        <f>SUMIFS('compens8-Import'!$H$4:$H$1002,'compens8-Import'!$M$4:$M$1002,$B11,'compens8-Import'!$E$4:$E$1002,AA$1)</f>
        <v>0</v>
      </c>
      <c r="AB11" s="8">
        <f>SUMIFS('compens8-Import'!$H$4:$H$1002,'compens8-Import'!$M$4:$M$1002,$B11,'compens8-Import'!$E$4:$E$1002,AB$1)</f>
        <v>0</v>
      </c>
      <c r="AC11" s="8">
        <f>SUMIFS('compens8-Import'!$H$4:$H$1002,'compens8-Import'!$M$4:$M$1002,$B11,'compens8-Import'!$E$4:$E$1002,AC$1)</f>
        <v>2492</v>
      </c>
      <c r="AD11" s="8">
        <f>SUMIFS('compens8-Import'!$H$4:$H$1002,'compens8-Import'!$M$4:$M$1002,$B11,'compens8-Import'!$E$4:$E$1002,AD$1)</f>
        <v>0</v>
      </c>
      <c r="AE11" s="8">
        <f>SUMIFS('compens8-Import'!$H$4:$H$1002,'compens8-Import'!$M$4:$M$1002,$B11,'compens8-Import'!$E$4:$E$1002,AE$1)</f>
        <v>2435</v>
      </c>
      <c r="AF11" s="8">
        <f>SUMIFS('compens8-Import'!$H$4:$H$1002,'compens8-Import'!$M$4:$M$1002,$B11,'compens8-Import'!$E$4:$E$1002,AF$1)</f>
        <v>0</v>
      </c>
      <c r="AG11" s="8">
        <f>SUMIFS('compens8-Import'!$H$4:$H$1002,'compens8-Import'!$M$4:$M$1002,$B11,'compens8-Import'!$E$4:$E$1002,AG$1)</f>
        <v>0</v>
      </c>
      <c r="AH11" s="8">
        <f>SUMIFS('compens8-Import'!$H$4:$H$1002,'compens8-Import'!$M$4:$M$1002,$B11,'compens8-Import'!$E$4:$E$1002,AH$1)</f>
        <v>0</v>
      </c>
      <c r="AI11" s="8">
        <f>SUMIFS('compens8-Import'!$H$4:$H$1002,'compens8-Import'!$M$4:$M$1002,$B11,'compens8-Import'!$E$4:$E$1002,AI$1)</f>
        <v>0</v>
      </c>
      <c r="AJ11" s="8">
        <f>SUMIFS('compens8-Import'!$H$4:$H$1002,'compens8-Import'!$M$4:$M$1002,$B11,'compens8-Import'!$E$4:$E$1002,AJ$1)</f>
        <v>0</v>
      </c>
      <c r="AK11" s="8">
        <f>SUMIFS('compens8-Import'!$H$4:$H$1002,'compens8-Import'!$M$4:$M$1002,$B11,'compens8-Import'!$E$4:$E$1002,AK$1)</f>
        <v>141663</v>
      </c>
      <c r="AL11" s="8">
        <f>SUMIFS('compens8-Import'!$H$4:$H$1002,'compens8-Import'!$M$4:$M$1002,$B11,'compens8-Import'!$E$4:$E$1002,AL$1)</f>
        <v>0</v>
      </c>
      <c r="AM11" s="8">
        <f>SUMIFS('compens8-Import'!$H$4:$H$1002,'compens8-Import'!$M$4:$M$1002,$B11,'compens8-Import'!$E$4:$E$1002,AM$1)</f>
        <v>0</v>
      </c>
      <c r="AN11" s="8">
        <f>SUMIFS('compens8-Import'!$H$4:$H$1002,'compens8-Import'!$M$4:$M$1002,$B11,'compens8-Import'!$E$4:$E$1002,AN$1)</f>
        <v>0</v>
      </c>
      <c r="AO11" s="8">
        <f>SUMIFS('compens8-Import'!$H$4:$H$1002,'compens8-Import'!$M$4:$M$1002,$B11,'compens8-Import'!$E$4:$E$1002,AO$1)</f>
        <v>0</v>
      </c>
      <c r="AP11" s="8">
        <f>SUMIFS('compens8-Import'!$H$4:$H$1002,'compens8-Import'!$M$4:$M$1002,$B11,'compens8-Import'!$E$4:$E$1002,AP$1)</f>
        <v>1131</v>
      </c>
      <c r="AQ11" s="8">
        <f>SUMIFS('compens8-Import'!$H$4:$H$1002,'compens8-Import'!$M$4:$M$1002,$B11,'compens8-Import'!$E$4:$E$1002,AQ$1)</f>
        <v>0</v>
      </c>
      <c r="AR11" s="8">
        <f>SUMIFS('compens8-Import'!$H$4:$H$1002,'compens8-Import'!$M$4:$M$1002,$B11,'compens8-Import'!$E$4:$E$1002,AR$1)</f>
        <v>0</v>
      </c>
      <c r="AS11" s="8">
        <f>SUMIFS('compens8-Import'!$H$4:$H$1002,'compens8-Import'!$M$4:$M$1002,$B11,'compens8-Import'!$E$4:$E$1002,AS$1)</f>
        <v>23840</v>
      </c>
      <c r="AT11" s="8">
        <f>SUMIFS('compens8-Import'!$H$4:$H$1002,'compens8-Import'!$M$4:$M$1002,$B11,'compens8-Import'!$E$4:$E$1002,AT$1)</f>
        <v>0</v>
      </c>
      <c r="AU11" s="8">
        <f>SUMIFS('compens8-Import'!$H$4:$H$1002,'compens8-Import'!$M$4:$M$1002,$B11,'compens8-Import'!$E$4:$E$1002,AU$1)</f>
        <v>0</v>
      </c>
      <c r="AV11" s="8">
        <f>SUMIFS('compens8-Import'!$H$4:$H$1002,'compens8-Import'!$M$4:$M$1002,$B11,'compens8-Import'!$E$4:$E$1002,AV$1)</f>
        <v>0</v>
      </c>
      <c r="AW11" s="8">
        <f>SUMIFS('compens8-Import'!$H$4:$H$1002,'compens8-Import'!$M$4:$M$1002,$B11,'compens8-Import'!$E$4:$E$1002,AW$1)</f>
        <v>0</v>
      </c>
      <c r="AX11" s="8">
        <f>SUMIFS('compens8-Import'!$H$4:$H$1002,'compens8-Import'!$M$4:$M$1002,$B11,'compens8-Import'!$E$4:$E$1002,AX$1)</f>
        <v>25044</v>
      </c>
      <c r="AY11" s="8">
        <f>SUMIFS('compens8-Import'!$H$4:$H$1002,'compens8-Import'!$M$4:$M$1002,$B11,'compens8-Import'!$E$4:$E$1002,AY$1)</f>
        <v>0</v>
      </c>
      <c r="AZ11" s="8">
        <f>SUMIFS('compens8-Import'!$H$4:$H$1002,'compens8-Import'!$M$4:$M$1002,$B11,'compens8-Import'!$E$4:$E$1002,AZ$1)</f>
        <v>0</v>
      </c>
      <c r="BA11" s="8">
        <f>SUMIFS('compens8-Import'!$H$4:$H$1002,'compens8-Import'!$M$4:$M$1002,$B11,'compens8-Import'!$E$4:$E$1002,BA$1)</f>
        <v>0</v>
      </c>
      <c r="BB11" s="8">
        <f>SUMIFS('compens8-Import'!$H$4:$H$1002,'compens8-Import'!$M$4:$M$1002,$B11,'compens8-Import'!$E$4:$E$1002,BB$1)</f>
        <v>0</v>
      </c>
      <c r="BC11" s="8">
        <f>SUMIFS('compens8-Import'!$H$4:$H$1002,'compens8-Import'!$M$4:$M$1002,$B11,'compens8-Import'!$E$4:$E$1002,BC$1)</f>
        <v>0</v>
      </c>
      <c r="BD11" s="8">
        <f>SUMIFS('compens8-Import'!$H$4:$H$1002,'compens8-Import'!$M$4:$M$1002,$B11,'compens8-Import'!$E$4:$E$1002,BD$1)</f>
        <v>1679</v>
      </c>
      <c r="BE11" s="8">
        <f>SUMIFS('compens8-Import'!$H$4:$H$1002,'compens8-Import'!$M$4:$M$1002,$B11,'compens8-Import'!$E$4:$E$1002,BE$1)</f>
        <v>0</v>
      </c>
      <c r="BF11" s="8">
        <f>SUMIFS('compens8-Import'!$H$4:$H$1002,'compens8-Import'!$M$4:$M$1002,$B11,'compens8-Import'!$E$4:$E$1002,BF$1)</f>
        <v>5687</v>
      </c>
      <c r="BG11" s="8">
        <f>SUMIFS('compens8-Import'!$H$4:$H$1002,'compens8-Import'!$M$4:$M$1002,$B11,'compens8-Import'!$E$4:$E$1002,BG$1)</f>
        <v>0</v>
      </c>
      <c r="BH11" s="8">
        <f>SUMIFS('compens8-Import'!$H$4:$H$1002,'compens8-Import'!$M$4:$M$1002,$B11,'compens8-Import'!$E$4:$E$1002,BH$1)</f>
        <v>0</v>
      </c>
      <c r="BI11" s="8">
        <f>SUMIFS('compens8-Import'!$H$4:$H$1002,'compens8-Import'!$M$4:$M$1002,$B11,'compens8-Import'!$E$4:$E$1002,BI$1)</f>
        <v>0</v>
      </c>
      <c r="BJ11" s="8">
        <f>SUMIFS('compens8-Import'!$H$4:$H$1002,'compens8-Import'!$M$4:$M$1002,$B11,'compens8-Import'!$E$4:$E$1002,BJ$1)</f>
        <v>0</v>
      </c>
      <c r="BK11" s="8">
        <f>SUMIFS('compens8-Import'!$H$4:$H$1002,'compens8-Import'!$M$4:$M$1002,$B11,'compens8-Import'!$E$4:$E$1002,BK$1)</f>
        <v>114801</v>
      </c>
      <c r="BL11" s="8">
        <f>SUMIFS('compens8-Import'!$H$4:$H$1002,'compens8-Import'!$M$4:$M$1002,$B11,'compens8-Import'!$E$4:$E$1002,BL$1)</f>
        <v>0</v>
      </c>
      <c r="BM11" s="8">
        <f>SUMIFS('compens8-Import'!$H$4:$H$1002,'compens8-Import'!$M$4:$M$1002,$B11,'compens8-Import'!$E$4:$E$1002,BM$1)</f>
        <v>191809</v>
      </c>
      <c r="BN11" s="8">
        <f>SUMIFS('compens8-Import'!$H$4:$H$1002,'compens8-Import'!$M$4:$M$1002,$B11,'compens8-Import'!$E$4:$E$1002,BN$1)</f>
        <v>2645</v>
      </c>
      <c r="BO11" s="8">
        <f>SUMIFS('compens8-Import'!$H$4:$H$1002,'compens8-Import'!$M$4:$M$1002,$B11,'compens8-Import'!$E$4:$E$1002,BO$1)</f>
        <v>0</v>
      </c>
      <c r="BP11" s="8">
        <f>SUMIFS('compens8-Import'!$H$4:$H$1002,'compens8-Import'!$M$4:$M$1002,$B11,'compens8-Import'!$E$4:$E$1002,BP$1)</f>
        <v>0</v>
      </c>
      <c r="BQ11" s="8">
        <f>SUMIFS('compens8-Import'!$H$4:$H$1002,'compens8-Import'!$M$4:$M$1002,$B11,'compens8-Import'!$E$4:$E$1002,BQ$1)</f>
        <v>0</v>
      </c>
      <c r="BR11" s="8">
        <f>SUMIFS('compens8-Import'!$H$4:$H$1002,'compens8-Import'!$M$4:$M$1002,$B11,'compens8-Import'!$E$4:$E$1002,BR$1)</f>
        <v>0</v>
      </c>
      <c r="BS11" s="8">
        <f>SUMIFS('compens8-Import'!$H$4:$H$1002,'compens8-Import'!$M$4:$M$1002,$B11,'compens8-Import'!$E$4:$E$1002,BS$1)</f>
        <v>92701</v>
      </c>
      <c r="BT11" s="8">
        <f>SUMIFS('compens8-Import'!$H$4:$H$1002,'compens8-Import'!$M$4:$M$1002,$B11,'compens8-Import'!$E$4:$E$1002,BT$1)</f>
        <v>3519</v>
      </c>
      <c r="BU11" s="8">
        <f>SUMIFS('compens8-Import'!$H$4:$H$1002,'compens8-Import'!$M$4:$M$1002,$B11,'compens8-Import'!$E$4:$E$1002,BU$1)</f>
        <v>0</v>
      </c>
      <c r="BV11" s="8">
        <f>SUMIFS('compens8-Import'!$H$4:$H$1002,'compens8-Import'!$M$4:$M$1002,$B11,'compens8-Import'!$E$4:$E$1002,BV$1)</f>
        <v>7319</v>
      </c>
      <c r="BW11" s="8">
        <f>SUMIFS('compens8-Import'!$H$4:$H$1002,'compens8-Import'!$M$4:$M$1002,$B11,'compens8-Import'!$E$4:$E$1002,BW$1)</f>
        <v>0</v>
      </c>
      <c r="BX11" s="8">
        <f>SUMIFS('compens8-Import'!$H$4:$H$1002,'compens8-Import'!$M$4:$M$1002,$B11,'compens8-Import'!$E$4:$E$1002,BX$1)</f>
        <v>0</v>
      </c>
      <c r="BY11" s="8">
        <f>SUMIFS('compens8-Import'!$H$4:$H$1002,'compens8-Import'!$M$4:$M$1002,$B11,'compens8-Import'!$E$4:$E$1002,BY$1)</f>
        <v>0</v>
      </c>
      <c r="BZ11" s="8">
        <f>SUMIFS('compens8-Import'!$H$4:$H$1002,'compens8-Import'!$M$4:$M$1002,$B11,'compens8-Import'!$E$4:$E$1002,BZ$1)</f>
        <v>1789</v>
      </c>
      <c r="CA11" s="8">
        <f>SUMIFS('compens8-Import'!$H$4:$H$1002,'compens8-Import'!$M$4:$M$1002,$B11,'compens8-Import'!$E$4:$E$1002,CA$1)</f>
        <v>13043</v>
      </c>
      <c r="CB11" s="8">
        <f>SUMIFS('compens8-Import'!$H$4:$H$1002,'compens8-Import'!$M$4:$M$1002,$B11,'compens8-Import'!$E$4:$E$1002,CB$1)</f>
        <v>0</v>
      </c>
      <c r="CC11" s="8">
        <f>SUMIFS('compens8-Import'!$H$4:$H$1002,'compens8-Import'!$M$4:$M$1002,$B11,'compens8-Import'!$E$4:$E$1002,CC$1)</f>
        <v>0</v>
      </c>
      <c r="CD11" s="8">
        <f>SUMIFS('compens8-Import'!$H$4:$H$1002,'compens8-Import'!$M$4:$M$1002,$B11,'compens8-Import'!$E$4:$E$1002,CD$1)</f>
        <v>516131</v>
      </c>
      <c r="CE11" s="8">
        <f>SUMIFS('compens8-Import'!$H$4:$H$1002,'compens8-Import'!$M$4:$M$1002,$B11,'compens8-Import'!$E$4:$E$1002,CE$1)</f>
        <v>0</v>
      </c>
      <c r="CF11" s="8">
        <f>SUMIFS('compens8-Import'!$H$4:$H$1002,'compens8-Import'!$M$4:$M$1002,$B11,'compens8-Import'!$E$4:$E$1002,CF$1)</f>
        <v>0</v>
      </c>
      <c r="CG11" s="8">
        <f>SUMIFS('compens8-Import'!$H$4:$H$1002,'compens8-Import'!$M$4:$M$1002,$B11,'compens8-Import'!$E$4:$E$1002,CG$1)</f>
        <v>0</v>
      </c>
      <c r="CH11" s="8">
        <f>SUMIFS('compens8-Import'!$H$4:$H$1002,'compens8-Import'!$M$4:$M$1002,$B11,'compens8-Import'!$E$4:$E$1002,CH$1)</f>
        <v>0</v>
      </c>
      <c r="CI11" s="8">
        <f>SUMIFS('compens8-Import'!$H$4:$H$1002,'compens8-Import'!$M$4:$M$1002,$B11,'compens8-Import'!$E$4:$E$1002,CI$1)</f>
        <v>0</v>
      </c>
      <c r="CJ11" s="8">
        <f>SUMIFS('compens8-Import'!$H$4:$H$1002,'compens8-Import'!$M$4:$M$1002,$B11,'compens8-Import'!$E$4:$E$1002,CJ$1)</f>
        <v>0</v>
      </c>
      <c r="CK11" s="8">
        <f>SUMIFS('compens8-Import'!$H$4:$H$1002,'compens8-Import'!$M$4:$M$1002,$B11,'compens8-Import'!$E$4:$E$1002,CK$1)</f>
        <v>0</v>
      </c>
      <c r="CL11" s="8">
        <f>SUMIFS('compens8-Import'!$H$4:$H$1002,'compens8-Import'!$M$4:$M$1002,$B11,'compens8-Import'!$E$4:$E$1002,CL$1)</f>
        <v>0</v>
      </c>
      <c r="CM11" s="8">
        <f>SUMIFS('compens8-Import'!$H$4:$H$1002,'compens8-Import'!$M$4:$M$1002,$B11,'compens8-Import'!$E$4:$E$1002,CM$1)</f>
        <v>0</v>
      </c>
      <c r="CN11" s="8">
        <f>SUMIFS('compens8-Import'!$H$4:$H$1002,'compens8-Import'!$M$4:$M$1002,$B11,'compens8-Import'!$E$4:$E$1002,CN$1)</f>
        <v>0</v>
      </c>
    </row>
    <row r="12" spans="1:92" x14ac:dyDescent="0.25">
      <c r="A12" s="2" t="s">
        <v>32</v>
      </c>
      <c r="B12" s="2" t="str">
        <f>_xlfn.XLOOKUP(A12,'Correspondances pays'!$A$4:$A$200,'Correspondances pays'!$B$4:$B$200)</f>
        <v>Finland</v>
      </c>
      <c r="C12" s="44">
        <f>AutoConsommation!F11</f>
        <v>44648.32</v>
      </c>
      <c r="D12" s="8">
        <f t="shared" si="0"/>
        <v>44648.32</v>
      </c>
      <c r="E12" s="8">
        <f>SUMIFS('compens8-Import'!$H$4:$H$1002,'compens8-Import'!$M$4:$M$1002,$B12,'compens8-Import'!$E$4:$E$1002,E$1)</f>
        <v>0</v>
      </c>
      <c r="F12" s="8">
        <f>SUMIFS('compens8-Import'!$H$4:$H$1002,'compens8-Import'!$M$4:$M$1002,$B12,'compens8-Import'!$E$4:$E$1002,F$1)</f>
        <v>0</v>
      </c>
      <c r="G12" s="8">
        <f>SUMIFS('compens8-Import'!$H$4:$H$1002,'compens8-Import'!$M$4:$M$1002,$B12,'compens8-Import'!$E$4:$E$1002,G$1)</f>
        <v>0</v>
      </c>
      <c r="H12" s="8">
        <f>SUMIFS('compens8-Import'!$H$4:$H$1002,'compens8-Import'!$M$4:$M$1002,$B12,'compens8-Import'!$E$4:$E$1002,H$1)</f>
        <v>0</v>
      </c>
      <c r="I12" s="8">
        <f>SUMIFS('compens8-Import'!$H$4:$H$1002,'compens8-Import'!$M$4:$M$1002,$B12,'compens8-Import'!$E$4:$E$1002,I$1)</f>
        <v>120</v>
      </c>
      <c r="J12" s="8">
        <f>SUMIFS('compens8-Import'!$H$4:$H$1002,'compens8-Import'!$M$4:$M$1002,$B12,'compens8-Import'!$E$4:$E$1002,J$1)</f>
        <v>558</v>
      </c>
      <c r="K12" s="8">
        <f>SUMIFS('compens8-Import'!$H$4:$H$1002,'compens8-Import'!$M$4:$M$1002,$B12,'compens8-Import'!$E$4:$E$1002,K$1)</f>
        <v>0</v>
      </c>
      <c r="L12" s="8">
        <f>SUMIFS('compens8-Import'!$H$4:$H$1002,'compens8-Import'!$M$4:$M$1002,$B12,'compens8-Import'!$E$4:$E$1002,L$1)</f>
        <v>885</v>
      </c>
      <c r="M12" s="8">
        <f>SUMIFS('compens8-Import'!$H$4:$H$1002,'compens8-Import'!$M$4:$M$1002,$B12,'compens8-Import'!$E$4:$E$1002,M$1)</f>
        <v>0</v>
      </c>
      <c r="N12" s="8">
        <f>SUMIFS('compens8-Import'!$H$4:$H$1002,'compens8-Import'!$M$4:$M$1002,$B12,'compens8-Import'!$E$4:$E$1002,N$1)</f>
        <v>191</v>
      </c>
      <c r="O12" s="8">
        <f>SUMIFS('compens8-Import'!$H$4:$H$1002,'compens8-Import'!$M$4:$M$1002,$B12,'compens8-Import'!$E$4:$E$1002,O$1)</f>
        <v>4</v>
      </c>
      <c r="P12" s="8">
        <f>SUMIFS('compens8-Import'!$H$4:$H$1002,'compens8-Import'!$M$4:$M$1002,$B12,'compens8-Import'!$E$4:$E$1002,P$1)</f>
        <v>0</v>
      </c>
      <c r="Q12" s="8">
        <f>SUMIFS('compens8-Import'!$H$4:$H$1002,'compens8-Import'!$M$4:$M$1002,$B12,'compens8-Import'!$E$4:$E$1002,Q$1)</f>
        <v>12.709999999999999</v>
      </c>
      <c r="R12" s="8">
        <f>SUMIFS('compens8-Import'!$H$4:$H$1002,'compens8-Import'!$M$4:$M$1002,$B12,'compens8-Import'!$E$4:$E$1002,R$1)</f>
        <v>0</v>
      </c>
      <c r="S12" s="8">
        <f>SUMIFS('compens8-Import'!$H$4:$H$1002,'compens8-Import'!$M$4:$M$1002,$B12,'compens8-Import'!$E$4:$E$1002,S$1)</f>
        <v>0</v>
      </c>
      <c r="T12" s="8">
        <f>SUMIFS('compens8-Import'!$H$4:$H$1002,'compens8-Import'!$M$4:$M$1002,$B12,'compens8-Import'!$E$4:$E$1002,T$1)</f>
        <v>0</v>
      </c>
      <c r="U12" s="8">
        <f>SUMIFS('compens8-Import'!$H$4:$H$1002,'compens8-Import'!$M$4:$M$1002,$B12,'compens8-Import'!$E$4:$E$1002,U$1)</f>
        <v>0</v>
      </c>
      <c r="V12" s="8">
        <f>SUMIFS('compens8-Import'!$H$4:$H$1002,'compens8-Import'!$M$4:$M$1002,$B12,'compens8-Import'!$E$4:$E$1002,V$1)</f>
        <v>0</v>
      </c>
      <c r="W12" s="8">
        <f>SUMIFS('compens8-Import'!$H$4:$H$1002,'compens8-Import'!$M$4:$M$1002,$B12,'compens8-Import'!$E$4:$E$1002,W$1)</f>
        <v>0</v>
      </c>
      <c r="X12" s="8">
        <f>SUMIFS('compens8-Import'!$H$4:$H$1002,'compens8-Import'!$M$4:$M$1002,$B12,'compens8-Import'!$E$4:$E$1002,X$1)</f>
        <v>0</v>
      </c>
      <c r="Y12" s="8">
        <f>SUMIFS('compens8-Import'!$H$4:$H$1002,'compens8-Import'!$M$4:$M$1002,$B12,'compens8-Import'!$E$4:$E$1002,Y$1)</f>
        <v>0</v>
      </c>
      <c r="Z12" s="8">
        <f>SUMIFS('compens8-Import'!$H$4:$H$1002,'compens8-Import'!$M$4:$M$1002,$B12,'compens8-Import'!$E$4:$E$1002,Z$1)</f>
        <v>0</v>
      </c>
      <c r="AA12" s="8">
        <f>SUMIFS('compens8-Import'!$H$4:$H$1002,'compens8-Import'!$M$4:$M$1002,$B12,'compens8-Import'!$E$4:$E$1002,AA$1)</f>
        <v>0</v>
      </c>
      <c r="AB12" s="8">
        <f>SUMIFS('compens8-Import'!$H$4:$H$1002,'compens8-Import'!$M$4:$M$1002,$B12,'compens8-Import'!$E$4:$E$1002,AB$1)</f>
        <v>0</v>
      </c>
      <c r="AC12" s="8">
        <f>SUMIFS('compens8-Import'!$H$4:$H$1002,'compens8-Import'!$M$4:$M$1002,$B12,'compens8-Import'!$E$4:$E$1002,AC$1)</f>
        <v>0</v>
      </c>
      <c r="AD12" s="8">
        <f>SUMIFS('compens8-Import'!$H$4:$H$1002,'compens8-Import'!$M$4:$M$1002,$B12,'compens8-Import'!$E$4:$E$1002,AD$1)</f>
        <v>0</v>
      </c>
      <c r="AE12" s="8">
        <f>SUMIFS('compens8-Import'!$H$4:$H$1002,'compens8-Import'!$M$4:$M$1002,$B12,'compens8-Import'!$E$4:$E$1002,AE$1)</f>
        <v>1616</v>
      </c>
      <c r="AF12" s="8">
        <f>SUMIFS('compens8-Import'!$H$4:$H$1002,'compens8-Import'!$M$4:$M$1002,$B12,'compens8-Import'!$E$4:$E$1002,AF$1)</f>
        <v>0</v>
      </c>
      <c r="AG12" s="8">
        <f>SUMIFS('compens8-Import'!$H$4:$H$1002,'compens8-Import'!$M$4:$M$1002,$B12,'compens8-Import'!$E$4:$E$1002,AG$1)</f>
        <v>0</v>
      </c>
      <c r="AH12" s="8">
        <f>SUMIFS('compens8-Import'!$H$4:$H$1002,'compens8-Import'!$M$4:$M$1002,$B12,'compens8-Import'!$E$4:$E$1002,AH$1)</f>
        <v>0</v>
      </c>
      <c r="AI12" s="8">
        <f>SUMIFS('compens8-Import'!$H$4:$H$1002,'compens8-Import'!$M$4:$M$1002,$B12,'compens8-Import'!$E$4:$E$1002,AI$1)</f>
        <v>139</v>
      </c>
      <c r="AJ12" s="8">
        <f>SUMIFS('compens8-Import'!$H$4:$H$1002,'compens8-Import'!$M$4:$M$1002,$B12,'compens8-Import'!$E$4:$E$1002,AJ$1)</f>
        <v>79</v>
      </c>
      <c r="AK12" s="8">
        <f>SUMIFS('compens8-Import'!$H$4:$H$1002,'compens8-Import'!$M$4:$M$1002,$B12,'compens8-Import'!$E$4:$E$1002,AK$1)</f>
        <v>0</v>
      </c>
      <c r="AL12" s="8">
        <f>SUMIFS('compens8-Import'!$H$4:$H$1002,'compens8-Import'!$M$4:$M$1002,$B12,'compens8-Import'!$E$4:$E$1002,AL$1)</f>
        <v>0</v>
      </c>
      <c r="AM12" s="8">
        <f>SUMIFS('compens8-Import'!$H$4:$H$1002,'compens8-Import'!$M$4:$M$1002,$B12,'compens8-Import'!$E$4:$E$1002,AM$1)</f>
        <v>0</v>
      </c>
      <c r="AN12" s="8">
        <f>SUMIFS('compens8-Import'!$H$4:$H$1002,'compens8-Import'!$M$4:$M$1002,$B12,'compens8-Import'!$E$4:$E$1002,AN$1)</f>
        <v>0</v>
      </c>
      <c r="AO12" s="8">
        <f>SUMIFS('compens8-Import'!$H$4:$H$1002,'compens8-Import'!$M$4:$M$1002,$B12,'compens8-Import'!$E$4:$E$1002,AO$1)</f>
        <v>0</v>
      </c>
      <c r="AP12" s="8">
        <f>SUMIFS('compens8-Import'!$H$4:$H$1002,'compens8-Import'!$M$4:$M$1002,$B12,'compens8-Import'!$E$4:$E$1002,AP$1)</f>
        <v>1</v>
      </c>
      <c r="AQ12" s="8">
        <f>SUMIFS('compens8-Import'!$H$4:$H$1002,'compens8-Import'!$M$4:$M$1002,$B12,'compens8-Import'!$E$4:$E$1002,AQ$1)</f>
        <v>3.7199999999999998</v>
      </c>
      <c r="AR12" s="8">
        <f>SUMIFS('compens8-Import'!$H$4:$H$1002,'compens8-Import'!$M$4:$M$1002,$B12,'compens8-Import'!$E$4:$E$1002,AR$1)</f>
        <v>0</v>
      </c>
      <c r="AS12" s="8">
        <f>SUMIFS('compens8-Import'!$H$4:$H$1002,'compens8-Import'!$M$4:$M$1002,$B12,'compens8-Import'!$E$4:$E$1002,AS$1)</f>
        <v>0</v>
      </c>
      <c r="AT12" s="8">
        <f>SUMIFS('compens8-Import'!$H$4:$H$1002,'compens8-Import'!$M$4:$M$1002,$B12,'compens8-Import'!$E$4:$E$1002,AT$1)</f>
        <v>0</v>
      </c>
      <c r="AU12" s="8">
        <f>SUMIFS('compens8-Import'!$H$4:$H$1002,'compens8-Import'!$M$4:$M$1002,$B12,'compens8-Import'!$E$4:$E$1002,AU$1)</f>
        <v>6</v>
      </c>
      <c r="AV12" s="8">
        <f>SUMIFS('compens8-Import'!$H$4:$H$1002,'compens8-Import'!$M$4:$M$1002,$B12,'compens8-Import'!$E$4:$E$1002,AV$1)</f>
        <v>188</v>
      </c>
      <c r="AW12" s="8">
        <f>SUMIFS('compens8-Import'!$H$4:$H$1002,'compens8-Import'!$M$4:$M$1002,$B12,'compens8-Import'!$E$4:$E$1002,AW$1)</f>
        <v>0</v>
      </c>
      <c r="AX12" s="8">
        <f>SUMIFS('compens8-Import'!$H$4:$H$1002,'compens8-Import'!$M$4:$M$1002,$B12,'compens8-Import'!$E$4:$E$1002,AX$1)</f>
        <v>0</v>
      </c>
      <c r="AY12" s="8">
        <f>SUMIFS('compens8-Import'!$H$4:$H$1002,'compens8-Import'!$M$4:$M$1002,$B12,'compens8-Import'!$E$4:$E$1002,AY$1)</f>
        <v>0</v>
      </c>
      <c r="AZ12" s="8">
        <f>SUMIFS('compens8-Import'!$H$4:$H$1002,'compens8-Import'!$M$4:$M$1002,$B12,'compens8-Import'!$E$4:$E$1002,AZ$1)</f>
        <v>0</v>
      </c>
      <c r="BA12" s="8">
        <f>SUMIFS('compens8-Import'!$H$4:$H$1002,'compens8-Import'!$M$4:$M$1002,$B12,'compens8-Import'!$E$4:$E$1002,BA$1)</f>
        <v>0</v>
      </c>
      <c r="BB12" s="8">
        <f>SUMIFS('compens8-Import'!$H$4:$H$1002,'compens8-Import'!$M$4:$M$1002,$B12,'compens8-Import'!$E$4:$E$1002,BB$1)</f>
        <v>0</v>
      </c>
      <c r="BC12" s="8">
        <f>SUMIFS('compens8-Import'!$H$4:$H$1002,'compens8-Import'!$M$4:$M$1002,$B12,'compens8-Import'!$E$4:$E$1002,BC$1)</f>
        <v>1768</v>
      </c>
      <c r="BD12" s="8">
        <f>SUMIFS('compens8-Import'!$H$4:$H$1002,'compens8-Import'!$M$4:$M$1002,$B12,'compens8-Import'!$E$4:$E$1002,BD$1)</f>
        <v>0</v>
      </c>
      <c r="BE12" s="8">
        <f>SUMIFS('compens8-Import'!$H$4:$H$1002,'compens8-Import'!$M$4:$M$1002,$B12,'compens8-Import'!$E$4:$E$1002,BE$1)</f>
        <v>0</v>
      </c>
      <c r="BF12" s="8">
        <f>SUMIFS('compens8-Import'!$H$4:$H$1002,'compens8-Import'!$M$4:$M$1002,$B12,'compens8-Import'!$E$4:$E$1002,BF$1)</f>
        <v>26272</v>
      </c>
      <c r="BG12" s="8">
        <f>SUMIFS('compens8-Import'!$H$4:$H$1002,'compens8-Import'!$M$4:$M$1002,$B12,'compens8-Import'!$E$4:$E$1002,BG$1)</f>
        <v>0</v>
      </c>
      <c r="BH12" s="8">
        <f>SUMIFS('compens8-Import'!$H$4:$H$1002,'compens8-Import'!$M$4:$M$1002,$B12,'compens8-Import'!$E$4:$E$1002,BH$1)</f>
        <v>0</v>
      </c>
      <c r="BI12" s="8">
        <f>SUMIFS('compens8-Import'!$H$4:$H$1002,'compens8-Import'!$M$4:$M$1002,$B12,'compens8-Import'!$E$4:$E$1002,BI$1)</f>
        <v>0</v>
      </c>
      <c r="BJ12" s="8">
        <f>SUMIFS('compens8-Import'!$H$4:$H$1002,'compens8-Import'!$M$4:$M$1002,$B12,'compens8-Import'!$E$4:$E$1002,BJ$1)</f>
        <v>0</v>
      </c>
      <c r="BK12" s="8">
        <f>SUMIFS('compens8-Import'!$H$4:$H$1002,'compens8-Import'!$M$4:$M$1002,$B12,'compens8-Import'!$E$4:$E$1002,BK$1)</f>
        <v>0</v>
      </c>
      <c r="BL12" s="8">
        <f>SUMIFS('compens8-Import'!$H$4:$H$1002,'compens8-Import'!$M$4:$M$1002,$B12,'compens8-Import'!$E$4:$E$1002,BL$1)</f>
        <v>0</v>
      </c>
      <c r="BM12" s="8">
        <f>SUMIFS('compens8-Import'!$H$4:$H$1002,'compens8-Import'!$M$4:$M$1002,$B12,'compens8-Import'!$E$4:$E$1002,BM$1)</f>
        <v>203</v>
      </c>
      <c r="BN12" s="8">
        <f>SUMIFS('compens8-Import'!$H$4:$H$1002,'compens8-Import'!$M$4:$M$1002,$B12,'compens8-Import'!$E$4:$E$1002,BN$1)</f>
        <v>0</v>
      </c>
      <c r="BO12" s="8">
        <f>SUMIFS('compens8-Import'!$H$4:$H$1002,'compens8-Import'!$M$4:$M$1002,$B12,'compens8-Import'!$E$4:$E$1002,BO$1)</f>
        <v>0</v>
      </c>
      <c r="BP12" s="8">
        <f>SUMIFS('compens8-Import'!$H$4:$H$1002,'compens8-Import'!$M$4:$M$1002,$B12,'compens8-Import'!$E$4:$E$1002,BP$1)</f>
        <v>0</v>
      </c>
      <c r="BQ12" s="8">
        <f>SUMIFS('compens8-Import'!$H$4:$H$1002,'compens8-Import'!$M$4:$M$1002,$B12,'compens8-Import'!$E$4:$E$1002,BQ$1)</f>
        <v>2</v>
      </c>
      <c r="BR12" s="8">
        <f>SUMIFS('compens8-Import'!$H$4:$H$1002,'compens8-Import'!$M$4:$M$1002,$B12,'compens8-Import'!$E$4:$E$1002,BR$1)</f>
        <v>0</v>
      </c>
      <c r="BS12" s="8">
        <f>SUMIFS('compens8-Import'!$H$4:$H$1002,'compens8-Import'!$M$4:$M$1002,$B12,'compens8-Import'!$E$4:$E$1002,BS$1)</f>
        <v>0</v>
      </c>
      <c r="BT12" s="8">
        <f>SUMIFS('compens8-Import'!$H$4:$H$1002,'compens8-Import'!$M$4:$M$1002,$B12,'compens8-Import'!$E$4:$E$1002,BT$1)</f>
        <v>0</v>
      </c>
      <c r="BU12" s="8">
        <f>SUMIFS('compens8-Import'!$H$4:$H$1002,'compens8-Import'!$M$4:$M$1002,$B12,'compens8-Import'!$E$4:$E$1002,BU$1)</f>
        <v>0</v>
      </c>
      <c r="BV12" s="8">
        <f>SUMIFS('compens8-Import'!$H$4:$H$1002,'compens8-Import'!$M$4:$M$1002,$B12,'compens8-Import'!$E$4:$E$1002,BV$1)</f>
        <v>10534</v>
      </c>
      <c r="BW12" s="8">
        <f>SUMIFS('compens8-Import'!$H$4:$H$1002,'compens8-Import'!$M$4:$M$1002,$B12,'compens8-Import'!$E$4:$E$1002,BW$1)</f>
        <v>0</v>
      </c>
      <c r="BX12" s="8">
        <f>SUMIFS('compens8-Import'!$H$4:$H$1002,'compens8-Import'!$M$4:$M$1002,$B12,'compens8-Import'!$E$4:$E$1002,BX$1)</f>
        <v>0</v>
      </c>
      <c r="BY12" s="8">
        <f>SUMIFS('compens8-Import'!$H$4:$H$1002,'compens8-Import'!$M$4:$M$1002,$B12,'compens8-Import'!$E$4:$E$1002,BY$1)</f>
        <v>0</v>
      </c>
      <c r="BZ12" s="8">
        <f>SUMIFS('compens8-Import'!$H$4:$H$1002,'compens8-Import'!$M$4:$M$1002,$B12,'compens8-Import'!$E$4:$E$1002,BZ$1)</f>
        <v>0</v>
      </c>
      <c r="CA12" s="8">
        <f>SUMIFS('compens8-Import'!$H$4:$H$1002,'compens8-Import'!$M$4:$M$1002,$B12,'compens8-Import'!$E$4:$E$1002,CA$1)</f>
        <v>0</v>
      </c>
      <c r="CB12" s="8">
        <f>SUMIFS('compens8-Import'!$H$4:$H$1002,'compens8-Import'!$M$4:$M$1002,$B12,'compens8-Import'!$E$4:$E$1002,CB$1)</f>
        <v>0</v>
      </c>
      <c r="CC12" s="8">
        <f>SUMIFS('compens8-Import'!$H$4:$H$1002,'compens8-Import'!$M$4:$M$1002,$B12,'compens8-Import'!$E$4:$E$1002,CC$1)</f>
        <v>0</v>
      </c>
      <c r="CD12" s="8">
        <f>SUMIFS('compens8-Import'!$H$4:$H$1002,'compens8-Import'!$M$4:$M$1002,$B12,'compens8-Import'!$E$4:$E$1002,CD$1)</f>
        <v>1757</v>
      </c>
      <c r="CE12" s="8">
        <f>SUMIFS('compens8-Import'!$H$4:$H$1002,'compens8-Import'!$M$4:$M$1002,$B12,'compens8-Import'!$E$4:$E$1002,CE$1)</f>
        <v>3</v>
      </c>
      <c r="CF12" s="8">
        <f>SUMIFS('compens8-Import'!$H$4:$H$1002,'compens8-Import'!$M$4:$M$1002,$B12,'compens8-Import'!$E$4:$E$1002,CF$1)</f>
        <v>5.89</v>
      </c>
      <c r="CG12" s="8">
        <f>SUMIFS('compens8-Import'!$H$4:$H$1002,'compens8-Import'!$M$4:$M$1002,$B12,'compens8-Import'!$E$4:$E$1002,CG$1)</f>
        <v>0</v>
      </c>
      <c r="CH12" s="8">
        <f>SUMIFS('compens8-Import'!$H$4:$H$1002,'compens8-Import'!$M$4:$M$1002,$B12,'compens8-Import'!$E$4:$E$1002,CH$1)</f>
        <v>0</v>
      </c>
      <c r="CI12" s="8">
        <f>SUMIFS('compens8-Import'!$H$4:$H$1002,'compens8-Import'!$M$4:$M$1002,$B12,'compens8-Import'!$E$4:$E$1002,CI$1)</f>
        <v>300</v>
      </c>
      <c r="CJ12" s="8">
        <f>SUMIFS('compens8-Import'!$H$4:$H$1002,'compens8-Import'!$M$4:$M$1002,$B12,'compens8-Import'!$E$4:$E$1002,CJ$1)</f>
        <v>0</v>
      </c>
      <c r="CK12" s="8">
        <f>SUMIFS('compens8-Import'!$H$4:$H$1002,'compens8-Import'!$M$4:$M$1002,$B12,'compens8-Import'!$E$4:$E$1002,CK$1)</f>
        <v>0</v>
      </c>
      <c r="CL12" s="8">
        <f>SUMIFS('compens8-Import'!$H$4:$H$1002,'compens8-Import'!$M$4:$M$1002,$B12,'compens8-Import'!$E$4:$E$1002,CL$1)</f>
        <v>0</v>
      </c>
      <c r="CM12" s="8">
        <f>SUMIFS('compens8-Import'!$H$4:$H$1002,'compens8-Import'!$M$4:$M$1002,$B12,'compens8-Import'!$E$4:$E$1002,CM$1)</f>
        <v>0</v>
      </c>
      <c r="CN12" s="8">
        <f>SUMIFS('compens8-Import'!$H$4:$H$1002,'compens8-Import'!$M$4:$M$1002,$B12,'compens8-Import'!$E$4:$E$1002,CN$1)</f>
        <v>0</v>
      </c>
    </row>
    <row r="13" spans="1:92" x14ac:dyDescent="0.25">
      <c r="A13" s="2" t="s">
        <v>33</v>
      </c>
      <c r="B13" s="2" t="str">
        <f>_xlfn.XLOOKUP(A13,'Correspondances pays'!$A$4:$A$200,'Correspondances pays'!$B$4:$B$200)</f>
        <v>France</v>
      </c>
      <c r="C13" s="44">
        <f>AutoConsommation!F12</f>
        <v>548846</v>
      </c>
      <c r="D13" s="8">
        <f t="shared" si="0"/>
        <v>548846</v>
      </c>
      <c r="E13" s="8">
        <f>SUMIFS('compens8-Import'!$H$4:$H$1002,'compens8-Import'!$M$4:$M$1002,$B13,'compens8-Import'!$E$4:$E$1002,E$1)</f>
        <v>0</v>
      </c>
      <c r="F13" s="8">
        <f>SUMIFS('compens8-Import'!$H$4:$H$1002,'compens8-Import'!$M$4:$M$1002,$B13,'compens8-Import'!$E$4:$E$1002,F$1)</f>
        <v>0</v>
      </c>
      <c r="G13" s="8">
        <f>SUMIFS('compens8-Import'!$H$4:$H$1002,'compens8-Import'!$M$4:$M$1002,$B13,'compens8-Import'!$E$4:$E$1002,G$1)</f>
        <v>0</v>
      </c>
      <c r="H13" s="8">
        <f>SUMIFS('compens8-Import'!$H$4:$H$1002,'compens8-Import'!$M$4:$M$1002,$B13,'compens8-Import'!$E$4:$E$1002,H$1)</f>
        <v>0</v>
      </c>
      <c r="I13" s="8">
        <f>SUMIFS('compens8-Import'!$H$4:$H$1002,'compens8-Import'!$M$4:$M$1002,$B13,'compens8-Import'!$E$4:$E$1002,I$1)</f>
        <v>0</v>
      </c>
      <c r="J13" s="8">
        <f>SUMIFS('compens8-Import'!$H$4:$H$1002,'compens8-Import'!$M$4:$M$1002,$B13,'compens8-Import'!$E$4:$E$1002,J$1)</f>
        <v>5325</v>
      </c>
      <c r="K13" s="8">
        <f>SUMIFS('compens8-Import'!$H$4:$H$1002,'compens8-Import'!$M$4:$M$1002,$B13,'compens8-Import'!$E$4:$E$1002,K$1)</f>
        <v>0</v>
      </c>
      <c r="L13" s="8">
        <f>SUMIFS('compens8-Import'!$H$4:$H$1002,'compens8-Import'!$M$4:$M$1002,$B13,'compens8-Import'!$E$4:$E$1002,L$1)</f>
        <v>4141</v>
      </c>
      <c r="M13" s="8">
        <f>SUMIFS('compens8-Import'!$H$4:$H$1002,'compens8-Import'!$M$4:$M$1002,$B13,'compens8-Import'!$E$4:$E$1002,M$1)</f>
        <v>0</v>
      </c>
      <c r="N13" s="8">
        <f>SUMIFS('compens8-Import'!$H$4:$H$1002,'compens8-Import'!$M$4:$M$1002,$B13,'compens8-Import'!$E$4:$E$1002,N$1)</f>
        <v>0</v>
      </c>
      <c r="O13" s="8">
        <f>SUMIFS('compens8-Import'!$H$4:$H$1002,'compens8-Import'!$M$4:$M$1002,$B13,'compens8-Import'!$E$4:$E$1002,O$1)</f>
        <v>7246</v>
      </c>
      <c r="P13" s="8">
        <f>SUMIFS('compens8-Import'!$H$4:$H$1002,'compens8-Import'!$M$4:$M$1002,$B13,'compens8-Import'!$E$4:$E$1002,P$1)</f>
        <v>0</v>
      </c>
      <c r="Q13" s="8">
        <f>SUMIFS('compens8-Import'!$H$4:$H$1002,'compens8-Import'!$M$4:$M$1002,$B13,'compens8-Import'!$E$4:$E$1002,Q$1)</f>
        <v>0</v>
      </c>
      <c r="R13" s="8">
        <f>SUMIFS('compens8-Import'!$H$4:$H$1002,'compens8-Import'!$M$4:$M$1002,$B13,'compens8-Import'!$E$4:$E$1002,R$1)</f>
        <v>0</v>
      </c>
      <c r="S13" s="8">
        <f>SUMIFS('compens8-Import'!$H$4:$H$1002,'compens8-Import'!$M$4:$M$1002,$B13,'compens8-Import'!$E$4:$E$1002,S$1)</f>
        <v>0</v>
      </c>
      <c r="T13" s="8">
        <f>SUMIFS('compens8-Import'!$H$4:$H$1002,'compens8-Import'!$M$4:$M$1002,$B13,'compens8-Import'!$E$4:$E$1002,T$1)</f>
        <v>10272</v>
      </c>
      <c r="U13" s="8">
        <f>SUMIFS('compens8-Import'!$H$4:$H$1002,'compens8-Import'!$M$4:$M$1002,$B13,'compens8-Import'!$E$4:$E$1002,U$1)</f>
        <v>12165</v>
      </c>
      <c r="V13" s="8">
        <f>SUMIFS('compens8-Import'!$H$4:$H$1002,'compens8-Import'!$M$4:$M$1002,$B13,'compens8-Import'!$E$4:$E$1002,V$1)</f>
        <v>0</v>
      </c>
      <c r="W13" s="8">
        <f>SUMIFS('compens8-Import'!$H$4:$H$1002,'compens8-Import'!$M$4:$M$1002,$B13,'compens8-Import'!$E$4:$E$1002,W$1)</f>
        <v>0</v>
      </c>
      <c r="X13" s="8">
        <f>SUMIFS('compens8-Import'!$H$4:$H$1002,'compens8-Import'!$M$4:$M$1002,$B13,'compens8-Import'!$E$4:$E$1002,X$1)</f>
        <v>0</v>
      </c>
      <c r="Y13" s="8">
        <f>SUMIFS('compens8-Import'!$H$4:$H$1002,'compens8-Import'!$M$4:$M$1002,$B13,'compens8-Import'!$E$4:$E$1002,Y$1)</f>
        <v>0</v>
      </c>
      <c r="Z13" s="8">
        <f>SUMIFS('compens8-Import'!$H$4:$H$1002,'compens8-Import'!$M$4:$M$1002,$B13,'compens8-Import'!$E$4:$E$1002,Z$1)</f>
        <v>0</v>
      </c>
      <c r="AA13" s="8">
        <f>SUMIFS('compens8-Import'!$H$4:$H$1002,'compens8-Import'!$M$4:$M$1002,$B13,'compens8-Import'!$E$4:$E$1002,AA$1)</f>
        <v>0</v>
      </c>
      <c r="AB13" s="8">
        <f>SUMIFS('compens8-Import'!$H$4:$H$1002,'compens8-Import'!$M$4:$M$1002,$B13,'compens8-Import'!$E$4:$E$1002,AB$1)</f>
        <v>0</v>
      </c>
      <c r="AC13" s="8">
        <f>SUMIFS('compens8-Import'!$H$4:$H$1002,'compens8-Import'!$M$4:$M$1002,$B13,'compens8-Import'!$E$4:$E$1002,AC$1)</f>
        <v>0</v>
      </c>
      <c r="AD13" s="8">
        <f>SUMIFS('compens8-Import'!$H$4:$H$1002,'compens8-Import'!$M$4:$M$1002,$B13,'compens8-Import'!$E$4:$E$1002,AD$1)</f>
        <v>0</v>
      </c>
      <c r="AE13" s="8">
        <f>SUMIFS('compens8-Import'!$H$4:$H$1002,'compens8-Import'!$M$4:$M$1002,$B13,'compens8-Import'!$E$4:$E$1002,AE$1)</f>
        <v>30534</v>
      </c>
      <c r="AF13" s="8">
        <f>SUMIFS('compens8-Import'!$H$4:$H$1002,'compens8-Import'!$M$4:$M$1002,$B13,'compens8-Import'!$E$4:$E$1002,AF$1)</f>
        <v>0</v>
      </c>
      <c r="AG13" s="8">
        <f>SUMIFS('compens8-Import'!$H$4:$H$1002,'compens8-Import'!$M$4:$M$1002,$B13,'compens8-Import'!$E$4:$E$1002,AG$1)</f>
        <v>0</v>
      </c>
      <c r="AH13" s="8">
        <f>SUMIFS('compens8-Import'!$H$4:$H$1002,'compens8-Import'!$M$4:$M$1002,$B13,'compens8-Import'!$E$4:$E$1002,AH$1)</f>
        <v>0</v>
      </c>
      <c r="AI13" s="8">
        <f>SUMIFS('compens8-Import'!$H$4:$H$1002,'compens8-Import'!$M$4:$M$1002,$B13,'compens8-Import'!$E$4:$E$1002,AI$1)</f>
        <v>0</v>
      </c>
      <c r="AJ13" s="8">
        <f>SUMIFS('compens8-Import'!$H$4:$H$1002,'compens8-Import'!$M$4:$M$1002,$B13,'compens8-Import'!$E$4:$E$1002,AJ$1)</f>
        <v>37341</v>
      </c>
      <c r="AK13" s="8">
        <f>SUMIFS('compens8-Import'!$H$4:$H$1002,'compens8-Import'!$M$4:$M$1002,$B13,'compens8-Import'!$E$4:$E$1002,AK$1)</f>
        <v>7869</v>
      </c>
      <c r="AL13" s="8">
        <f>SUMIFS('compens8-Import'!$H$4:$H$1002,'compens8-Import'!$M$4:$M$1002,$B13,'compens8-Import'!$E$4:$E$1002,AL$1)</f>
        <v>0</v>
      </c>
      <c r="AM13" s="8">
        <f>SUMIFS('compens8-Import'!$H$4:$H$1002,'compens8-Import'!$M$4:$M$1002,$B13,'compens8-Import'!$E$4:$E$1002,AM$1)</f>
        <v>0</v>
      </c>
      <c r="AN13" s="8">
        <f>SUMIFS('compens8-Import'!$H$4:$H$1002,'compens8-Import'!$M$4:$M$1002,$B13,'compens8-Import'!$E$4:$E$1002,AN$1)</f>
        <v>0</v>
      </c>
      <c r="AO13" s="8">
        <f>SUMIFS('compens8-Import'!$H$4:$H$1002,'compens8-Import'!$M$4:$M$1002,$B13,'compens8-Import'!$E$4:$E$1002,AO$1)</f>
        <v>0</v>
      </c>
      <c r="AP13" s="8">
        <f>SUMIFS('compens8-Import'!$H$4:$H$1002,'compens8-Import'!$M$4:$M$1002,$B13,'compens8-Import'!$E$4:$E$1002,AP$1)</f>
        <v>23675</v>
      </c>
      <c r="AQ13" s="8">
        <f>SUMIFS('compens8-Import'!$H$4:$H$1002,'compens8-Import'!$M$4:$M$1002,$B13,'compens8-Import'!$E$4:$E$1002,AQ$1)</f>
        <v>0</v>
      </c>
      <c r="AR13" s="8">
        <f>SUMIFS('compens8-Import'!$H$4:$H$1002,'compens8-Import'!$M$4:$M$1002,$B13,'compens8-Import'!$E$4:$E$1002,AR$1)</f>
        <v>0</v>
      </c>
      <c r="AS13" s="8">
        <f>SUMIFS('compens8-Import'!$H$4:$H$1002,'compens8-Import'!$M$4:$M$1002,$B13,'compens8-Import'!$E$4:$E$1002,AS$1)</f>
        <v>0</v>
      </c>
      <c r="AT13" s="8">
        <f>SUMIFS('compens8-Import'!$H$4:$H$1002,'compens8-Import'!$M$4:$M$1002,$B13,'compens8-Import'!$E$4:$E$1002,AT$1)</f>
        <v>0</v>
      </c>
      <c r="AU13" s="8">
        <f>SUMIFS('compens8-Import'!$H$4:$H$1002,'compens8-Import'!$M$4:$M$1002,$B13,'compens8-Import'!$E$4:$E$1002,AU$1)</f>
        <v>0</v>
      </c>
      <c r="AV13" s="8">
        <f>SUMIFS('compens8-Import'!$H$4:$H$1002,'compens8-Import'!$M$4:$M$1002,$B13,'compens8-Import'!$E$4:$E$1002,AV$1)</f>
        <v>25942</v>
      </c>
      <c r="AW13" s="8">
        <f>SUMIFS('compens8-Import'!$H$4:$H$1002,'compens8-Import'!$M$4:$M$1002,$B13,'compens8-Import'!$E$4:$E$1002,AW$1)</f>
        <v>0</v>
      </c>
      <c r="AX13" s="8">
        <f>SUMIFS('compens8-Import'!$H$4:$H$1002,'compens8-Import'!$M$4:$M$1002,$B13,'compens8-Import'!$E$4:$E$1002,AX$1)</f>
        <v>0</v>
      </c>
      <c r="AY13" s="8">
        <f>SUMIFS('compens8-Import'!$H$4:$H$1002,'compens8-Import'!$M$4:$M$1002,$B13,'compens8-Import'!$E$4:$E$1002,AY$1)</f>
        <v>0</v>
      </c>
      <c r="AZ13" s="8">
        <f>SUMIFS('compens8-Import'!$H$4:$H$1002,'compens8-Import'!$M$4:$M$1002,$B13,'compens8-Import'!$E$4:$E$1002,AZ$1)</f>
        <v>0</v>
      </c>
      <c r="BA13" s="8">
        <f>SUMIFS('compens8-Import'!$H$4:$H$1002,'compens8-Import'!$M$4:$M$1002,$B13,'compens8-Import'!$E$4:$E$1002,BA$1)</f>
        <v>11030</v>
      </c>
      <c r="BB13" s="8">
        <f>SUMIFS('compens8-Import'!$H$4:$H$1002,'compens8-Import'!$M$4:$M$1002,$B13,'compens8-Import'!$E$4:$E$1002,BB$1)</f>
        <v>0</v>
      </c>
      <c r="BC13" s="8">
        <f>SUMIFS('compens8-Import'!$H$4:$H$1002,'compens8-Import'!$M$4:$M$1002,$B13,'compens8-Import'!$E$4:$E$1002,BC$1)</f>
        <v>26026</v>
      </c>
      <c r="BD13" s="8">
        <f>SUMIFS('compens8-Import'!$H$4:$H$1002,'compens8-Import'!$M$4:$M$1002,$B13,'compens8-Import'!$E$4:$E$1002,BD$1)</f>
        <v>12613</v>
      </c>
      <c r="BE13" s="8">
        <f>SUMIFS('compens8-Import'!$H$4:$H$1002,'compens8-Import'!$M$4:$M$1002,$B13,'compens8-Import'!$E$4:$E$1002,BE$1)</f>
        <v>0</v>
      </c>
      <c r="BF13" s="8">
        <f>SUMIFS('compens8-Import'!$H$4:$H$1002,'compens8-Import'!$M$4:$M$1002,$B13,'compens8-Import'!$E$4:$E$1002,BF$1)</f>
        <v>98907</v>
      </c>
      <c r="BG13" s="8">
        <f>SUMIFS('compens8-Import'!$H$4:$H$1002,'compens8-Import'!$M$4:$M$1002,$B13,'compens8-Import'!$E$4:$E$1002,BG$1)</f>
        <v>11567</v>
      </c>
      <c r="BH13" s="8">
        <f>SUMIFS('compens8-Import'!$H$4:$H$1002,'compens8-Import'!$M$4:$M$1002,$B13,'compens8-Import'!$E$4:$E$1002,BH$1)</f>
        <v>0</v>
      </c>
      <c r="BI13" s="8">
        <f>SUMIFS('compens8-Import'!$H$4:$H$1002,'compens8-Import'!$M$4:$M$1002,$B13,'compens8-Import'!$E$4:$E$1002,BI$1)</f>
        <v>8510</v>
      </c>
      <c r="BJ13" s="8">
        <f>SUMIFS('compens8-Import'!$H$4:$H$1002,'compens8-Import'!$M$4:$M$1002,$B13,'compens8-Import'!$E$4:$E$1002,BJ$1)</f>
        <v>0</v>
      </c>
      <c r="BK13" s="8">
        <f>SUMIFS('compens8-Import'!$H$4:$H$1002,'compens8-Import'!$M$4:$M$1002,$B13,'compens8-Import'!$E$4:$E$1002,BK$1)</f>
        <v>0</v>
      </c>
      <c r="BL13" s="8">
        <f>SUMIFS('compens8-Import'!$H$4:$H$1002,'compens8-Import'!$M$4:$M$1002,$B13,'compens8-Import'!$E$4:$E$1002,BL$1)</f>
        <v>0</v>
      </c>
      <c r="BM13" s="8">
        <f>SUMIFS('compens8-Import'!$H$4:$H$1002,'compens8-Import'!$M$4:$M$1002,$B13,'compens8-Import'!$E$4:$E$1002,BM$1)</f>
        <v>55817</v>
      </c>
      <c r="BN13" s="8">
        <f>SUMIFS('compens8-Import'!$H$4:$H$1002,'compens8-Import'!$M$4:$M$1002,$B13,'compens8-Import'!$E$4:$E$1002,BN$1)</f>
        <v>10667</v>
      </c>
      <c r="BO13" s="8">
        <f>SUMIFS('compens8-Import'!$H$4:$H$1002,'compens8-Import'!$M$4:$M$1002,$B13,'compens8-Import'!$E$4:$E$1002,BO$1)</f>
        <v>0</v>
      </c>
      <c r="BP13" s="8">
        <f>SUMIFS('compens8-Import'!$H$4:$H$1002,'compens8-Import'!$M$4:$M$1002,$B13,'compens8-Import'!$E$4:$E$1002,BP$1)</f>
        <v>0</v>
      </c>
      <c r="BQ13" s="8">
        <f>SUMIFS('compens8-Import'!$H$4:$H$1002,'compens8-Import'!$M$4:$M$1002,$B13,'compens8-Import'!$E$4:$E$1002,BQ$1)</f>
        <v>0</v>
      </c>
      <c r="BR13" s="8">
        <f>SUMIFS('compens8-Import'!$H$4:$H$1002,'compens8-Import'!$M$4:$M$1002,$B13,'compens8-Import'!$E$4:$E$1002,BR$1)</f>
        <v>0</v>
      </c>
      <c r="BS13" s="8">
        <f>SUMIFS('compens8-Import'!$H$4:$H$1002,'compens8-Import'!$M$4:$M$1002,$B13,'compens8-Import'!$E$4:$E$1002,BS$1)</f>
        <v>17703</v>
      </c>
      <c r="BT13" s="8">
        <f>SUMIFS('compens8-Import'!$H$4:$H$1002,'compens8-Import'!$M$4:$M$1002,$B13,'compens8-Import'!$E$4:$E$1002,BT$1)</f>
        <v>39636</v>
      </c>
      <c r="BU13" s="8">
        <f>SUMIFS('compens8-Import'!$H$4:$H$1002,'compens8-Import'!$M$4:$M$1002,$B13,'compens8-Import'!$E$4:$E$1002,BU$1)</f>
        <v>0</v>
      </c>
      <c r="BV13" s="8">
        <f>SUMIFS('compens8-Import'!$H$4:$H$1002,'compens8-Import'!$M$4:$M$1002,$B13,'compens8-Import'!$E$4:$E$1002,BV$1)</f>
        <v>0</v>
      </c>
      <c r="BW13" s="8">
        <f>SUMIFS('compens8-Import'!$H$4:$H$1002,'compens8-Import'!$M$4:$M$1002,$B13,'compens8-Import'!$E$4:$E$1002,BW$1)</f>
        <v>45778</v>
      </c>
      <c r="BX13" s="8">
        <f>SUMIFS('compens8-Import'!$H$4:$H$1002,'compens8-Import'!$M$4:$M$1002,$B13,'compens8-Import'!$E$4:$E$1002,BX$1)</f>
        <v>0</v>
      </c>
      <c r="BY13" s="8">
        <f>SUMIFS('compens8-Import'!$H$4:$H$1002,'compens8-Import'!$M$4:$M$1002,$B13,'compens8-Import'!$E$4:$E$1002,BY$1)</f>
        <v>0</v>
      </c>
      <c r="BZ13" s="8">
        <f>SUMIFS('compens8-Import'!$H$4:$H$1002,'compens8-Import'!$M$4:$M$1002,$B13,'compens8-Import'!$E$4:$E$1002,BZ$1)</f>
        <v>0</v>
      </c>
      <c r="CA13" s="8">
        <f>SUMIFS('compens8-Import'!$H$4:$H$1002,'compens8-Import'!$M$4:$M$1002,$B13,'compens8-Import'!$E$4:$E$1002,CA$1)</f>
        <v>0</v>
      </c>
      <c r="CB13" s="8">
        <f>SUMIFS('compens8-Import'!$H$4:$H$1002,'compens8-Import'!$M$4:$M$1002,$B13,'compens8-Import'!$E$4:$E$1002,CB$1)</f>
        <v>0</v>
      </c>
      <c r="CC13" s="8">
        <f>SUMIFS('compens8-Import'!$H$4:$H$1002,'compens8-Import'!$M$4:$M$1002,$B13,'compens8-Import'!$E$4:$E$1002,CC$1)</f>
        <v>0</v>
      </c>
      <c r="CD13" s="8">
        <f>SUMIFS('compens8-Import'!$H$4:$H$1002,'compens8-Import'!$M$4:$M$1002,$B13,'compens8-Import'!$E$4:$E$1002,CD$1)</f>
        <v>35204</v>
      </c>
      <c r="CE13" s="8">
        <f>SUMIFS('compens8-Import'!$H$4:$H$1002,'compens8-Import'!$M$4:$M$1002,$B13,'compens8-Import'!$E$4:$E$1002,CE$1)</f>
        <v>5828</v>
      </c>
      <c r="CF13" s="8">
        <f>SUMIFS('compens8-Import'!$H$4:$H$1002,'compens8-Import'!$M$4:$M$1002,$B13,'compens8-Import'!$E$4:$E$1002,CF$1)</f>
        <v>5050</v>
      </c>
      <c r="CG13" s="8">
        <f>SUMIFS('compens8-Import'!$H$4:$H$1002,'compens8-Import'!$M$4:$M$1002,$B13,'compens8-Import'!$E$4:$E$1002,CG$1)</f>
        <v>0</v>
      </c>
      <c r="CH13" s="8">
        <f>SUMIFS('compens8-Import'!$H$4:$H$1002,'compens8-Import'!$M$4:$M$1002,$B13,'compens8-Import'!$E$4:$E$1002,CH$1)</f>
        <v>0</v>
      </c>
      <c r="CI13" s="8">
        <f>SUMIFS('compens8-Import'!$H$4:$H$1002,'compens8-Import'!$M$4:$M$1002,$B13,'compens8-Import'!$E$4:$E$1002,CI$1)</f>
        <v>0</v>
      </c>
      <c r="CJ13" s="8">
        <f>SUMIFS('compens8-Import'!$H$4:$H$1002,'compens8-Import'!$M$4:$M$1002,$B13,'compens8-Import'!$E$4:$E$1002,CJ$1)</f>
        <v>0</v>
      </c>
      <c r="CK13" s="8">
        <f>SUMIFS('compens8-Import'!$H$4:$H$1002,'compens8-Import'!$M$4:$M$1002,$B13,'compens8-Import'!$E$4:$E$1002,CK$1)</f>
        <v>0</v>
      </c>
      <c r="CL13" s="8">
        <f>SUMIFS('compens8-Import'!$H$4:$H$1002,'compens8-Import'!$M$4:$M$1002,$B13,'compens8-Import'!$E$4:$E$1002,CL$1)</f>
        <v>0</v>
      </c>
      <c r="CM13" s="8">
        <f>SUMIFS('compens8-Import'!$H$4:$H$1002,'compens8-Import'!$M$4:$M$1002,$B13,'compens8-Import'!$E$4:$E$1002,CM$1)</f>
        <v>0</v>
      </c>
      <c r="CN13" s="8">
        <f>SUMIFS('compens8-Import'!$H$4:$H$1002,'compens8-Import'!$M$4:$M$1002,$B13,'compens8-Import'!$E$4:$E$1002,CN$1)</f>
        <v>0</v>
      </c>
    </row>
    <row r="14" spans="1:92" x14ac:dyDescent="0.25">
      <c r="A14" s="2" t="s">
        <v>43</v>
      </c>
      <c r="B14" s="2" t="str">
        <f>_xlfn.XLOOKUP(A14,'Correspondances pays'!$A$4:$A$200,'Correspondances pays'!$B$4:$B$200)</f>
        <v>Hungary</v>
      </c>
      <c r="C14" s="44">
        <f>AutoConsommation!F13</f>
        <v>280466.68999999994</v>
      </c>
      <c r="D14" s="8">
        <f t="shared" si="0"/>
        <v>280466.68999999994</v>
      </c>
      <c r="E14" s="8">
        <f>SUMIFS('compens8-Import'!$H$4:$H$1002,'compens8-Import'!$M$4:$M$1002,$B14,'compens8-Import'!$E$4:$E$1002,E$1)</f>
        <v>0</v>
      </c>
      <c r="F14" s="8">
        <f>SUMIFS('compens8-Import'!$H$4:$H$1002,'compens8-Import'!$M$4:$M$1002,$B14,'compens8-Import'!$E$4:$E$1002,F$1)</f>
        <v>0</v>
      </c>
      <c r="G14" s="8">
        <f>SUMIFS('compens8-Import'!$H$4:$H$1002,'compens8-Import'!$M$4:$M$1002,$B14,'compens8-Import'!$E$4:$E$1002,G$1)</f>
        <v>0</v>
      </c>
      <c r="H14" s="8">
        <f>SUMIFS('compens8-Import'!$H$4:$H$1002,'compens8-Import'!$M$4:$M$1002,$B14,'compens8-Import'!$E$4:$E$1002,H$1)</f>
        <v>0</v>
      </c>
      <c r="I14" s="8">
        <f>SUMIFS('compens8-Import'!$H$4:$H$1002,'compens8-Import'!$M$4:$M$1002,$B14,'compens8-Import'!$E$4:$E$1002,I$1)</f>
        <v>0</v>
      </c>
      <c r="J14" s="8">
        <f>SUMIFS('compens8-Import'!$H$4:$H$1002,'compens8-Import'!$M$4:$M$1002,$B14,'compens8-Import'!$E$4:$E$1002,J$1)</f>
        <v>32839.85</v>
      </c>
      <c r="K14" s="8">
        <f>SUMIFS('compens8-Import'!$H$4:$H$1002,'compens8-Import'!$M$4:$M$1002,$B14,'compens8-Import'!$E$4:$E$1002,K$1)</f>
        <v>0</v>
      </c>
      <c r="L14" s="8">
        <f>SUMIFS('compens8-Import'!$H$4:$H$1002,'compens8-Import'!$M$4:$M$1002,$B14,'compens8-Import'!$E$4:$E$1002,L$1)</f>
        <v>0</v>
      </c>
      <c r="M14" s="8">
        <f>SUMIFS('compens8-Import'!$H$4:$H$1002,'compens8-Import'!$M$4:$M$1002,$B14,'compens8-Import'!$E$4:$E$1002,M$1)</f>
        <v>0</v>
      </c>
      <c r="N14" s="8">
        <f>SUMIFS('compens8-Import'!$H$4:$H$1002,'compens8-Import'!$M$4:$M$1002,$B14,'compens8-Import'!$E$4:$E$1002,N$1)</f>
        <v>0</v>
      </c>
      <c r="O14" s="8">
        <f>SUMIFS('compens8-Import'!$H$4:$H$1002,'compens8-Import'!$M$4:$M$1002,$B14,'compens8-Import'!$E$4:$E$1002,O$1)</f>
        <v>7699</v>
      </c>
      <c r="P14" s="8">
        <f>SUMIFS('compens8-Import'!$H$4:$H$1002,'compens8-Import'!$M$4:$M$1002,$B14,'compens8-Import'!$E$4:$E$1002,P$1)</f>
        <v>0</v>
      </c>
      <c r="Q14" s="8">
        <f>SUMIFS('compens8-Import'!$H$4:$H$1002,'compens8-Import'!$M$4:$M$1002,$B14,'compens8-Import'!$E$4:$E$1002,Q$1)</f>
        <v>0</v>
      </c>
      <c r="R14" s="8">
        <f>SUMIFS('compens8-Import'!$H$4:$H$1002,'compens8-Import'!$M$4:$M$1002,$B14,'compens8-Import'!$E$4:$E$1002,R$1)</f>
        <v>92.69</v>
      </c>
      <c r="S14" s="8">
        <f>SUMIFS('compens8-Import'!$H$4:$H$1002,'compens8-Import'!$M$4:$M$1002,$B14,'compens8-Import'!$E$4:$E$1002,S$1)</f>
        <v>0</v>
      </c>
      <c r="T14" s="8">
        <f>SUMIFS('compens8-Import'!$H$4:$H$1002,'compens8-Import'!$M$4:$M$1002,$B14,'compens8-Import'!$E$4:$E$1002,T$1)</f>
        <v>0</v>
      </c>
      <c r="U14" s="8">
        <f>SUMIFS('compens8-Import'!$H$4:$H$1002,'compens8-Import'!$M$4:$M$1002,$B14,'compens8-Import'!$E$4:$E$1002,U$1)</f>
        <v>0</v>
      </c>
      <c r="V14" s="8">
        <f>SUMIFS('compens8-Import'!$H$4:$H$1002,'compens8-Import'!$M$4:$M$1002,$B14,'compens8-Import'!$E$4:$E$1002,V$1)</f>
        <v>2</v>
      </c>
      <c r="W14" s="8">
        <f>SUMIFS('compens8-Import'!$H$4:$H$1002,'compens8-Import'!$M$4:$M$1002,$B14,'compens8-Import'!$E$4:$E$1002,W$1)</f>
        <v>0</v>
      </c>
      <c r="X14" s="8">
        <f>SUMIFS('compens8-Import'!$H$4:$H$1002,'compens8-Import'!$M$4:$M$1002,$B14,'compens8-Import'!$E$4:$E$1002,X$1)</f>
        <v>5726.63</v>
      </c>
      <c r="Y14" s="8">
        <f>SUMIFS('compens8-Import'!$H$4:$H$1002,'compens8-Import'!$M$4:$M$1002,$B14,'compens8-Import'!$E$4:$E$1002,Y$1)</f>
        <v>0</v>
      </c>
      <c r="Z14" s="8">
        <f>SUMIFS('compens8-Import'!$H$4:$H$1002,'compens8-Import'!$M$4:$M$1002,$B14,'compens8-Import'!$E$4:$E$1002,Z$1)</f>
        <v>0</v>
      </c>
      <c r="AA14" s="8">
        <f>SUMIFS('compens8-Import'!$H$4:$H$1002,'compens8-Import'!$M$4:$M$1002,$B14,'compens8-Import'!$E$4:$E$1002,AA$1)</f>
        <v>0</v>
      </c>
      <c r="AB14" s="8">
        <f>SUMIFS('compens8-Import'!$H$4:$H$1002,'compens8-Import'!$M$4:$M$1002,$B14,'compens8-Import'!$E$4:$E$1002,AB$1)</f>
        <v>0</v>
      </c>
      <c r="AC14" s="8">
        <f>SUMIFS('compens8-Import'!$H$4:$H$1002,'compens8-Import'!$M$4:$M$1002,$B14,'compens8-Import'!$E$4:$E$1002,AC$1)</f>
        <v>10309.36</v>
      </c>
      <c r="AD14" s="8">
        <f>SUMIFS('compens8-Import'!$H$4:$H$1002,'compens8-Import'!$M$4:$M$1002,$B14,'compens8-Import'!$E$4:$E$1002,AD$1)</f>
        <v>0</v>
      </c>
      <c r="AE14" s="8">
        <f>SUMIFS('compens8-Import'!$H$4:$H$1002,'compens8-Import'!$M$4:$M$1002,$B14,'compens8-Import'!$E$4:$E$1002,AE$1)</f>
        <v>2710.64</v>
      </c>
      <c r="AF14" s="8">
        <f>SUMIFS('compens8-Import'!$H$4:$H$1002,'compens8-Import'!$M$4:$M$1002,$B14,'compens8-Import'!$E$4:$E$1002,AF$1)</f>
        <v>0</v>
      </c>
      <c r="AG14" s="8">
        <f>SUMIFS('compens8-Import'!$H$4:$H$1002,'compens8-Import'!$M$4:$M$1002,$B14,'compens8-Import'!$E$4:$E$1002,AG$1)</f>
        <v>0</v>
      </c>
      <c r="AH14" s="8">
        <f>SUMIFS('compens8-Import'!$H$4:$H$1002,'compens8-Import'!$M$4:$M$1002,$B14,'compens8-Import'!$E$4:$E$1002,AH$1)</f>
        <v>0</v>
      </c>
      <c r="AI14" s="8">
        <f>SUMIFS('compens8-Import'!$H$4:$H$1002,'compens8-Import'!$M$4:$M$1002,$B14,'compens8-Import'!$E$4:$E$1002,AI$1)</f>
        <v>0</v>
      </c>
      <c r="AJ14" s="8">
        <f>SUMIFS('compens8-Import'!$H$4:$H$1002,'compens8-Import'!$M$4:$M$1002,$B14,'compens8-Import'!$E$4:$E$1002,AJ$1)</f>
        <v>0</v>
      </c>
      <c r="AK14" s="8">
        <f>SUMIFS('compens8-Import'!$H$4:$H$1002,'compens8-Import'!$M$4:$M$1002,$B14,'compens8-Import'!$E$4:$E$1002,AK$1)</f>
        <v>1500</v>
      </c>
      <c r="AL14" s="8">
        <f>SUMIFS('compens8-Import'!$H$4:$H$1002,'compens8-Import'!$M$4:$M$1002,$B14,'compens8-Import'!$E$4:$E$1002,AL$1)</f>
        <v>0</v>
      </c>
      <c r="AM14" s="8">
        <f>SUMIFS('compens8-Import'!$H$4:$H$1002,'compens8-Import'!$M$4:$M$1002,$B14,'compens8-Import'!$E$4:$E$1002,AM$1)</f>
        <v>0</v>
      </c>
      <c r="AN14" s="8">
        <f>SUMIFS('compens8-Import'!$H$4:$H$1002,'compens8-Import'!$M$4:$M$1002,$B14,'compens8-Import'!$E$4:$E$1002,AN$1)</f>
        <v>0</v>
      </c>
      <c r="AO14" s="8">
        <f>SUMIFS('compens8-Import'!$H$4:$H$1002,'compens8-Import'!$M$4:$M$1002,$B14,'compens8-Import'!$E$4:$E$1002,AO$1)</f>
        <v>0</v>
      </c>
      <c r="AP14" s="8">
        <f>SUMIFS('compens8-Import'!$H$4:$H$1002,'compens8-Import'!$M$4:$M$1002,$B14,'compens8-Import'!$E$4:$E$1002,AP$1)</f>
        <v>53019.3</v>
      </c>
      <c r="AQ14" s="8">
        <f>SUMIFS('compens8-Import'!$H$4:$H$1002,'compens8-Import'!$M$4:$M$1002,$B14,'compens8-Import'!$E$4:$E$1002,AQ$1)</f>
        <v>0</v>
      </c>
      <c r="AR14" s="8">
        <f>SUMIFS('compens8-Import'!$H$4:$H$1002,'compens8-Import'!$M$4:$M$1002,$B14,'compens8-Import'!$E$4:$E$1002,AR$1)</f>
        <v>0</v>
      </c>
      <c r="AS14" s="8">
        <f>SUMIFS('compens8-Import'!$H$4:$H$1002,'compens8-Import'!$M$4:$M$1002,$B14,'compens8-Import'!$E$4:$E$1002,AS$1)</f>
        <v>0</v>
      </c>
      <c r="AT14" s="8">
        <f>SUMIFS('compens8-Import'!$H$4:$H$1002,'compens8-Import'!$M$4:$M$1002,$B14,'compens8-Import'!$E$4:$E$1002,AT$1)</f>
        <v>167</v>
      </c>
      <c r="AU14" s="8">
        <f>SUMIFS('compens8-Import'!$H$4:$H$1002,'compens8-Import'!$M$4:$M$1002,$B14,'compens8-Import'!$E$4:$E$1002,AU$1)</f>
        <v>24</v>
      </c>
      <c r="AV14" s="8">
        <f>SUMIFS('compens8-Import'!$H$4:$H$1002,'compens8-Import'!$M$4:$M$1002,$B14,'compens8-Import'!$E$4:$E$1002,AV$1)</f>
        <v>0</v>
      </c>
      <c r="AW14" s="8">
        <f>SUMIFS('compens8-Import'!$H$4:$H$1002,'compens8-Import'!$M$4:$M$1002,$B14,'compens8-Import'!$E$4:$E$1002,AW$1)</f>
        <v>0</v>
      </c>
      <c r="AX14" s="8">
        <f>SUMIFS('compens8-Import'!$H$4:$H$1002,'compens8-Import'!$M$4:$M$1002,$B14,'compens8-Import'!$E$4:$E$1002,AX$1)</f>
        <v>0</v>
      </c>
      <c r="AY14" s="8">
        <f>SUMIFS('compens8-Import'!$H$4:$H$1002,'compens8-Import'!$M$4:$M$1002,$B14,'compens8-Import'!$E$4:$E$1002,AY$1)</f>
        <v>1153</v>
      </c>
      <c r="AZ14" s="8">
        <f>SUMIFS('compens8-Import'!$H$4:$H$1002,'compens8-Import'!$M$4:$M$1002,$B14,'compens8-Import'!$E$4:$E$1002,AZ$1)</f>
        <v>0</v>
      </c>
      <c r="BA14" s="8">
        <f>SUMIFS('compens8-Import'!$H$4:$H$1002,'compens8-Import'!$M$4:$M$1002,$B14,'compens8-Import'!$E$4:$E$1002,BA$1)</f>
        <v>0</v>
      </c>
      <c r="BB14" s="8">
        <f>SUMIFS('compens8-Import'!$H$4:$H$1002,'compens8-Import'!$M$4:$M$1002,$B14,'compens8-Import'!$E$4:$E$1002,BB$1)</f>
        <v>0</v>
      </c>
      <c r="BC14" s="8">
        <f>SUMIFS('compens8-Import'!$H$4:$H$1002,'compens8-Import'!$M$4:$M$1002,$B14,'compens8-Import'!$E$4:$E$1002,BC$1)</f>
        <v>91889</v>
      </c>
      <c r="BD14" s="8">
        <f>SUMIFS('compens8-Import'!$H$4:$H$1002,'compens8-Import'!$M$4:$M$1002,$B14,'compens8-Import'!$E$4:$E$1002,BD$1)</f>
        <v>0</v>
      </c>
      <c r="BE14" s="8">
        <f>SUMIFS('compens8-Import'!$H$4:$H$1002,'compens8-Import'!$M$4:$M$1002,$B14,'compens8-Import'!$E$4:$E$1002,BE$1)</f>
        <v>0</v>
      </c>
      <c r="BF14" s="8">
        <f>SUMIFS('compens8-Import'!$H$4:$H$1002,'compens8-Import'!$M$4:$M$1002,$B14,'compens8-Import'!$E$4:$E$1002,BF$1)</f>
        <v>0</v>
      </c>
      <c r="BG14" s="8">
        <f>SUMIFS('compens8-Import'!$H$4:$H$1002,'compens8-Import'!$M$4:$M$1002,$B14,'compens8-Import'!$E$4:$E$1002,BG$1)</f>
        <v>0</v>
      </c>
      <c r="BH14" s="8">
        <f>SUMIFS('compens8-Import'!$H$4:$H$1002,'compens8-Import'!$M$4:$M$1002,$B14,'compens8-Import'!$E$4:$E$1002,BH$1)</f>
        <v>0</v>
      </c>
      <c r="BI14" s="8">
        <f>SUMIFS('compens8-Import'!$H$4:$H$1002,'compens8-Import'!$M$4:$M$1002,$B14,'compens8-Import'!$E$4:$E$1002,BI$1)</f>
        <v>10420.65</v>
      </c>
      <c r="BJ14" s="8">
        <f>SUMIFS('compens8-Import'!$H$4:$H$1002,'compens8-Import'!$M$4:$M$1002,$B14,'compens8-Import'!$E$4:$E$1002,BJ$1)</f>
        <v>0</v>
      </c>
      <c r="BK14" s="8">
        <f>SUMIFS('compens8-Import'!$H$4:$H$1002,'compens8-Import'!$M$4:$M$1002,$B14,'compens8-Import'!$E$4:$E$1002,BK$1)</f>
        <v>0</v>
      </c>
      <c r="BL14" s="8">
        <f>SUMIFS('compens8-Import'!$H$4:$H$1002,'compens8-Import'!$M$4:$M$1002,$B14,'compens8-Import'!$E$4:$E$1002,BL$1)</f>
        <v>46132.03</v>
      </c>
      <c r="BM14" s="8">
        <f>SUMIFS('compens8-Import'!$H$4:$H$1002,'compens8-Import'!$M$4:$M$1002,$B14,'compens8-Import'!$E$4:$E$1002,BM$1)</f>
        <v>320</v>
      </c>
      <c r="BN14" s="8">
        <f>SUMIFS('compens8-Import'!$H$4:$H$1002,'compens8-Import'!$M$4:$M$1002,$B14,'compens8-Import'!$E$4:$E$1002,BN$1)</f>
        <v>24</v>
      </c>
      <c r="BO14" s="8">
        <f>SUMIFS('compens8-Import'!$H$4:$H$1002,'compens8-Import'!$M$4:$M$1002,$B14,'compens8-Import'!$E$4:$E$1002,BO$1)</f>
        <v>312</v>
      </c>
      <c r="BP14" s="8">
        <f>SUMIFS('compens8-Import'!$H$4:$H$1002,'compens8-Import'!$M$4:$M$1002,$B14,'compens8-Import'!$E$4:$E$1002,BP$1)</f>
        <v>0</v>
      </c>
      <c r="BQ14" s="8">
        <f>SUMIFS('compens8-Import'!$H$4:$H$1002,'compens8-Import'!$M$4:$M$1002,$B14,'compens8-Import'!$E$4:$E$1002,BQ$1)</f>
        <v>8753.16</v>
      </c>
      <c r="BR14" s="8">
        <f>SUMIFS('compens8-Import'!$H$4:$H$1002,'compens8-Import'!$M$4:$M$1002,$B14,'compens8-Import'!$E$4:$E$1002,BR$1)</f>
        <v>5257.91</v>
      </c>
      <c r="BS14" s="8">
        <f>SUMIFS('compens8-Import'!$H$4:$H$1002,'compens8-Import'!$M$4:$M$1002,$B14,'compens8-Import'!$E$4:$E$1002,BS$1)</f>
        <v>412</v>
      </c>
      <c r="BT14" s="8">
        <f>SUMIFS('compens8-Import'!$H$4:$H$1002,'compens8-Import'!$M$4:$M$1002,$B14,'compens8-Import'!$E$4:$E$1002,BT$1)</f>
        <v>107</v>
      </c>
      <c r="BU14" s="8">
        <f>SUMIFS('compens8-Import'!$H$4:$H$1002,'compens8-Import'!$M$4:$M$1002,$B14,'compens8-Import'!$E$4:$E$1002,BU$1)</f>
        <v>0</v>
      </c>
      <c r="BV14" s="8">
        <f>SUMIFS('compens8-Import'!$H$4:$H$1002,'compens8-Import'!$M$4:$M$1002,$B14,'compens8-Import'!$E$4:$E$1002,BV$1)</f>
        <v>1499.47</v>
      </c>
      <c r="BW14" s="8">
        <f>SUMIFS('compens8-Import'!$H$4:$H$1002,'compens8-Import'!$M$4:$M$1002,$B14,'compens8-Import'!$E$4:$E$1002,BW$1)</f>
        <v>0</v>
      </c>
      <c r="BX14" s="8">
        <f>SUMIFS('compens8-Import'!$H$4:$H$1002,'compens8-Import'!$M$4:$M$1002,$B14,'compens8-Import'!$E$4:$E$1002,BX$1)</f>
        <v>0</v>
      </c>
      <c r="BY14" s="8">
        <f>SUMIFS('compens8-Import'!$H$4:$H$1002,'compens8-Import'!$M$4:$M$1002,$B14,'compens8-Import'!$E$4:$E$1002,BY$1)</f>
        <v>0</v>
      </c>
      <c r="BZ14" s="8">
        <f>SUMIFS('compens8-Import'!$H$4:$H$1002,'compens8-Import'!$M$4:$M$1002,$B14,'compens8-Import'!$E$4:$E$1002,BZ$1)</f>
        <v>0</v>
      </c>
      <c r="CA14" s="8">
        <f>SUMIFS('compens8-Import'!$H$4:$H$1002,'compens8-Import'!$M$4:$M$1002,$B14,'compens8-Import'!$E$4:$E$1002,CA$1)</f>
        <v>96</v>
      </c>
      <c r="CB14" s="8">
        <f>SUMIFS('compens8-Import'!$H$4:$H$1002,'compens8-Import'!$M$4:$M$1002,$B14,'compens8-Import'!$E$4:$E$1002,CB$1)</f>
        <v>0</v>
      </c>
      <c r="CC14" s="8">
        <f>SUMIFS('compens8-Import'!$H$4:$H$1002,'compens8-Import'!$M$4:$M$1002,$B14,'compens8-Import'!$E$4:$E$1002,CC$1)</f>
        <v>0</v>
      </c>
      <c r="CD14" s="8">
        <f>SUMIFS('compens8-Import'!$H$4:$H$1002,'compens8-Import'!$M$4:$M$1002,$B14,'compens8-Import'!$E$4:$E$1002,CD$1)</f>
        <v>0</v>
      </c>
      <c r="CE14" s="8">
        <f>SUMIFS('compens8-Import'!$H$4:$H$1002,'compens8-Import'!$M$4:$M$1002,$B14,'compens8-Import'!$E$4:$E$1002,CE$1)</f>
        <v>0</v>
      </c>
      <c r="CF14" s="8">
        <f>SUMIFS('compens8-Import'!$H$4:$H$1002,'compens8-Import'!$M$4:$M$1002,$B14,'compens8-Import'!$E$4:$E$1002,CF$1)</f>
        <v>0</v>
      </c>
      <c r="CG14" s="8">
        <f>SUMIFS('compens8-Import'!$H$4:$H$1002,'compens8-Import'!$M$4:$M$1002,$B14,'compens8-Import'!$E$4:$E$1002,CG$1)</f>
        <v>0</v>
      </c>
      <c r="CH14" s="8">
        <f>SUMIFS('compens8-Import'!$H$4:$H$1002,'compens8-Import'!$M$4:$M$1002,$B14,'compens8-Import'!$E$4:$E$1002,CH$1)</f>
        <v>0</v>
      </c>
      <c r="CI14" s="8">
        <f>SUMIFS('compens8-Import'!$H$4:$H$1002,'compens8-Import'!$M$4:$M$1002,$B14,'compens8-Import'!$E$4:$E$1002,CI$1)</f>
        <v>0</v>
      </c>
      <c r="CJ14" s="8">
        <f>SUMIFS('compens8-Import'!$H$4:$H$1002,'compens8-Import'!$M$4:$M$1002,$B14,'compens8-Import'!$E$4:$E$1002,CJ$1)</f>
        <v>0</v>
      </c>
      <c r="CK14" s="8">
        <f>SUMIFS('compens8-Import'!$H$4:$H$1002,'compens8-Import'!$M$4:$M$1002,$B14,'compens8-Import'!$E$4:$E$1002,CK$1)</f>
        <v>0</v>
      </c>
      <c r="CL14" s="8">
        <f>SUMIFS('compens8-Import'!$H$4:$H$1002,'compens8-Import'!$M$4:$M$1002,$B14,'compens8-Import'!$E$4:$E$1002,CL$1)</f>
        <v>0</v>
      </c>
      <c r="CM14" s="8">
        <f>SUMIFS('compens8-Import'!$H$4:$H$1002,'compens8-Import'!$M$4:$M$1002,$B14,'compens8-Import'!$E$4:$E$1002,CM$1)</f>
        <v>0</v>
      </c>
      <c r="CN14" s="8">
        <f>SUMIFS('compens8-Import'!$H$4:$H$1002,'compens8-Import'!$M$4:$M$1002,$B14,'compens8-Import'!$E$4:$E$1002,CN$1)</f>
        <v>0</v>
      </c>
    </row>
    <row r="15" spans="1:92" x14ac:dyDescent="0.25">
      <c r="A15" s="2" t="s">
        <v>45</v>
      </c>
      <c r="B15" s="2" t="str">
        <f>_xlfn.XLOOKUP(A15,'Correspondances pays'!$A$4:$A$200,'Correspondances pays'!$B$4:$B$200)</f>
        <v>India</v>
      </c>
      <c r="C15" s="44">
        <f>AutoConsommation!F14</f>
        <v>256884</v>
      </c>
      <c r="D15" s="8">
        <f t="shared" si="0"/>
        <v>256884</v>
      </c>
      <c r="E15" s="8">
        <f>SUMIFS('compens8-Import'!$H$4:$H$1002,'compens8-Import'!$M$4:$M$1002,$B15,'compens8-Import'!$E$4:$E$1002,E$1)</f>
        <v>0</v>
      </c>
      <c r="F15" s="8">
        <f>SUMIFS('compens8-Import'!$H$4:$H$1002,'compens8-Import'!$M$4:$M$1002,$B15,'compens8-Import'!$E$4:$E$1002,F$1)</f>
        <v>0</v>
      </c>
      <c r="G15" s="8">
        <f>SUMIFS('compens8-Import'!$H$4:$H$1002,'compens8-Import'!$M$4:$M$1002,$B15,'compens8-Import'!$E$4:$E$1002,G$1)</f>
        <v>200</v>
      </c>
      <c r="H15" s="8">
        <f>SUMIFS('compens8-Import'!$H$4:$H$1002,'compens8-Import'!$M$4:$M$1002,$B15,'compens8-Import'!$E$4:$E$1002,H$1)</f>
        <v>0</v>
      </c>
      <c r="I15" s="8">
        <f>SUMIFS('compens8-Import'!$H$4:$H$1002,'compens8-Import'!$M$4:$M$1002,$B15,'compens8-Import'!$E$4:$E$1002,I$1)</f>
        <v>0</v>
      </c>
      <c r="J15" s="8">
        <f>SUMIFS('compens8-Import'!$H$4:$H$1002,'compens8-Import'!$M$4:$M$1002,$B15,'compens8-Import'!$E$4:$E$1002,J$1)</f>
        <v>0</v>
      </c>
      <c r="K15" s="8">
        <f>SUMIFS('compens8-Import'!$H$4:$H$1002,'compens8-Import'!$M$4:$M$1002,$B15,'compens8-Import'!$E$4:$E$1002,K$1)</f>
        <v>0</v>
      </c>
      <c r="L15" s="8">
        <f>SUMIFS('compens8-Import'!$H$4:$H$1002,'compens8-Import'!$M$4:$M$1002,$B15,'compens8-Import'!$E$4:$E$1002,L$1)</f>
        <v>55351</v>
      </c>
      <c r="M15" s="8">
        <f>SUMIFS('compens8-Import'!$H$4:$H$1002,'compens8-Import'!$M$4:$M$1002,$B15,'compens8-Import'!$E$4:$E$1002,M$1)</f>
        <v>0</v>
      </c>
      <c r="N15" s="8">
        <f>SUMIFS('compens8-Import'!$H$4:$H$1002,'compens8-Import'!$M$4:$M$1002,$B15,'compens8-Import'!$E$4:$E$1002,N$1)</f>
        <v>0</v>
      </c>
      <c r="O15" s="8">
        <f>SUMIFS('compens8-Import'!$H$4:$H$1002,'compens8-Import'!$M$4:$M$1002,$B15,'compens8-Import'!$E$4:$E$1002,O$1)</f>
        <v>0</v>
      </c>
      <c r="P15" s="8">
        <f>SUMIFS('compens8-Import'!$H$4:$H$1002,'compens8-Import'!$M$4:$M$1002,$B15,'compens8-Import'!$E$4:$E$1002,P$1)</f>
        <v>0</v>
      </c>
      <c r="Q15" s="8">
        <f>SUMIFS('compens8-Import'!$H$4:$H$1002,'compens8-Import'!$M$4:$M$1002,$B15,'compens8-Import'!$E$4:$E$1002,Q$1)</f>
        <v>262</v>
      </c>
      <c r="R15" s="8">
        <f>SUMIFS('compens8-Import'!$H$4:$H$1002,'compens8-Import'!$M$4:$M$1002,$B15,'compens8-Import'!$E$4:$E$1002,R$1)</f>
        <v>0</v>
      </c>
      <c r="S15" s="8">
        <f>SUMIFS('compens8-Import'!$H$4:$H$1002,'compens8-Import'!$M$4:$M$1002,$B15,'compens8-Import'!$E$4:$E$1002,S$1)</f>
        <v>0</v>
      </c>
      <c r="T15" s="8">
        <f>SUMIFS('compens8-Import'!$H$4:$H$1002,'compens8-Import'!$M$4:$M$1002,$B15,'compens8-Import'!$E$4:$E$1002,T$1)</f>
        <v>0</v>
      </c>
      <c r="U15" s="8">
        <f>SUMIFS('compens8-Import'!$H$4:$H$1002,'compens8-Import'!$M$4:$M$1002,$B15,'compens8-Import'!$E$4:$E$1002,U$1)</f>
        <v>452</v>
      </c>
      <c r="V15" s="8">
        <f>SUMIFS('compens8-Import'!$H$4:$H$1002,'compens8-Import'!$M$4:$M$1002,$B15,'compens8-Import'!$E$4:$E$1002,V$1)</f>
        <v>305</v>
      </c>
      <c r="W15" s="8">
        <f>SUMIFS('compens8-Import'!$H$4:$H$1002,'compens8-Import'!$M$4:$M$1002,$B15,'compens8-Import'!$E$4:$E$1002,W$1)</f>
        <v>0</v>
      </c>
      <c r="X15" s="8">
        <f>SUMIFS('compens8-Import'!$H$4:$H$1002,'compens8-Import'!$M$4:$M$1002,$B15,'compens8-Import'!$E$4:$E$1002,X$1)</f>
        <v>0</v>
      </c>
      <c r="Y15" s="8">
        <f>SUMIFS('compens8-Import'!$H$4:$H$1002,'compens8-Import'!$M$4:$M$1002,$B15,'compens8-Import'!$E$4:$E$1002,Y$1)</f>
        <v>0</v>
      </c>
      <c r="Z15" s="8">
        <f>SUMIFS('compens8-Import'!$H$4:$H$1002,'compens8-Import'!$M$4:$M$1002,$B15,'compens8-Import'!$E$4:$E$1002,Z$1)</f>
        <v>0</v>
      </c>
      <c r="AA15" s="8">
        <f>SUMIFS('compens8-Import'!$H$4:$H$1002,'compens8-Import'!$M$4:$M$1002,$B15,'compens8-Import'!$E$4:$E$1002,AA$1)</f>
        <v>0</v>
      </c>
      <c r="AB15" s="8">
        <f>SUMIFS('compens8-Import'!$H$4:$H$1002,'compens8-Import'!$M$4:$M$1002,$B15,'compens8-Import'!$E$4:$E$1002,AB$1)</f>
        <v>0</v>
      </c>
      <c r="AC15" s="8">
        <f>SUMIFS('compens8-Import'!$H$4:$H$1002,'compens8-Import'!$M$4:$M$1002,$B15,'compens8-Import'!$E$4:$E$1002,AC$1)</f>
        <v>0</v>
      </c>
      <c r="AD15" s="8">
        <f>SUMIFS('compens8-Import'!$H$4:$H$1002,'compens8-Import'!$M$4:$M$1002,$B15,'compens8-Import'!$E$4:$E$1002,AD$1)</f>
        <v>0</v>
      </c>
      <c r="AE15" s="8">
        <f>SUMIFS('compens8-Import'!$H$4:$H$1002,'compens8-Import'!$M$4:$M$1002,$B15,'compens8-Import'!$E$4:$E$1002,AE$1)</f>
        <v>0</v>
      </c>
      <c r="AF15" s="8">
        <f>SUMIFS('compens8-Import'!$H$4:$H$1002,'compens8-Import'!$M$4:$M$1002,$B15,'compens8-Import'!$E$4:$E$1002,AF$1)</f>
        <v>0</v>
      </c>
      <c r="AG15" s="8">
        <f>SUMIFS('compens8-Import'!$H$4:$H$1002,'compens8-Import'!$M$4:$M$1002,$B15,'compens8-Import'!$E$4:$E$1002,AG$1)</f>
        <v>0</v>
      </c>
      <c r="AH15" s="8">
        <f>SUMIFS('compens8-Import'!$H$4:$H$1002,'compens8-Import'!$M$4:$M$1002,$B15,'compens8-Import'!$E$4:$E$1002,AH$1)</f>
        <v>212</v>
      </c>
      <c r="AI15" s="8">
        <f>SUMIFS('compens8-Import'!$H$4:$H$1002,'compens8-Import'!$M$4:$M$1002,$B15,'compens8-Import'!$E$4:$E$1002,AI$1)</f>
        <v>0</v>
      </c>
      <c r="AJ15" s="8">
        <f>SUMIFS('compens8-Import'!$H$4:$H$1002,'compens8-Import'!$M$4:$M$1002,$B15,'compens8-Import'!$E$4:$E$1002,AJ$1)</f>
        <v>0</v>
      </c>
      <c r="AK15" s="8">
        <f>SUMIFS('compens8-Import'!$H$4:$H$1002,'compens8-Import'!$M$4:$M$1002,$B15,'compens8-Import'!$E$4:$E$1002,AK$1)</f>
        <v>0</v>
      </c>
      <c r="AL15" s="8">
        <f>SUMIFS('compens8-Import'!$H$4:$H$1002,'compens8-Import'!$M$4:$M$1002,$B15,'compens8-Import'!$E$4:$E$1002,AL$1)</f>
        <v>8679</v>
      </c>
      <c r="AM15" s="8">
        <f>SUMIFS('compens8-Import'!$H$4:$H$1002,'compens8-Import'!$M$4:$M$1002,$B15,'compens8-Import'!$E$4:$E$1002,AM$1)</f>
        <v>0</v>
      </c>
      <c r="AN15" s="8">
        <f>SUMIFS('compens8-Import'!$H$4:$H$1002,'compens8-Import'!$M$4:$M$1002,$B15,'compens8-Import'!$E$4:$E$1002,AN$1)</f>
        <v>0</v>
      </c>
      <c r="AO15" s="8">
        <f>SUMIFS('compens8-Import'!$H$4:$H$1002,'compens8-Import'!$M$4:$M$1002,$B15,'compens8-Import'!$E$4:$E$1002,AO$1)</f>
        <v>0</v>
      </c>
      <c r="AP15" s="8">
        <f>SUMIFS('compens8-Import'!$H$4:$H$1002,'compens8-Import'!$M$4:$M$1002,$B15,'compens8-Import'!$E$4:$E$1002,AP$1)</f>
        <v>0</v>
      </c>
      <c r="AQ15" s="8">
        <f>SUMIFS('compens8-Import'!$H$4:$H$1002,'compens8-Import'!$M$4:$M$1002,$B15,'compens8-Import'!$E$4:$E$1002,AQ$1)</f>
        <v>0</v>
      </c>
      <c r="AR15" s="8">
        <f>SUMIFS('compens8-Import'!$H$4:$H$1002,'compens8-Import'!$M$4:$M$1002,$B15,'compens8-Import'!$E$4:$E$1002,AR$1)</f>
        <v>0</v>
      </c>
      <c r="AS15" s="8">
        <f>SUMIFS('compens8-Import'!$H$4:$H$1002,'compens8-Import'!$M$4:$M$1002,$B15,'compens8-Import'!$E$4:$E$1002,AS$1)</f>
        <v>9602</v>
      </c>
      <c r="AT15" s="8">
        <f>SUMIFS('compens8-Import'!$H$4:$H$1002,'compens8-Import'!$M$4:$M$1002,$B15,'compens8-Import'!$E$4:$E$1002,AT$1)</f>
        <v>0</v>
      </c>
      <c r="AU15" s="8">
        <f>SUMIFS('compens8-Import'!$H$4:$H$1002,'compens8-Import'!$M$4:$M$1002,$B15,'compens8-Import'!$E$4:$E$1002,AU$1)</f>
        <v>0</v>
      </c>
      <c r="AV15" s="8">
        <f>SUMIFS('compens8-Import'!$H$4:$H$1002,'compens8-Import'!$M$4:$M$1002,$B15,'compens8-Import'!$E$4:$E$1002,AV$1)</f>
        <v>0</v>
      </c>
      <c r="AW15" s="8">
        <f>SUMIFS('compens8-Import'!$H$4:$H$1002,'compens8-Import'!$M$4:$M$1002,$B15,'compens8-Import'!$E$4:$E$1002,AW$1)</f>
        <v>39305</v>
      </c>
      <c r="AX15" s="8">
        <f>SUMIFS('compens8-Import'!$H$4:$H$1002,'compens8-Import'!$M$4:$M$1002,$B15,'compens8-Import'!$E$4:$E$1002,AX$1)</f>
        <v>0</v>
      </c>
      <c r="AY15" s="8">
        <f>SUMIFS('compens8-Import'!$H$4:$H$1002,'compens8-Import'!$M$4:$M$1002,$B15,'compens8-Import'!$E$4:$E$1002,AY$1)</f>
        <v>0</v>
      </c>
      <c r="AZ15" s="8">
        <f>SUMIFS('compens8-Import'!$H$4:$H$1002,'compens8-Import'!$M$4:$M$1002,$B15,'compens8-Import'!$E$4:$E$1002,AZ$1)</f>
        <v>0</v>
      </c>
      <c r="BA15" s="8">
        <f>SUMIFS('compens8-Import'!$H$4:$H$1002,'compens8-Import'!$M$4:$M$1002,$B15,'compens8-Import'!$E$4:$E$1002,BA$1)</f>
        <v>0</v>
      </c>
      <c r="BB15" s="8">
        <f>SUMIFS('compens8-Import'!$H$4:$H$1002,'compens8-Import'!$M$4:$M$1002,$B15,'compens8-Import'!$E$4:$E$1002,BB$1)</f>
        <v>0</v>
      </c>
      <c r="BC15" s="8">
        <f>SUMIFS('compens8-Import'!$H$4:$H$1002,'compens8-Import'!$M$4:$M$1002,$B15,'compens8-Import'!$E$4:$E$1002,BC$1)</f>
        <v>0</v>
      </c>
      <c r="BD15" s="8">
        <f>SUMIFS('compens8-Import'!$H$4:$H$1002,'compens8-Import'!$M$4:$M$1002,$B15,'compens8-Import'!$E$4:$E$1002,BD$1)</f>
        <v>0</v>
      </c>
      <c r="BE15" s="8">
        <f>SUMIFS('compens8-Import'!$H$4:$H$1002,'compens8-Import'!$M$4:$M$1002,$B15,'compens8-Import'!$E$4:$E$1002,BE$1)</f>
        <v>1415</v>
      </c>
      <c r="BF15" s="8">
        <f>SUMIFS('compens8-Import'!$H$4:$H$1002,'compens8-Import'!$M$4:$M$1002,$B15,'compens8-Import'!$E$4:$E$1002,BF$1)</f>
        <v>0</v>
      </c>
      <c r="BG15" s="8">
        <f>SUMIFS('compens8-Import'!$H$4:$H$1002,'compens8-Import'!$M$4:$M$1002,$B15,'compens8-Import'!$E$4:$E$1002,BG$1)</f>
        <v>30795</v>
      </c>
      <c r="BH15" s="8">
        <f>SUMIFS('compens8-Import'!$H$4:$H$1002,'compens8-Import'!$M$4:$M$1002,$B15,'compens8-Import'!$E$4:$E$1002,BH$1)</f>
        <v>0</v>
      </c>
      <c r="BI15" s="8">
        <f>SUMIFS('compens8-Import'!$H$4:$H$1002,'compens8-Import'!$M$4:$M$1002,$B15,'compens8-Import'!$E$4:$E$1002,BI$1)</f>
        <v>0</v>
      </c>
      <c r="BJ15" s="8">
        <f>SUMIFS('compens8-Import'!$H$4:$H$1002,'compens8-Import'!$M$4:$M$1002,$B15,'compens8-Import'!$E$4:$E$1002,BJ$1)</f>
        <v>0</v>
      </c>
      <c r="BK15" s="8">
        <f>SUMIFS('compens8-Import'!$H$4:$H$1002,'compens8-Import'!$M$4:$M$1002,$B15,'compens8-Import'!$E$4:$E$1002,BK$1)</f>
        <v>58888</v>
      </c>
      <c r="BL15" s="8">
        <f>SUMIFS('compens8-Import'!$H$4:$H$1002,'compens8-Import'!$M$4:$M$1002,$B15,'compens8-Import'!$E$4:$E$1002,BL$1)</f>
        <v>0</v>
      </c>
      <c r="BM15" s="8">
        <f>SUMIFS('compens8-Import'!$H$4:$H$1002,'compens8-Import'!$M$4:$M$1002,$B15,'compens8-Import'!$E$4:$E$1002,BM$1)</f>
        <v>8328</v>
      </c>
      <c r="BN15" s="8">
        <f>SUMIFS('compens8-Import'!$H$4:$H$1002,'compens8-Import'!$M$4:$M$1002,$B15,'compens8-Import'!$E$4:$E$1002,BN$1)</f>
        <v>1463</v>
      </c>
      <c r="BO15" s="8">
        <f>SUMIFS('compens8-Import'!$H$4:$H$1002,'compens8-Import'!$M$4:$M$1002,$B15,'compens8-Import'!$E$4:$E$1002,BO$1)</f>
        <v>0</v>
      </c>
      <c r="BP15" s="8">
        <f>SUMIFS('compens8-Import'!$H$4:$H$1002,'compens8-Import'!$M$4:$M$1002,$B15,'compens8-Import'!$E$4:$E$1002,BP$1)</f>
        <v>1454</v>
      </c>
      <c r="BQ15" s="8">
        <f>SUMIFS('compens8-Import'!$H$4:$H$1002,'compens8-Import'!$M$4:$M$1002,$B15,'compens8-Import'!$E$4:$E$1002,BQ$1)</f>
        <v>0</v>
      </c>
      <c r="BR15" s="8">
        <f>SUMIFS('compens8-Import'!$H$4:$H$1002,'compens8-Import'!$M$4:$M$1002,$B15,'compens8-Import'!$E$4:$E$1002,BR$1)</f>
        <v>0</v>
      </c>
      <c r="BS15" s="8">
        <f>SUMIFS('compens8-Import'!$H$4:$H$1002,'compens8-Import'!$M$4:$M$1002,$B15,'compens8-Import'!$E$4:$E$1002,BS$1)</f>
        <v>1079</v>
      </c>
      <c r="BT15" s="8">
        <f>SUMIFS('compens8-Import'!$H$4:$H$1002,'compens8-Import'!$M$4:$M$1002,$B15,'compens8-Import'!$E$4:$E$1002,BT$1)</f>
        <v>0</v>
      </c>
      <c r="BU15" s="8">
        <f>SUMIFS('compens8-Import'!$H$4:$H$1002,'compens8-Import'!$M$4:$M$1002,$B15,'compens8-Import'!$E$4:$E$1002,BU$1)</f>
        <v>1835</v>
      </c>
      <c r="BV15" s="8">
        <f>SUMIFS('compens8-Import'!$H$4:$H$1002,'compens8-Import'!$M$4:$M$1002,$B15,'compens8-Import'!$E$4:$E$1002,BV$1)</f>
        <v>0</v>
      </c>
      <c r="BW15" s="8">
        <f>SUMIFS('compens8-Import'!$H$4:$H$1002,'compens8-Import'!$M$4:$M$1002,$B15,'compens8-Import'!$E$4:$E$1002,BW$1)</f>
        <v>0</v>
      </c>
      <c r="BX15" s="8">
        <f>SUMIFS('compens8-Import'!$H$4:$H$1002,'compens8-Import'!$M$4:$M$1002,$B15,'compens8-Import'!$E$4:$E$1002,BX$1)</f>
        <v>0</v>
      </c>
      <c r="BY15" s="8">
        <f>SUMIFS('compens8-Import'!$H$4:$H$1002,'compens8-Import'!$M$4:$M$1002,$B15,'compens8-Import'!$E$4:$E$1002,BY$1)</f>
        <v>0</v>
      </c>
      <c r="BZ15" s="8">
        <f>SUMIFS('compens8-Import'!$H$4:$H$1002,'compens8-Import'!$M$4:$M$1002,$B15,'compens8-Import'!$E$4:$E$1002,BZ$1)</f>
        <v>686</v>
      </c>
      <c r="CA15" s="8">
        <f>SUMIFS('compens8-Import'!$H$4:$H$1002,'compens8-Import'!$M$4:$M$1002,$B15,'compens8-Import'!$E$4:$E$1002,CA$1)</f>
        <v>694</v>
      </c>
      <c r="CB15" s="8">
        <f>SUMIFS('compens8-Import'!$H$4:$H$1002,'compens8-Import'!$M$4:$M$1002,$B15,'compens8-Import'!$E$4:$E$1002,CB$1)</f>
        <v>0</v>
      </c>
      <c r="CC15" s="8">
        <f>SUMIFS('compens8-Import'!$H$4:$H$1002,'compens8-Import'!$M$4:$M$1002,$B15,'compens8-Import'!$E$4:$E$1002,CC$1)</f>
        <v>0</v>
      </c>
      <c r="CD15" s="8">
        <f>SUMIFS('compens8-Import'!$H$4:$H$1002,'compens8-Import'!$M$4:$M$1002,$B15,'compens8-Import'!$E$4:$E$1002,CD$1)</f>
        <v>32912</v>
      </c>
      <c r="CE15" s="8">
        <f>SUMIFS('compens8-Import'!$H$4:$H$1002,'compens8-Import'!$M$4:$M$1002,$B15,'compens8-Import'!$E$4:$E$1002,CE$1)</f>
        <v>333</v>
      </c>
      <c r="CF15" s="8">
        <f>SUMIFS('compens8-Import'!$H$4:$H$1002,'compens8-Import'!$M$4:$M$1002,$B15,'compens8-Import'!$E$4:$E$1002,CF$1)</f>
        <v>1407</v>
      </c>
      <c r="CG15" s="8">
        <f>SUMIFS('compens8-Import'!$H$4:$H$1002,'compens8-Import'!$M$4:$M$1002,$B15,'compens8-Import'!$E$4:$E$1002,CG$1)</f>
        <v>0</v>
      </c>
      <c r="CH15" s="8">
        <f>SUMIFS('compens8-Import'!$H$4:$H$1002,'compens8-Import'!$M$4:$M$1002,$B15,'compens8-Import'!$E$4:$E$1002,CH$1)</f>
        <v>0</v>
      </c>
      <c r="CI15" s="8">
        <f>SUMIFS('compens8-Import'!$H$4:$H$1002,'compens8-Import'!$M$4:$M$1002,$B15,'compens8-Import'!$E$4:$E$1002,CI$1)</f>
        <v>417</v>
      </c>
      <c r="CJ15" s="8">
        <f>SUMIFS('compens8-Import'!$H$4:$H$1002,'compens8-Import'!$M$4:$M$1002,$B15,'compens8-Import'!$E$4:$E$1002,CJ$1)</f>
        <v>810</v>
      </c>
      <c r="CK15" s="8">
        <f>SUMIFS('compens8-Import'!$H$4:$H$1002,'compens8-Import'!$M$4:$M$1002,$B15,'compens8-Import'!$E$4:$E$1002,CK$1)</f>
        <v>0</v>
      </c>
      <c r="CL15" s="8">
        <f>SUMIFS('compens8-Import'!$H$4:$H$1002,'compens8-Import'!$M$4:$M$1002,$B15,'compens8-Import'!$E$4:$E$1002,CL$1)</f>
        <v>0</v>
      </c>
      <c r="CM15" s="8">
        <f>SUMIFS('compens8-Import'!$H$4:$H$1002,'compens8-Import'!$M$4:$M$1002,$B15,'compens8-Import'!$E$4:$E$1002,CM$1)</f>
        <v>0</v>
      </c>
      <c r="CN15" s="8">
        <f>SUMIFS('compens8-Import'!$H$4:$H$1002,'compens8-Import'!$M$4:$M$1002,$B15,'compens8-Import'!$E$4:$E$1002,CN$1)</f>
        <v>0</v>
      </c>
    </row>
    <row r="16" spans="1:92" x14ac:dyDescent="0.25">
      <c r="A16" s="2" t="s">
        <v>46</v>
      </c>
      <c r="B16" s="2" t="str">
        <f>_xlfn.XLOOKUP(A16,'Correspondances pays'!$A$4:$A$200,'Correspondances pays'!$B$4:$B$200)</f>
        <v>Indonesia</v>
      </c>
      <c r="C16" s="44">
        <f>AutoConsommation!F15</f>
        <v>241048</v>
      </c>
      <c r="D16" s="8">
        <f t="shared" si="0"/>
        <v>241048</v>
      </c>
      <c r="E16" s="8">
        <f>SUMIFS('compens8-Import'!$H$4:$H$1002,'compens8-Import'!$M$4:$M$1002,$B16,'compens8-Import'!$E$4:$E$1002,E$1)</f>
        <v>0</v>
      </c>
      <c r="F16" s="8">
        <f>SUMIFS('compens8-Import'!$H$4:$H$1002,'compens8-Import'!$M$4:$M$1002,$B16,'compens8-Import'!$E$4:$E$1002,F$1)</f>
        <v>2669</v>
      </c>
      <c r="G16" s="8">
        <f>SUMIFS('compens8-Import'!$H$4:$H$1002,'compens8-Import'!$M$4:$M$1002,$B16,'compens8-Import'!$E$4:$E$1002,G$1)</f>
        <v>0</v>
      </c>
      <c r="H16" s="8">
        <f>SUMIFS('compens8-Import'!$H$4:$H$1002,'compens8-Import'!$M$4:$M$1002,$B16,'compens8-Import'!$E$4:$E$1002,H$1)</f>
        <v>0</v>
      </c>
      <c r="I16" s="8">
        <f>SUMIFS('compens8-Import'!$H$4:$H$1002,'compens8-Import'!$M$4:$M$1002,$B16,'compens8-Import'!$E$4:$E$1002,I$1)</f>
        <v>36524</v>
      </c>
      <c r="J16" s="8">
        <f>SUMIFS('compens8-Import'!$H$4:$H$1002,'compens8-Import'!$M$4:$M$1002,$B16,'compens8-Import'!$E$4:$E$1002,J$1)</f>
        <v>0</v>
      </c>
      <c r="K16" s="8">
        <f>SUMIFS('compens8-Import'!$H$4:$H$1002,'compens8-Import'!$M$4:$M$1002,$B16,'compens8-Import'!$E$4:$E$1002,K$1)</f>
        <v>0</v>
      </c>
      <c r="L16" s="8">
        <f>SUMIFS('compens8-Import'!$H$4:$H$1002,'compens8-Import'!$M$4:$M$1002,$B16,'compens8-Import'!$E$4:$E$1002,L$1)</f>
        <v>4824</v>
      </c>
      <c r="M16" s="8">
        <f>SUMIFS('compens8-Import'!$H$4:$H$1002,'compens8-Import'!$M$4:$M$1002,$B16,'compens8-Import'!$E$4:$E$1002,M$1)</f>
        <v>0</v>
      </c>
      <c r="N16" s="8">
        <f>SUMIFS('compens8-Import'!$H$4:$H$1002,'compens8-Import'!$M$4:$M$1002,$B16,'compens8-Import'!$E$4:$E$1002,N$1)</f>
        <v>0</v>
      </c>
      <c r="O16" s="8">
        <f>SUMIFS('compens8-Import'!$H$4:$H$1002,'compens8-Import'!$M$4:$M$1002,$B16,'compens8-Import'!$E$4:$E$1002,O$1)</f>
        <v>0</v>
      </c>
      <c r="P16" s="8">
        <f>SUMIFS('compens8-Import'!$H$4:$H$1002,'compens8-Import'!$M$4:$M$1002,$B16,'compens8-Import'!$E$4:$E$1002,P$1)</f>
        <v>0</v>
      </c>
      <c r="Q16" s="8">
        <f>SUMIFS('compens8-Import'!$H$4:$H$1002,'compens8-Import'!$M$4:$M$1002,$B16,'compens8-Import'!$E$4:$E$1002,Q$1)</f>
        <v>0</v>
      </c>
      <c r="R16" s="8">
        <f>SUMIFS('compens8-Import'!$H$4:$H$1002,'compens8-Import'!$M$4:$M$1002,$B16,'compens8-Import'!$E$4:$E$1002,R$1)</f>
        <v>0</v>
      </c>
      <c r="S16" s="8">
        <f>SUMIFS('compens8-Import'!$H$4:$H$1002,'compens8-Import'!$M$4:$M$1002,$B16,'compens8-Import'!$E$4:$E$1002,S$1)</f>
        <v>0</v>
      </c>
      <c r="T16" s="8">
        <f>SUMIFS('compens8-Import'!$H$4:$H$1002,'compens8-Import'!$M$4:$M$1002,$B16,'compens8-Import'!$E$4:$E$1002,T$1)</f>
        <v>1001</v>
      </c>
      <c r="U16" s="8">
        <f>SUMIFS('compens8-Import'!$H$4:$H$1002,'compens8-Import'!$M$4:$M$1002,$B16,'compens8-Import'!$E$4:$E$1002,U$1)</f>
        <v>0</v>
      </c>
      <c r="V16" s="8">
        <f>SUMIFS('compens8-Import'!$H$4:$H$1002,'compens8-Import'!$M$4:$M$1002,$B16,'compens8-Import'!$E$4:$E$1002,V$1)</f>
        <v>1769</v>
      </c>
      <c r="W16" s="8">
        <f>SUMIFS('compens8-Import'!$H$4:$H$1002,'compens8-Import'!$M$4:$M$1002,$B16,'compens8-Import'!$E$4:$E$1002,W$1)</f>
        <v>0</v>
      </c>
      <c r="X16" s="8">
        <f>SUMIFS('compens8-Import'!$H$4:$H$1002,'compens8-Import'!$M$4:$M$1002,$B16,'compens8-Import'!$E$4:$E$1002,X$1)</f>
        <v>0</v>
      </c>
      <c r="Y16" s="8">
        <f>SUMIFS('compens8-Import'!$H$4:$H$1002,'compens8-Import'!$M$4:$M$1002,$B16,'compens8-Import'!$E$4:$E$1002,Y$1)</f>
        <v>0</v>
      </c>
      <c r="Z16" s="8">
        <f>SUMIFS('compens8-Import'!$H$4:$H$1002,'compens8-Import'!$M$4:$M$1002,$B16,'compens8-Import'!$E$4:$E$1002,Z$1)</f>
        <v>616</v>
      </c>
      <c r="AA16" s="8">
        <f>SUMIFS('compens8-Import'!$H$4:$H$1002,'compens8-Import'!$M$4:$M$1002,$B16,'compens8-Import'!$E$4:$E$1002,AA$1)</f>
        <v>0</v>
      </c>
      <c r="AB16" s="8">
        <f>SUMIFS('compens8-Import'!$H$4:$H$1002,'compens8-Import'!$M$4:$M$1002,$B16,'compens8-Import'!$E$4:$E$1002,AB$1)</f>
        <v>0</v>
      </c>
      <c r="AC16" s="8">
        <f>SUMIFS('compens8-Import'!$H$4:$H$1002,'compens8-Import'!$M$4:$M$1002,$B16,'compens8-Import'!$E$4:$E$1002,AC$1)</f>
        <v>0</v>
      </c>
      <c r="AD16" s="8">
        <f>SUMIFS('compens8-Import'!$H$4:$H$1002,'compens8-Import'!$M$4:$M$1002,$B16,'compens8-Import'!$E$4:$E$1002,AD$1)</f>
        <v>445</v>
      </c>
      <c r="AE16" s="8">
        <f>SUMIFS('compens8-Import'!$H$4:$H$1002,'compens8-Import'!$M$4:$M$1002,$B16,'compens8-Import'!$E$4:$E$1002,AE$1)</f>
        <v>0</v>
      </c>
      <c r="AF16" s="8">
        <f>SUMIFS('compens8-Import'!$H$4:$H$1002,'compens8-Import'!$M$4:$M$1002,$B16,'compens8-Import'!$E$4:$E$1002,AF$1)</f>
        <v>0</v>
      </c>
      <c r="AG16" s="8">
        <f>SUMIFS('compens8-Import'!$H$4:$H$1002,'compens8-Import'!$M$4:$M$1002,$B16,'compens8-Import'!$E$4:$E$1002,AG$1)</f>
        <v>0</v>
      </c>
      <c r="AH16" s="8">
        <f>SUMIFS('compens8-Import'!$H$4:$H$1002,'compens8-Import'!$M$4:$M$1002,$B16,'compens8-Import'!$E$4:$E$1002,AH$1)</f>
        <v>0</v>
      </c>
      <c r="AI16" s="8">
        <f>SUMIFS('compens8-Import'!$H$4:$H$1002,'compens8-Import'!$M$4:$M$1002,$B16,'compens8-Import'!$E$4:$E$1002,AI$1)</f>
        <v>0</v>
      </c>
      <c r="AJ16" s="8">
        <f>SUMIFS('compens8-Import'!$H$4:$H$1002,'compens8-Import'!$M$4:$M$1002,$B16,'compens8-Import'!$E$4:$E$1002,AJ$1)</f>
        <v>0</v>
      </c>
      <c r="AK16" s="8">
        <f>SUMIFS('compens8-Import'!$H$4:$H$1002,'compens8-Import'!$M$4:$M$1002,$B16,'compens8-Import'!$E$4:$E$1002,AK$1)</f>
        <v>24214</v>
      </c>
      <c r="AL16" s="8">
        <f>SUMIFS('compens8-Import'!$H$4:$H$1002,'compens8-Import'!$M$4:$M$1002,$B16,'compens8-Import'!$E$4:$E$1002,AL$1)</f>
        <v>0</v>
      </c>
      <c r="AM16" s="8">
        <f>SUMIFS('compens8-Import'!$H$4:$H$1002,'compens8-Import'!$M$4:$M$1002,$B16,'compens8-Import'!$E$4:$E$1002,AM$1)</f>
        <v>0</v>
      </c>
      <c r="AN16" s="8">
        <f>SUMIFS('compens8-Import'!$H$4:$H$1002,'compens8-Import'!$M$4:$M$1002,$B16,'compens8-Import'!$E$4:$E$1002,AN$1)</f>
        <v>0</v>
      </c>
      <c r="AO16" s="8">
        <f>SUMIFS('compens8-Import'!$H$4:$H$1002,'compens8-Import'!$M$4:$M$1002,$B16,'compens8-Import'!$E$4:$E$1002,AO$1)</f>
        <v>0</v>
      </c>
      <c r="AP16" s="8">
        <f>SUMIFS('compens8-Import'!$H$4:$H$1002,'compens8-Import'!$M$4:$M$1002,$B16,'compens8-Import'!$E$4:$E$1002,AP$1)</f>
        <v>962</v>
      </c>
      <c r="AQ16" s="8">
        <f>SUMIFS('compens8-Import'!$H$4:$H$1002,'compens8-Import'!$M$4:$M$1002,$B16,'compens8-Import'!$E$4:$E$1002,AQ$1)</f>
        <v>0</v>
      </c>
      <c r="AR16" s="8">
        <f>SUMIFS('compens8-Import'!$H$4:$H$1002,'compens8-Import'!$M$4:$M$1002,$B16,'compens8-Import'!$E$4:$E$1002,AR$1)</f>
        <v>0</v>
      </c>
      <c r="AS16" s="8">
        <f>SUMIFS('compens8-Import'!$H$4:$H$1002,'compens8-Import'!$M$4:$M$1002,$B16,'compens8-Import'!$E$4:$E$1002,AS$1)</f>
        <v>12232</v>
      </c>
      <c r="AT16" s="8">
        <f>SUMIFS('compens8-Import'!$H$4:$H$1002,'compens8-Import'!$M$4:$M$1002,$B16,'compens8-Import'!$E$4:$E$1002,AT$1)</f>
        <v>0</v>
      </c>
      <c r="AU16" s="8">
        <f>SUMIFS('compens8-Import'!$H$4:$H$1002,'compens8-Import'!$M$4:$M$1002,$B16,'compens8-Import'!$E$4:$E$1002,AU$1)</f>
        <v>0</v>
      </c>
      <c r="AV16" s="8">
        <f>SUMIFS('compens8-Import'!$H$4:$H$1002,'compens8-Import'!$M$4:$M$1002,$B16,'compens8-Import'!$E$4:$E$1002,AV$1)</f>
        <v>0</v>
      </c>
      <c r="AW16" s="8">
        <f>SUMIFS('compens8-Import'!$H$4:$H$1002,'compens8-Import'!$M$4:$M$1002,$B16,'compens8-Import'!$E$4:$E$1002,AW$1)</f>
        <v>32494</v>
      </c>
      <c r="AX16" s="8">
        <f>SUMIFS('compens8-Import'!$H$4:$H$1002,'compens8-Import'!$M$4:$M$1002,$B16,'compens8-Import'!$E$4:$E$1002,AX$1)</f>
        <v>0</v>
      </c>
      <c r="AY16" s="8">
        <f>SUMIFS('compens8-Import'!$H$4:$H$1002,'compens8-Import'!$M$4:$M$1002,$B16,'compens8-Import'!$E$4:$E$1002,AY$1)</f>
        <v>0</v>
      </c>
      <c r="AZ16" s="8">
        <f>SUMIFS('compens8-Import'!$H$4:$H$1002,'compens8-Import'!$M$4:$M$1002,$B16,'compens8-Import'!$E$4:$E$1002,AZ$1)</f>
        <v>0</v>
      </c>
      <c r="BA16" s="8">
        <f>SUMIFS('compens8-Import'!$H$4:$H$1002,'compens8-Import'!$M$4:$M$1002,$B16,'compens8-Import'!$E$4:$E$1002,BA$1)</f>
        <v>0</v>
      </c>
      <c r="BB16" s="8">
        <f>SUMIFS('compens8-Import'!$H$4:$H$1002,'compens8-Import'!$M$4:$M$1002,$B16,'compens8-Import'!$E$4:$E$1002,BB$1)</f>
        <v>0</v>
      </c>
      <c r="BC16" s="8">
        <f>SUMIFS('compens8-Import'!$H$4:$H$1002,'compens8-Import'!$M$4:$M$1002,$B16,'compens8-Import'!$E$4:$E$1002,BC$1)</f>
        <v>0</v>
      </c>
      <c r="BD16" s="8">
        <f>SUMIFS('compens8-Import'!$H$4:$H$1002,'compens8-Import'!$M$4:$M$1002,$B16,'compens8-Import'!$E$4:$E$1002,BD$1)</f>
        <v>1676</v>
      </c>
      <c r="BE16" s="8">
        <f>SUMIFS('compens8-Import'!$H$4:$H$1002,'compens8-Import'!$M$4:$M$1002,$B16,'compens8-Import'!$E$4:$E$1002,BE$1)</f>
        <v>5696</v>
      </c>
      <c r="BF16" s="8">
        <f>SUMIFS('compens8-Import'!$H$4:$H$1002,'compens8-Import'!$M$4:$M$1002,$B16,'compens8-Import'!$E$4:$E$1002,BF$1)</f>
        <v>0</v>
      </c>
      <c r="BG16" s="8">
        <f>SUMIFS('compens8-Import'!$H$4:$H$1002,'compens8-Import'!$M$4:$M$1002,$B16,'compens8-Import'!$E$4:$E$1002,BG$1)</f>
        <v>4397</v>
      </c>
      <c r="BH16" s="8">
        <f>SUMIFS('compens8-Import'!$H$4:$H$1002,'compens8-Import'!$M$4:$M$1002,$B16,'compens8-Import'!$E$4:$E$1002,BH$1)</f>
        <v>0</v>
      </c>
      <c r="BI16" s="8">
        <f>SUMIFS('compens8-Import'!$H$4:$H$1002,'compens8-Import'!$M$4:$M$1002,$B16,'compens8-Import'!$E$4:$E$1002,BI$1)</f>
        <v>0</v>
      </c>
      <c r="BJ16" s="8">
        <f>SUMIFS('compens8-Import'!$H$4:$H$1002,'compens8-Import'!$M$4:$M$1002,$B16,'compens8-Import'!$E$4:$E$1002,BJ$1)</f>
        <v>0</v>
      </c>
      <c r="BK16" s="8">
        <f>SUMIFS('compens8-Import'!$H$4:$H$1002,'compens8-Import'!$M$4:$M$1002,$B16,'compens8-Import'!$E$4:$E$1002,BK$1)</f>
        <v>14290</v>
      </c>
      <c r="BL16" s="8">
        <f>SUMIFS('compens8-Import'!$H$4:$H$1002,'compens8-Import'!$M$4:$M$1002,$B16,'compens8-Import'!$E$4:$E$1002,BL$1)</f>
        <v>0</v>
      </c>
      <c r="BM16" s="8">
        <f>SUMIFS('compens8-Import'!$H$4:$H$1002,'compens8-Import'!$M$4:$M$1002,$B16,'compens8-Import'!$E$4:$E$1002,BM$1)</f>
        <v>16654</v>
      </c>
      <c r="BN16" s="8">
        <f>SUMIFS('compens8-Import'!$H$4:$H$1002,'compens8-Import'!$M$4:$M$1002,$B16,'compens8-Import'!$E$4:$E$1002,BN$1)</f>
        <v>0</v>
      </c>
      <c r="BO16" s="8">
        <f>SUMIFS('compens8-Import'!$H$4:$H$1002,'compens8-Import'!$M$4:$M$1002,$B16,'compens8-Import'!$E$4:$E$1002,BO$1)</f>
        <v>0</v>
      </c>
      <c r="BP16" s="8">
        <f>SUMIFS('compens8-Import'!$H$4:$H$1002,'compens8-Import'!$M$4:$M$1002,$B16,'compens8-Import'!$E$4:$E$1002,BP$1)</f>
        <v>4443</v>
      </c>
      <c r="BQ16" s="8">
        <f>SUMIFS('compens8-Import'!$H$4:$H$1002,'compens8-Import'!$M$4:$M$1002,$B16,'compens8-Import'!$E$4:$E$1002,BQ$1)</f>
        <v>0</v>
      </c>
      <c r="BR16" s="8">
        <f>SUMIFS('compens8-Import'!$H$4:$H$1002,'compens8-Import'!$M$4:$M$1002,$B16,'compens8-Import'!$E$4:$E$1002,BR$1)</f>
        <v>0</v>
      </c>
      <c r="BS16" s="8">
        <f>SUMIFS('compens8-Import'!$H$4:$H$1002,'compens8-Import'!$M$4:$M$1002,$B16,'compens8-Import'!$E$4:$E$1002,BS$1)</f>
        <v>7148</v>
      </c>
      <c r="BT16" s="8">
        <f>SUMIFS('compens8-Import'!$H$4:$H$1002,'compens8-Import'!$M$4:$M$1002,$B16,'compens8-Import'!$E$4:$E$1002,BT$1)</f>
        <v>6260</v>
      </c>
      <c r="BU16" s="8">
        <f>SUMIFS('compens8-Import'!$H$4:$H$1002,'compens8-Import'!$M$4:$M$1002,$B16,'compens8-Import'!$E$4:$E$1002,BU$1)</f>
        <v>0</v>
      </c>
      <c r="BV16" s="8">
        <f>SUMIFS('compens8-Import'!$H$4:$H$1002,'compens8-Import'!$M$4:$M$1002,$B16,'compens8-Import'!$E$4:$E$1002,BV$1)</f>
        <v>0</v>
      </c>
      <c r="BW16" s="8">
        <f>SUMIFS('compens8-Import'!$H$4:$H$1002,'compens8-Import'!$M$4:$M$1002,$B16,'compens8-Import'!$E$4:$E$1002,BW$1)</f>
        <v>4711</v>
      </c>
      <c r="BX16" s="8">
        <f>SUMIFS('compens8-Import'!$H$4:$H$1002,'compens8-Import'!$M$4:$M$1002,$B16,'compens8-Import'!$E$4:$E$1002,BX$1)</f>
        <v>5080</v>
      </c>
      <c r="BY16" s="8">
        <f>SUMIFS('compens8-Import'!$H$4:$H$1002,'compens8-Import'!$M$4:$M$1002,$B16,'compens8-Import'!$E$4:$E$1002,BY$1)</f>
        <v>0</v>
      </c>
      <c r="BZ16" s="8">
        <f>SUMIFS('compens8-Import'!$H$4:$H$1002,'compens8-Import'!$M$4:$M$1002,$B16,'compens8-Import'!$E$4:$E$1002,BZ$1)</f>
        <v>2002</v>
      </c>
      <c r="CA16" s="8">
        <f>SUMIFS('compens8-Import'!$H$4:$H$1002,'compens8-Import'!$M$4:$M$1002,$B16,'compens8-Import'!$E$4:$E$1002,CA$1)</f>
        <v>0</v>
      </c>
      <c r="CB16" s="8">
        <f>SUMIFS('compens8-Import'!$H$4:$H$1002,'compens8-Import'!$M$4:$M$1002,$B16,'compens8-Import'!$E$4:$E$1002,CB$1)</f>
        <v>0</v>
      </c>
      <c r="CC16" s="8">
        <f>SUMIFS('compens8-Import'!$H$4:$H$1002,'compens8-Import'!$M$4:$M$1002,$B16,'compens8-Import'!$E$4:$E$1002,CC$1)</f>
        <v>0</v>
      </c>
      <c r="CD16" s="8">
        <f>SUMIFS('compens8-Import'!$H$4:$H$1002,'compens8-Import'!$M$4:$M$1002,$B16,'compens8-Import'!$E$4:$E$1002,CD$1)</f>
        <v>50016</v>
      </c>
      <c r="CE16" s="8">
        <f>SUMIFS('compens8-Import'!$H$4:$H$1002,'compens8-Import'!$M$4:$M$1002,$B16,'compens8-Import'!$E$4:$E$1002,CE$1)</f>
        <v>0</v>
      </c>
      <c r="CF16" s="8">
        <f>SUMIFS('compens8-Import'!$H$4:$H$1002,'compens8-Import'!$M$4:$M$1002,$B16,'compens8-Import'!$E$4:$E$1002,CF$1)</f>
        <v>0</v>
      </c>
      <c r="CG16" s="8">
        <f>SUMIFS('compens8-Import'!$H$4:$H$1002,'compens8-Import'!$M$4:$M$1002,$B16,'compens8-Import'!$E$4:$E$1002,CG$1)</f>
        <v>0</v>
      </c>
      <c r="CH16" s="8">
        <f>SUMIFS('compens8-Import'!$H$4:$H$1002,'compens8-Import'!$M$4:$M$1002,$B16,'compens8-Import'!$E$4:$E$1002,CH$1)</f>
        <v>0</v>
      </c>
      <c r="CI16" s="8">
        <f>SUMIFS('compens8-Import'!$H$4:$H$1002,'compens8-Import'!$M$4:$M$1002,$B16,'compens8-Import'!$E$4:$E$1002,CI$1)</f>
        <v>925</v>
      </c>
      <c r="CJ16" s="8">
        <f>SUMIFS('compens8-Import'!$H$4:$H$1002,'compens8-Import'!$M$4:$M$1002,$B16,'compens8-Import'!$E$4:$E$1002,CJ$1)</f>
        <v>0</v>
      </c>
      <c r="CK16" s="8">
        <f>SUMIFS('compens8-Import'!$H$4:$H$1002,'compens8-Import'!$M$4:$M$1002,$B16,'compens8-Import'!$E$4:$E$1002,CK$1)</f>
        <v>0</v>
      </c>
      <c r="CL16" s="8">
        <f>SUMIFS('compens8-Import'!$H$4:$H$1002,'compens8-Import'!$M$4:$M$1002,$B16,'compens8-Import'!$E$4:$E$1002,CL$1)</f>
        <v>0</v>
      </c>
      <c r="CM16" s="8">
        <f>SUMIFS('compens8-Import'!$H$4:$H$1002,'compens8-Import'!$M$4:$M$1002,$B16,'compens8-Import'!$E$4:$E$1002,CM$1)</f>
        <v>0</v>
      </c>
      <c r="CN16" s="8">
        <f>SUMIFS('compens8-Import'!$H$4:$H$1002,'compens8-Import'!$M$4:$M$1002,$B16,'compens8-Import'!$E$4:$E$1002,CN$1)</f>
        <v>0</v>
      </c>
    </row>
    <row r="17" spans="1:92" x14ac:dyDescent="0.25">
      <c r="A17" s="2" t="s">
        <v>50</v>
      </c>
      <c r="B17" s="2" t="str">
        <f>_xlfn.XLOOKUP(A17,'Correspondances pays'!$A$4:$A$200,'Correspondances pays'!$B$4:$B$200)</f>
        <v>Italy</v>
      </c>
      <c r="C17" s="44">
        <f>AutoConsommation!F16</f>
        <v>1367786</v>
      </c>
      <c r="D17" s="8">
        <f t="shared" si="0"/>
        <v>1367786</v>
      </c>
      <c r="E17" s="8">
        <f>SUMIFS('compens8-Import'!$H$4:$H$1002,'compens8-Import'!$M$4:$M$1002,$B17,'compens8-Import'!$E$4:$E$1002,E$1)</f>
        <v>13122</v>
      </c>
      <c r="F17" s="8">
        <f>SUMIFS('compens8-Import'!$H$4:$H$1002,'compens8-Import'!$M$4:$M$1002,$B17,'compens8-Import'!$E$4:$E$1002,F$1)</f>
        <v>0</v>
      </c>
      <c r="G17" s="8">
        <f>SUMIFS('compens8-Import'!$H$4:$H$1002,'compens8-Import'!$M$4:$M$1002,$B17,'compens8-Import'!$E$4:$E$1002,G$1)</f>
        <v>0</v>
      </c>
      <c r="H17" s="8">
        <f>SUMIFS('compens8-Import'!$H$4:$H$1002,'compens8-Import'!$M$4:$M$1002,$B17,'compens8-Import'!$E$4:$E$1002,H$1)</f>
        <v>0</v>
      </c>
      <c r="I17" s="8">
        <f>SUMIFS('compens8-Import'!$H$4:$H$1002,'compens8-Import'!$M$4:$M$1002,$B17,'compens8-Import'!$E$4:$E$1002,I$1)</f>
        <v>34203</v>
      </c>
      <c r="J17" s="8">
        <f>SUMIFS('compens8-Import'!$H$4:$H$1002,'compens8-Import'!$M$4:$M$1002,$B17,'compens8-Import'!$E$4:$E$1002,J$1)</f>
        <v>0</v>
      </c>
      <c r="K17" s="8">
        <f>SUMIFS('compens8-Import'!$H$4:$H$1002,'compens8-Import'!$M$4:$M$1002,$B17,'compens8-Import'!$E$4:$E$1002,K$1)</f>
        <v>0</v>
      </c>
      <c r="L17" s="8">
        <f>SUMIFS('compens8-Import'!$H$4:$H$1002,'compens8-Import'!$M$4:$M$1002,$B17,'compens8-Import'!$E$4:$E$1002,L$1)</f>
        <v>59392</v>
      </c>
      <c r="M17" s="8">
        <f>SUMIFS('compens8-Import'!$H$4:$H$1002,'compens8-Import'!$M$4:$M$1002,$B17,'compens8-Import'!$E$4:$E$1002,M$1)</f>
        <v>0</v>
      </c>
      <c r="N17" s="8">
        <f>SUMIFS('compens8-Import'!$H$4:$H$1002,'compens8-Import'!$M$4:$M$1002,$B17,'compens8-Import'!$E$4:$E$1002,N$1)</f>
        <v>0</v>
      </c>
      <c r="O17" s="8">
        <f>SUMIFS('compens8-Import'!$H$4:$H$1002,'compens8-Import'!$M$4:$M$1002,$B17,'compens8-Import'!$E$4:$E$1002,O$1)</f>
        <v>0</v>
      </c>
      <c r="P17" s="8">
        <f>SUMIFS('compens8-Import'!$H$4:$H$1002,'compens8-Import'!$M$4:$M$1002,$B17,'compens8-Import'!$E$4:$E$1002,P$1)</f>
        <v>15802</v>
      </c>
      <c r="Q17" s="8">
        <f>SUMIFS('compens8-Import'!$H$4:$H$1002,'compens8-Import'!$M$4:$M$1002,$B17,'compens8-Import'!$E$4:$E$1002,Q$1)</f>
        <v>0</v>
      </c>
      <c r="R17" s="8">
        <f>SUMIFS('compens8-Import'!$H$4:$H$1002,'compens8-Import'!$M$4:$M$1002,$B17,'compens8-Import'!$E$4:$E$1002,R$1)</f>
        <v>0</v>
      </c>
      <c r="S17" s="8">
        <f>SUMIFS('compens8-Import'!$H$4:$H$1002,'compens8-Import'!$M$4:$M$1002,$B17,'compens8-Import'!$E$4:$E$1002,S$1)</f>
        <v>0</v>
      </c>
      <c r="T17" s="8">
        <f>SUMIFS('compens8-Import'!$H$4:$H$1002,'compens8-Import'!$M$4:$M$1002,$B17,'compens8-Import'!$E$4:$E$1002,T$1)</f>
        <v>0</v>
      </c>
      <c r="U17" s="8">
        <f>SUMIFS('compens8-Import'!$H$4:$H$1002,'compens8-Import'!$M$4:$M$1002,$B17,'compens8-Import'!$E$4:$E$1002,U$1)</f>
        <v>0</v>
      </c>
      <c r="V17" s="8">
        <f>SUMIFS('compens8-Import'!$H$4:$H$1002,'compens8-Import'!$M$4:$M$1002,$B17,'compens8-Import'!$E$4:$E$1002,V$1)</f>
        <v>0</v>
      </c>
      <c r="W17" s="8">
        <f>SUMIFS('compens8-Import'!$H$4:$H$1002,'compens8-Import'!$M$4:$M$1002,$B17,'compens8-Import'!$E$4:$E$1002,W$1)</f>
        <v>0</v>
      </c>
      <c r="X17" s="8">
        <f>SUMIFS('compens8-Import'!$H$4:$H$1002,'compens8-Import'!$M$4:$M$1002,$B17,'compens8-Import'!$E$4:$E$1002,X$1)</f>
        <v>0</v>
      </c>
      <c r="Y17" s="8">
        <f>SUMIFS('compens8-Import'!$H$4:$H$1002,'compens8-Import'!$M$4:$M$1002,$B17,'compens8-Import'!$E$4:$E$1002,Y$1)</f>
        <v>0</v>
      </c>
      <c r="Z17" s="8">
        <f>SUMIFS('compens8-Import'!$H$4:$H$1002,'compens8-Import'!$M$4:$M$1002,$B17,'compens8-Import'!$E$4:$E$1002,Z$1)</f>
        <v>57253</v>
      </c>
      <c r="AA17" s="8">
        <f>SUMIFS('compens8-Import'!$H$4:$H$1002,'compens8-Import'!$M$4:$M$1002,$B17,'compens8-Import'!$E$4:$E$1002,AA$1)</f>
        <v>0</v>
      </c>
      <c r="AB17" s="8">
        <f>SUMIFS('compens8-Import'!$H$4:$H$1002,'compens8-Import'!$M$4:$M$1002,$B17,'compens8-Import'!$E$4:$E$1002,AB$1)</f>
        <v>0</v>
      </c>
      <c r="AC17" s="8">
        <f>SUMIFS('compens8-Import'!$H$4:$H$1002,'compens8-Import'!$M$4:$M$1002,$B17,'compens8-Import'!$E$4:$E$1002,AC$1)</f>
        <v>12867</v>
      </c>
      <c r="AD17" s="8">
        <f>SUMIFS('compens8-Import'!$H$4:$H$1002,'compens8-Import'!$M$4:$M$1002,$B17,'compens8-Import'!$E$4:$E$1002,AD$1)</f>
        <v>0</v>
      </c>
      <c r="AE17" s="8">
        <f>SUMIFS('compens8-Import'!$H$4:$H$1002,'compens8-Import'!$M$4:$M$1002,$B17,'compens8-Import'!$E$4:$E$1002,AE$1)</f>
        <v>41055</v>
      </c>
      <c r="AF17" s="8">
        <f>SUMIFS('compens8-Import'!$H$4:$H$1002,'compens8-Import'!$M$4:$M$1002,$B17,'compens8-Import'!$E$4:$E$1002,AF$1)</f>
        <v>30896</v>
      </c>
      <c r="AG17" s="8">
        <f>SUMIFS('compens8-Import'!$H$4:$H$1002,'compens8-Import'!$M$4:$M$1002,$B17,'compens8-Import'!$E$4:$E$1002,AG$1)</f>
        <v>91006</v>
      </c>
      <c r="AH17" s="8">
        <f>SUMIFS('compens8-Import'!$H$4:$H$1002,'compens8-Import'!$M$4:$M$1002,$B17,'compens8-Import'!$E$4:$E$1002,AH$1)</f>
        <v>0</v>
      </c>
      <c r="AI17" s="8">
        <f>SUMIFS('compens8-Import'!$H$4:$H$1002,'compens8-Import'!$M$4:$M$1002,$B17,'compens8-Import'!$E$4:$E$1002,AI$1)</f>
        <v>15301</v>
      </c>
      <c r="AJ17" s="8">
        <f>SUMIFS('compens8-Import'!$H$4:$H$1002,'compens8-Import'!$M$4:$M$1002,$B17,'compens8-Import'!$E$4:$E$1002,AJ$1)</f>
        <v>0</v>
      </c>
      <c r="AK17" s="8">
        <f>SUMIFS('compens8-Import'!$H$4:$H$1002,'compens8-Import'!$M$4:$M$1002,$B17,'compens8-Import'!$E$4:$E$1002,AK$1)</f>
        <v>179695</v>
      </c>
      <c r="AL17" s="8">
        <f>SUMIFS('compens8-Import'!$H$4:$H$1002,'compens8-Import'!$M$4:$M$1002,$B17,'compens8-Import'!$E$4:$E$1002,AL$1)</f>
        <v>0</v>
      </c>
      <c r="AM17" s="8">
        <f>SUMIFS('compens8-Import'!$H$4:$H$1002,'compens8-Import'!$M$4:$M$1002,$B17,'compens8-Import'!$E$4:$E$1002,AM$1)</f>
        <v>0</v>
      </c>
      <c r="AN17" s="8">
        <f>SUMIFS('compens8-Import'!$H$4:$H$1002,'compens8-Import'!$M$4:$M$1002,$B17,'compens8-Import'!$E$4:$E$1002,AN$1)</f>
        <v>0</v>
      </c>
      <c r="AO17" s="8">
        <f>SUMIFS('compens8-Import'!$H$4:$H$1002,'compens8-Import'!$M$4:$M$1002,$B17,'compens8-Import'!$E$4:$E$1002,AO$1)</f>
        <v>0</v>
      </c>
      <c r="AP17" s="8">
        <f>SUMIFS('compens8-Import'!$H$4:$H$1002,'compens8-Import'!$M$4:$M$1002,$B17,'compens8-Import'!$E$4:$E$1002,AP$1)</f>
        <v>0</v>
      </c>
      <c r="AQ17" s="8">
        <f>SUMIFS('compens8-Import'!$H$4:$H$1002,'compens8-Import'!$M$4:$M$1002,$B17,'compens8-Import'!$E$4:$E$1002,AQ$1)</f>
        <v>0</v>
      </c>
      <c r="AR17" s="8">
        <f>SUMIFS('compens8-Import'!$H$4:$H$1002,'compens8-Import'!$M$4:$M$1002,$B17,'compens8-Import'!$E$4:$E$1002,AR$1)</f>
        <v>40324</v>
      </c>
      <c r="AS17" s="8">
        <f>SUMIFS('compens8-Import'!$H$4:$H$1002,'compens8-Import'!$M$4:$M$1002,$B17,'compens8-Import'!$E$4:$E$1002,AS$1)</f>
        <v>18016</v>
      </c>
      <c r="AT17" s="8">
        <f>SUMIFS('compens8-Import'!$H$4:$H$1002,'compens8-Import'!$M$4:$M$1002,$B17,'compens8-Import'!$E$4:$E$1002,AT$1)</f>
        <v>0</v>
      </c>
      <c r="AU17" s="8">
        <f>SUMIFS('compens8-Import'!$H$4:$H$1002,'compens8-Import'!$M$4:$M$1002,$B17,'compens8-Import'!$E$4:$E$1002,AU$1)</f>
        <v>0</v>
      </c>
      <c r="AV17" s="8">
        <f>SUMIFS('compens8-Import'!$H$4:$H$1002,'compens8-Import'!$M$4:$M$1002,$B17,'compens8-Import'!$E$4:$E$1002,AV$1)</f>
        <v>0</v>
      </c>
      <c r="AW17" s="8">
        <f>SUMIFS('compens8-Import'!$H$4:$H$1002,'compens8-Import'!$M$4:$M$1002,$B17,'compens8-Import'!$E$4:$E$1002,AW$1)</f>
        <v>31636</v>
      </c>
      <c r="AX17" s="8">
        <f>SUMIFS('compens8-Import'!$H$4:$H$1002,'compens8-Import'!$M$4:$M$1002,$B17,'compens8-Import'!$E$4:$E$1002,AX$1)</f>
        <v>0</v>
      </c>
      <c r="AY17" s="8">
        <f>SUMIFS('compens8-Import'!$H$4:$H$1002,'compens8-Import'!$M$4:$M$1002,$B17,'compens8-Import'!$E$4:$E$1002,AY$1)</f>
        <v>0</v>
      </c>
      <c r="AZ17" s="8">
        <f>SUMIFS('compens8-Import'!$H$4:$H$1002,'compens8-Import'!$M$4:$M$1002,$B17,'compens8-Import'!$E$4:$E$1002,AZ$1)</f>
        <v>0</v>
      </c>
      <c r="BA17" s="8">
        <f>SUMIFS('compens8-Import'!$H$4:$H$1002,'compens8-Import'!$M$4:$M$1002,$B17,'compens8-Import'!$E$4:$E$1002,BA$1)</f>
        <v>199089</v>
      </c>
      <c r="BB17" s="8">
        <f>SUMIFS('compens8-Import'!$H$4:$H$1002,'compens8-Import'!$M$4:$M$1002,$B17,'compens8-Import'!$E$4:$E$1002,BB$1)</f>
        <v>0</v>
      </c>
      <c r="BC17" s="8">
        <f>SUMIFS('compens8-Import'!$H$4:$H$1002,'compens8-Import'!$M$4:$M$1002,$B17,'compens8-Import'!$E$4:$E$1002,BC$1)</f>
        <v>114351</v>
      </c>
      <c r="BD17" s="8">
        <f>SUMIFS('compens8-Import'!$H$4:$H$1002,'compens8-Import'!$M$4:$M$1002,$B17,'compens8-Import'!$E$4:$E$1002,BD$1)</f>
        <v>0</v>
      </c>
      <c r="BE17" s="8">
        <f>SUMIFS('compens8-Import'!$H$4:$H$1002,'compens8-Import'!$M$4:$M$1002,$B17,'compens8-Import'!$E$4:$E$1002,BE$1)</f>
        <v>0</v>
      </c>
      <c r="BF17" s="8">
        <f>SUMIFS('compens8-Import'!$H$4:$H$1002,'compens8-Import'!$M$4:$M$1002,$B17,'compens8-Import'!$E$4:$E$1002,BF$1)</f>
        <v>0</v>
      </c>
      <c r="BG17" s="8">
        <f>SUMIFS('compens8-Import'!$H$4:$H$1002,'compens8-Import'!$M$4:$M$1002,$B17,'compens8-Import'!$E$4:$E$1002,BG$1)</f>
        <v>17069</v>
      </c>
      <c r="BH17" s="8">
        <f>SUMIFS('compens8-Import'!$H$4:$H$1002,'compens8-Import'!$M$4:$M$1002,$B17,'compens8-Import'!$E$4:$E$1002,BH$1)</f>
        <v>0</v>
      </c>
      <c r="BI17" s="8">
        <f>SUMIFS('compens8-Import'!$H$4:$H$1002,'compens8-Import'!$M$4:$M$1002,$B17,'compens8-Import'!$E$4:$E$1002,BI$1)</f>
        <v>14036</v>
      </c>
      <c r="BJ17" s="8">
        <f>SUMIFS('compens8-Import'!$H$4:$H$1002,'compens8-Import'!$M$4:$M$1002,$B17,'compens8-Import'!$E$4:$E$1002,BJ$1)</f>
        <v>0</v>
      </c>
      <c r="BK17" s="8">
        <f>SUMIFS('compens8-Import'!$H$4:$H$1002,'compens8-Import'!$M$4:$M$1002,$B17,'compens8-Import'!$E$4:$E$1002,BK$1)</f>
        <v>0</v>
      </c>
      <c r="BL17" s="8">
        <f>SUMIFS('compens8-Import'!$H$4:$H$1002,'compens8-Import'!$M$4:$M$1002,$B17,'compens8-Import'!$E$4:$E$1002,BL$1)</f>
        <v>0</v>
      </c>
      <c r="BM17" s="8">
        <f>SUMIFS('compens8-Import'!$H$4:$H$1002,'compens8-Import'!$M$4:$M$1002,$B17,'compens8-Import'!$E$4:$E$1002,BM$1)</f>
        <v>86823</v>
      </c>
      <c r="BN17" s="8">
        <f>SUMIFS('compens8-Import'!$H$4:$H$1002,'compens8-Import'!$M$4:$M$1002,$B17,'compens8-Import'!$E$4:$E$1002,BN$1)</f>
        <v>24981</v>
      </c>
      <c r="BO17" s="8">
        <f>SUMIFS('compens8-Import'!$H$4:$H$1002,'compens8-Import'!$M$4:$M$1002,$B17,'compens8-Import'!$E$4:$E$1002,BO$1)</f>
        <v>0</v>
      </c>
      <c r="BP17" s="8">
        <f>SUMIFS('compens8-Import'!$H$4:$H$1002,'compens8-Import'!$M$4:$M$1002,$B17,'compens8-Import'!$E$4:$E$1002,BP$1)</f>
        <v>0</v>
      </c>
      <c r="BQ17" s="8">
        <f>SUMIFS('compens8-Import'!$H$4:$H$1002,'compens8-Import'!$M$4:$M$1002,$B17,'compens8-Import'!$E$4:$E$1002,BQ$1)</f>
        <v>0</v>
      </c>
      <c r="BR17" s="8">
        <f>SUMIFS('compens8-Import'!$H$4:$H$1002,'compens8-Import'!$M$4:$M$1002,$B17,'compens8-Import'!$E$4:$E$1002,BR$1)</f>
        <v>71343</v>
      </c>
      <c r="BS17" s="8">
        <f>SUMIFS('compens8-Import'!$H$4:$H$1002,'compens8-Import'!$M$4:$M$1002,$B17,'compens8-Import'!$E$4:$E$1002,BS$1)</f>
        <v>0</v>
      </c>
      <c r="BT17" s="8">
        <f>SUMIFS('compens8-Import'!$H$4:$H$1002,'compens8-Import'!$M$4:$M$1002,$B17,'compens8-Import'!$E$4:$E$1002,BT$1)</f>
        <v>35252</v>
      </c>
      <c r="BU17" s="8">
        <f>SUMIFS('compens8-Import'!$H$4:$H$1002,'compens8-Import'!$M$4:$M$1002,$B17,'compens8-Import'!$E$4:$E$1002,BU$1)</f>
        <v>0</v>
      </c>
      <c r="BV17" s="8">
        <f>SUMIFS('compens8-Import'!$H$4:$H$1002,'compens8-Import'!$M$4:$M$1002,$B17,'compens8-Import'!$E$4:$E$1002,BV$1)</f>
        <v>0</v>
      </c>
      <c r="BW17" s="8">
        <f>SUMIFS('compens8-Import'!$H$4:$H$1002,'compens8-Import'!$M$4:$M$1002,$B17,'compens8-Import'!$E$4:$E$1002,BW$1)</f>
        <v>0</v>
      </c>
      <c r="BX17" s="8">
        <f>SUMIFS('compens8-Import'!$H$4:$H$1002,'compens8-Import'!$M$4:$M$1002,$B17,'compens8-Import'!$E$4:$E$1002,BX$1)</f>
        <v>0</v>
      </c>
      <c r="BY17" s="8">
        <f>SUMIFS('compens8-Import'!$H$4:$H$1002,'compens8-Import'!$M$4:$M$1002,$B17,'compens8-Import'!$E$4:$E$1002,BY$1)</f>
        <v>0</v>
      </c>
      <c r="BZ17" s="8">
        <f>SUMIFS('compens8-Import'!$H$4:$H$1002,'compens8-Import'!$M$4:$M$1002,$B17,'compens8-Import'!$E$4:$E$1002,BZ$1)</f>
        <v>0</v>
      </c>
      <c r="CA17" s="8">
        <f>SUMIFS('compens8-Import'!$H$4:$H$1002,'compens8-Import'!$M$4:$M$1002,$B17,'compens8-Import'!$E$4:$E$1002,CA$1)</f>
        <v>16860</v>
      </c>
      <c r="CB17" s="8">
        <f>SUMIFS('compens8-Import'!$H$4:$H$1002,'compens8-Import'!$M$4:$M$1002,$B17,'compens8-Import'!$E$4:$E$1002,CB$1)</f>
        <v>0</v>
      </c>
      <c r="CC17" s="8">
        <f>SUMIFS('compens8-Import'!$H$4:$H$1002,'compens8-Import'!$M$4:$M$1002,$B17,'compens8-Import'!$E$4:$E$1002,CC$1)</f>
        <v>0</v>
      </c>
      <c r="CD17" s="8">
        <f>SUMIFS('compens8-Import'!$H$4:$H$1002,'compens8-Import'!$M$4:$M$1002,$B17,'compens8-Import'!$E$4:$E$1002,CD$1)</f>
        <v>147414</v>
      </c>
      <c r="CE17" s="8">
        <f>SUMIFS('compens8-Import'!$H$4:$H$1002,'compens8-Import'!$M$4:$M$1002,$B17,'compens8-Import'!$E$4:$E$1002,CE$1)</f>
        <v>0</v>
      </c>
      <c r="CF17" s="8">
        <f>SUMIFS('compens8-Import'!$H$4:$H$1002,'compens8-Import'!$M$4:$M$1002,$B17,'compens8-Import'!$E$4:$E$1002,CF$1)</f>
        <v>0</v>
      </c>
      <c r="CG17" s="8">
        <f>SUMIFS('compens8-Import'!$H$4:$H$1002,'compens8-Import'!$M$4:$M$1002,$B17,'compens8-Import'!$E$4:$E$1002,CG$1)</f>
        <v>0</v>
      </c>
      <c r="CH17" s="8">
        <f>SUMIFS('compens8-Import'!$H$4:$H$1002,'compens8-Import'!$M$4:$M$1002,$B17,'compens8-Import'!$E$4:$E$1002,CH$1)</f>
        <v>0</v>
      </c>
      <c r="CI17" s="8">
        <f>SUMIFS('compens8-Import'!$H$4:$H$1002,'compens8-Import'!$M$4:$M$1002,$B17,'compens8-Import'!$E$4:$E$1002,CI$1)</f>
        <v>0</v>
      </c>
      <c r="CJ17" s="8">
        <f>SUMIFS('compens8-Import'!$H$4:$H$1002,'compens8-Import'!$M$4:$M$1002,$B17,'compens8-Import'!$E$4:$E$1002,CJ$1)</f>
        <v>0</v>
      </c>
      <c r="CK17" s="8">
        <f>SUMIFS('compens8-Import'!$H$4:$H$1002,'compens8-Import'!$M$4:$M$1002,$B17,'compens8-Import'!$E$4:$E$1002,CK$1)</f>
        <v>0</v>
      </c>
      <c r="CL17" s="8">
        <f>SUMIFS('compens8-Import'!$H$4:$H$1002,'compens8-Import'!$M$4:$M$1002,$B17,'compens8-Import'!$E$4:$E$1002,CL$1)</f>
        <v>0</v>
      </c>
      <c r="CM17" s="8">
        <f>SUMIFS('compens8-Import'!$H$4:$H$1002,'compens8-Import'!$M$4:$M$1002,$B17,'compens8-Import'!$E$4:$E$1002,CM$1)</f>
        <v>0</v>
      </c>
      <c r="CN17" s="8">
        <f>SUMIFS('compens8-Import'!$H$4:$H$1002,'compens8-Import'!$M$4:$M$1002,$B17,'compens8-Import'!$E$4:$E$1002,CN$1)</f>
        <v>0</v>
      </c>
    </row>
    <row r="18" spans="1:92" x14ac:dyDescent="0.25">
      <c r="A18" s="2" t="s">
        <v>51</v>
      </c>
      <c r="B18" s="2" t="str">
        <f>_xlfn.XLOOKUP(A18,'Correspondances pays'!$A$4:$A$200,'Correspondances pays'!$B$4:$B$200)</f>
        <v>Japan</v>
      </c>
      <c r="C18" s="44">
        <f>AutoConsommation!F17</f>
        <v>2415999</v>
      </c>
      <c r="D18" s="8">
        <f t="shared" si="0"/>
        <v>2415999</v>
      </c>
      <c r="E18" s="8">
        <f>SUMIFS('compens8-Import'!$H$4:$H$1002,'compens8-Import'!$M$4:$M$1002,$B18,'compens8-Import'!$E$4:$E$1002,E$1)</f>
        <v>0</v>
      </c>
      <c r="F18" s="8">
        <f>SUMIFS('compens8-Import'!$H$4:$H$1002,'compens8-Import'!$M$4:$M$1002,$B18,'compens8-Import'!$E$4:$E$1002,F$1)</f>
        <v>0</v>
      </c>
      <c r="G18" s="8">
        <f>SUMIFS('compens8-Import'!$H$4:$H$1002,'compens8-Import'!$M$4:$M$1002,$B18,'compens8-Import'!$E$4:$E$1002,G$1)</f>
        <v>0</v>
      </c>
      <c r="H18" s="8">
        <f>SUMIFS('compens8-Import'!$H$4:$H$1002,'compens8-Import'!$M$4:$M$1002,$B18,'compens8-Import'!$E$4:$E$1002,H$1)</f>
        <v>17054</v>
      </c>
      <c r="I18" s="8">
        <f>SUMIFS('compens8-Import'!$H$4:$H$1002,'compens8-Import'!$M$4:$M$1002,$B18,'compens8-Import'!$E$4:$E$1002,I$1)</f>
        <v>364067</v>
      </c>
      <c r="J18" s="8">
        <f>SUMIFS('compens8-Import'!$H$4:$H$1002,'compens8-Import'!$M$4:$M$1002,$B18,'compens8-Import'!$E$4:$E$1002,J$1)</f>
        <v>0</v>
      </c>
      <c r="K18" s="8">
        <f>SUMIFS('compens8-Import'!$H$4:$H$1002,'compens8-Import'!$M$4:$M$1002,$B18,'compens8-Import'!$E$4:$E$1002,K$1)</f>
        <v>0</v>
      </c>
      <c r="L18" s="8">
        <f>SUMIFS('compens8-Import'!$H$4:$H$1002,'compens8-Import'!$M$4:$M$1002,$B18,'compens8-Import'!$E$4:$E$1002,L$1)</f>
        <v>55114</v>
      </c>
      <c r="M18" s="8">
        <f>SUMIFS('compens8-Import'!$H$4:$H$1002,'compens8-Import'!$M$4:$M$1002,$B18,'compens8-Import'!$E$4:$E$1002,M$1)</f>
        <v>0</v>
      </c>
      <c r="N18" s="8">
        <f>SUMIFS('compens8-Import'!$H$4:$H$1002,'compens8-Import'!$M$4:$M$1002,$B18,'compens8-Import'!$E$4:$E$1002,N$1)</f>
        <v>0</v>
      </c>
      <c r="O18" s="8">
        <f>SUMIFS('compens8-Import'!$H$4:$H$1002,'compens8-Import'!$M$4:$M$1002,$B18,'compens8-Import'!$E$4:$E$1002,O$1)</f>
        <v>0</v>
      </c>
      <c r="P18" s="8">
        <f>SUMIFS('compens8-Import'!$H$4:$H$1002,'compens8-Import'!$M$4:$M$1002,$B18,'compens8-Import'!$E$4:$E$1002,P$1)</f>
        <v>0</v>
      </c>
      <c r="Q18" s="8">
        <f>SUMIFS('compens8-Import'!$H$4:$H$1002,'compens8-Import'!$M$4:$M$1002,$B18,'compens8-Import'!$E$4:$E$1002,Q$1)</f>
        <v>128564</v>
      </c>
      <c r="R18" s="8">
        <f>SUMIFS('compens8-Import'!$H$4:$H$1002,'compens8-Import'!$M$4:$M$1002,$B18,'compens8-Import'!$E$4:$E$1002,R$1)</f>
        <v>0</v>
      </c>
      <c r="S18" s="8">
        <f>SUMIFS('compens8-Import'!$H$4:$H$1002,'compens8-Import'!$M$4:$M$1002,$B18,'compens8-Import'!$E$4:$E$1002,S$1)</f>
        <v>0</v>
      </c>
      <c r="T18" s="8">
        <f>SUMIFS('compens8-Import'!$H$4:$H$1002,'compens8-Import'!$M$4:$M$1002,$B18,'compens8-Import'!$E$4:$E$1002,T$1)</f>
        <v>0</v>
      </c>
      <c r="U18" s="8">
        <f>SUMIFS('compens8-Import'!$H$4:$H$1002,'compens8-Import'!$M$4:$M$1002,$B18,'compens8-Import'!$E$4:$E$1002,U$1)</f>
        <v>0</v>
      </c>
      <c r="V18" s="8">
        <f>SUMIFS('compens8-Import'!$H$4:$H$1002,'compens8-Import'!$M$4:$M$1002,$B18,'compens8-Import'!$E$4:$E$1002,V$1)</f>
        <v>145258</v>
      </c>
      <c r="W18" s="8">
        <f>SUMIFS('compens8-Import'!$H$4:$H$1002,'compens8-Import'!$M$4:$M$1002,$B18,'compens8-Import'!$E$4:$E$1002,W$1)</f>
        <v>0</v>
      </c>
      <c r="X18" s="8">
        <f>SUMIFS('compens8-Import'!$H$4:$H$1002,'compens8-Import'!$M$4:$M$1002,$B18,'compens8-Import'!$E$4:$E$1002,X$1)</f>
        <v>0</v>
      </c>
      <c r="Y18" s="8">
        <f>SUMIFS('compens8-Import'!$H$4:$H$1002,'compens8-Import'!$M$4:$M$1002,$B18,'compens8-Import'!$E$4:$E$1002,Y$1)</f>
        <v>0</v>
      </c>
      <c r="Z18" s="8">
        <f>SUMIFS('compens8-Import'!$H$4:$H$1002,'compens8-Import'!$M$4:$M$1002,$B18,'compens8-Import'!$E$4:$E$1002,Z$1)</f>
        <v>0</v>
      </c>
      <c r="AA18" s="8">
        <f>SUMIFS('compens8-Import'!$H$4:$H$1002,'compens8-Import'!$M$4:$M$1002,$B18,'compens8-Import'!$E$4:$E$1002,AA$1)</f>
        <v>0</v>
      </c>
      <c r="AB18" s="8">
        <f>SUMIFS('compens8-Import'!$H$4:$H$1002,'compens8-Import'!$M$4:$M$1002,$B18,'compens8-Import'!$E$4:$E$1002,AB$1)</f>
        <v>0</v>
      </c>
      <c r="AC18" s="8">
        <f>SUMIFS('compens8-Import'!$H$4:$H$1002,'compens8-Import'!$M$4:$M$1002,$B18,'compens8-Import'!$E$4:$E$1002,AC$1)</f>
        <v>0</v>
      </c>
      <c r="AD18" s="8">
        <f>SUMIFS('compens8-Import'!$H$4:$H$1002,'compens8-Import'!$M$4:$M$1002,$B18,'compens8-Import'!$E$4:$E$1002,AD$1)</f>
        <v>0</v>
      </c>
      <c r="AE18" s="8">
        <f>SUMIFS('compens8-Import'!$H$4:$H$1002,'compens8-Import'!$M$4:$M$1002,$B18,'compens8-Import'!$E$4:$E$1002,AE$1)</f>
        <v>3335</v>
      </c>
      <c r="AF18" s="8">
        <f>SUMIFS('compens8-Import'!$H$4:$H$1002,'compens8-Import'!$M$4:$M$1002,$B18,'compens8-Import'!$E$4:$E$1002,AF$1)</f>
        <v>9799</v>
      </c>
      <c r="AG18" s="8">
        <f>SUMIFS('compens8-Import'!$H$4:$H$1002,'compens8-Import'!$M$4:$M$1002,$B18,'compens8-Import'!$E$4:$E$1002,AG$1)</f>
        <v>0</v>
      </c>
      <c r="AH18" s="8">
        <f>SUMIFS('compens8-Import'!$H$4:$H$1002,'compens8-Import'!$M$4:$M$1002,$B18,'compens8-Import'!$E$4:$E$1002,AH$1)</f>
        <v>0</v>
      </c>
      <c r="AI18" s="8">
        <f>SUMIFS('compens8-Import'!$H$4:$H$1002,'compens8-Import'!$M$4:$M$1002,$B18,'compens8-Import'!$E$4:$E$1002,AI$1)</f>
        <v>0</v>
      </c>
      <c r="AJ18" s="8">
        <f>SUMIFS('compens8-Import'!$H$4:$H$1002,'compens8-Import'!$M$4:$M$1002,$B18,'compens8-Import'!$E$4:$E$1002,AJ$1)</f>
        <v>0</v>
      </c>
      <c r="AK18" s="8">
        <f>SUMIFS('compens8-Import'!$H$4:$H$1002,'compens8-Import'!$M$4:$M$1002,$B18,'compens8-Import'!$E$4:$E$1002,AK$1)</f>
        <v>132998</v>
      </c>
      <c r="AL18" s="8">
        <f>SUMIFS('compens8-Import'!$H$4:$H$1002,'compens8-Import'!$M$4:$M$1002,$B18,'compens8-Import'!$E$4:$E$1002,AL$1)</f>
        <v>5993</v>
      </c>
      <c r="AM18" s="8">
        <f>SUMIFS('compens8-Import'!$H$4:$H$1002,'compens8-Import'!$M$4:$M$1002,$B18,'compens8-Import'!$E$4:$E$1002,AM$1)</f>
        <v>0</v>
      </c>
      <c r="AN18" s="8">
        <f>SUMIFS('compens8-Import'!$H$4:$H$1002,'compens8-Import'!$M$4:$M$1002,$B18,'compens8-Import'!$E$4:$E$1002,AN$1)</f>
        <v>0</v>
      </c>
      <c r="AO18" s="8">
        <f>SUMIFS('compens8-Import'!$H$4:$H$1002,'compens8-Import'!$M$4:$M$1002,$B18,'compens8-Import'!$E$4:$E$1002,AO$1)</f>
        <v>0</v>
      </c>
      <c r="AP18" s="8">
        <f>SUMIFS('compens8-Import'!$H$4:$H$1002,'compens8-Import'!$M$4:$M$1002,$B18,'compens8-Import'!$E$4:$E$1002,AP$1)</f>
        <v>13605</v>
      </c>
      <c r="AQ18" s="8">
        <f>SUMIFS('compens8-Import'!$H$4:$H$1002,'compens8-Import'!$M$4:$M$1002,$B18,'compens8-Import'!$E$4:$E$1002,AQ$1)</f>
        <v>0</v>
      </c>
      <c r="AR18" s="8">
        <f>SUMIFS('compens8-Import'!$H$4:$H$1002,'compens8-Import'!$M$4:$M$1002,$B18,'compens8-Import'!$E$4:$E$1002,AR$1)</f>
        <v>0</v>
      </c>
      <c r="AS18" s="8">
        <f>SUMIFS('compens8-Import'!$H$4:$H$1002,'compens8-Import'!$M$4:$M$1002,$B18,'compens8-Import'!$E$4:$E$1002,AS$1)</f>
        <v>12095</v>
      </c>
      <c r="AT18" s="8">
        <f>SUMIFS('compens8-Import'!$H$4:$H$1002,'compens8-Import'!$M$4:$M$1002,$B18,'compens8-Import'!$E$4:$E$1002,AT$1)</f>
        <v>0</v>
      </c>
      <c r="AU18" s="8">
        <f>SUMIFS('compens8-Import'!$H$4:$H$1002,'compens8-Import'!$M$4:$M$1002,$B18,'compens8-Import'!$E$4:$E$1002,AU$1)</f>
        <v>0</v>
      </c>
      <c r="AV18" s="8">
        <f>SUMIFS('compens8-Import'!$H$4:$H$1002,'compens8-Import'!$M$4:$M$1002,$B18,'compens8-Import'!$E$4:$E$1002,AV$1)</f>
        <v>0</v>
      </c>
      <c r="AW18" s="8">
        <f>SUMIFS('compens8-Import'!$H$4:$H$1002,'compens8-Import'!$M$4:$M$1002,$B18,'compens8-Import'!$E$4:$E$1002,AW$1)</f>
        <v>101657</v>
      </c>
      <c r="AX18" s="8">
        <f>SUMIFS('compens8-Import'!$H$4:$H$1002,'compens8-Import'!$M$4:$M$1002,$B18,'compens8-Import'!$E$4:$E$1002,AX$1)</f>
        <v>0</v>
      </c>
      <c r="AY18" s="8">
        <f>SUMIFS('compens8-Import'!$H$4:$H$1002,'compens8-Import'!$M$4:$M$1002,$B18,'compens8-Import'!$E$4:$E$1002,AY$1)</f>
        <v>0</v>
      </c>
      <c r="AZ18" s="8">
        <f>SUMIFS('compens8-Import'!$H$4:$H$1002,'compens8-Import'!$M$4:$M$1002,$B18,'compens8-Import'!$E$4:$E$1002,AZ$1)</f>
        <v>0</v>
      </c>
      <c r="BA18" s="8">
        <f>SUMIFS('compens8-Import'!$H$4:$H$1002,'compens8-Import'!$M$4:$M$1002,$B18,'compens8-Import'!$E$4:$E$1002,BA$1)</f>
        <v>0</v>
      </c>
      <c r="BB18" s="8">
        <f>SUMIFS('compens8-Import'!$H$4:$H$1002,'compens8-Import'!$M$4:$M$1002,$B18,'compens8-Import'!$E$4:$E$1002,BB$1)</f>
        <v>0</v>
      </c>
      <c r="BC18" s="8">
        <f>SUMIFS('compens8-Import'!$H$4:$H$1002,'compens8-Import'!$M$4:$M$1002,$B18,'compens8-Import'!$E$4:$E$1002,BC$1)</f>
        <v>0</v>
      </c>
      <c r="BD18" s="8">
        <f>SUMIFS('compens8-Import'!$H$4:$H$1002,'compens8-Import'!$M$4:$M$1002,$B18,'compens8-Import'!$E$4:$E$1002,BD$1)</f>
        <v>173036</v>
      </c>
      <c r="BE18" s="8">
        <f>SUMIFS('compens8-Import'!$H$4:$H$1002,'compens8-Import'!$M$4:$M$1002,$B18,'compens8-Import'!$E$4:$E$1002,BE$1)</f>
        <v>74669</v>
      </c>
      <c r="BF18" s="8">
        <f>SUMIFS('compens8-Import'!$H$4:$H$1002,'compens8-Import'!$M$4:$M$1002,$B18,'compens8-Import'!$E$4:$E$1002,BF$1)</f>
        <v>0</v>
      </c>
      <c r="BG18" s="8">
        <f>SUMIFS('compens8-Import'!$H$4:$H$1002,'compens8-Import'!$M$4:$M$1002,$B18,'compens8-Import'!$E$4:$E$1002,BG$1)</f>
        <v>3539</v>
      </c>
      <c r="BH18" s="8">
        <f>SUMIFS('compens8-Import'!$H$4:$H$1002,'compens8-Import'!$M$4:$M$1002,$B18,'compens8-Import'!$E$4:$E$1002,BH$1)</f>
        <v>0</v>
      </c>
      <c r="BI18" s="8">
        <f>SUMIFS('compens8-Import'!$H$4:$H$1002,'compens8-Import'!$M$4:$M$1002,$B18,'compens8-Import'!$E$4:$E$1002,BI$1)</f>
        <v>0</v>
      </c>
      <c r="BJ18" s="8">
        <f>SUMIFS('compens8-Import'!$H$4:$H$1002,'compens8-Import'!$M$4:$M$1002,$B18,'compens8-Import'!$E$4:$E$1002,BJ$1)</f>
        <v>0</v>
      </c>
      <c r="BK18" s="8">
        <f>SUMIFS('compens8-Import'!$H$4:$H$1002,'compens8-Import'!$M$4:$M$1002,$B18,'compens8-Import'!$E$4:$E$1002,BK$1)</f>
        <v>44901</v>
      </c>
      <c r="BL18" s="8">
        <f>SUMIFS('compens8-Import'!$H$4:$H$1002,'compens8-Import'!$M$4:$M$1002,$B18,'compens8-Import'!$E$4:$E$1002,BL$1)</f>
        <v>0</v>
      </c>
      <c r="BM18" s="8">
        <f>SUMIFS('compens8-Import'!$H$4:$H$1002,'compens8-Import'!$M$4:$M$1002,$B18,'compens8-Import'!$E$4:$E$1002,BM$1)</f>
        <v>404482</v>
      </c>
      <c r="BN18" s="8">
        <f>SUMIFS('compens8-Import'!$H$4:$H$1002,'compens8-Import'!$M$4:$M$1002,$B18,'compens8-Import'!$E$4:$E$1002,BN$1)</f>
        <v>155465</v>
      </c>
      <c r="BO18" s="8">
        <f>SUMIFS('compens8-Import'!$H$4:$H$1002,'compens8-Import'!$M$4:$M$1002,$B18,'compens8-Import'!$E$4:$E$1002,BO$1)</f>
        <v>0</v>
      </c>
      <c r="BP18" s="8">
        <f>SUMIFS('compens8-Import'!$H$4:$H$1002,'compens8-Import'!$M$4:$M$1002,$B18,'compens8-Import'!$E$4:$E$1002,BP$1)</f>
        <v>0</v>
      </c>
      <c r="BQ18" s="8">
        <f>SUMIFS('compens8-Import'!$H$4:$H$1002,'compens8-Import'!$M$4:$M$1002,$B18,'compens8-Import'!$E$4:$E$1002,BQ$1)</f>
        <v>0</v>
      </c>
      <c r="BR18" s="8">
        <f>SUMIFS('compens8-Import'!$H$4:$H$1002,'compens8-Import'!$M$4:$M$1002,$B18,'compens8-Import'!$E$4:$E$1002,BR$1)</f>
        <v>0</v>
      </c>
      <c r="BS18" s="8">
        <f>SUMIFS('compens8-Import'!$H$4:$H$1002,'compens8-Import'!$M$4:$M$1002,$B18,'compens8-Import'!$E$4:$E$1002,BS$1)</f>
        <v>74389</v>
      </c>
      <c r="BT18" s="8">
        <f>SUMIFS('compens8-Import'!$H$4:$H$1002,'compens8-Import'!$M$4:$M$1002,$B18,'compens8-Import'!$E$4:$E$1002,BT$1)</f>
        <v>22593</v>
      </c>
      <c r="BU18" s="8">
        <f>SUMIFS('compens8-Import'!$H$4:$H$1002,'compens8-Import'!$M$4:$M$1002,$B18,'compens8-Import'!$E$4:$E$1002,BU$1)</f>
        <v>0</v>
      </c>
      <c r="BV18" s="8">
        <f>SUMIFS('compens8-Import'!$H$4:$H$1002,'compens8-Import'!$M$4:$M$1002,$B18,'compens8-Import'!$E$4:$E$1002,BV$1)</f>
        <v>0</v>
      </c>
      <c r="BW18" s="8">
        <f>SUMIFS('compens8-Import'!$H$4:$H$1002,'compens8-Import'!$M$4:$M$1002,$B18,'compens8-Import'!$E$4:$E$1002,BW$1)</f>
        <v>0</v>
      </c>
      <c r="BX18" s="8">
        <f>SUMIFS('compens8-Import'!$H$4:$H$1002,'compens8-Import'!$M$4:$M$1002,$B18,'compens8-Import'!$E$4:$E$1002,BX$1)</f>
        <v>31669</v>
      </c>
      <c r="BY18" s="8">
        <f>SUMIFS('compens8-Import'!$H$4:$H$1002,'compens8-Import'!$M$4:$M$1002,$B18,'compens8-Import'!$E$4:$E$1002,BY$1)</f>
        <v>0</v>
      </c>
      <c r="BZ18" s="8">
        <f>SUMIFS('compens8-Import'!$H$4:$H$1002,'compens8-Import'!$M$4:$M$1002,$B18,'compens8-Import'!$E$4:$E$1002,BZ$1)</f>
        <v>8022</v>
      </c>
      <c r="CA18" s="8">
        <f>SUMIFS('compens8-Import'!$H$4:$H$1002,'compens8-Import'!$M$4:$M$1002,$B18,'compens8-Import'!$E$4:$E$1002,CA$1)</f>
        <v>0</v>
      </c>
      <c r="CB18" s="8">
        <f>SUMIFS('compens8-Import'!$H$4:$H$1002,'compens8-Import'!$M$4:$M$1002,$B18,'compens8-Import'!$E$4:$E$1002,CB$1)</f>
        <v>0</v>
      </c>
      <c r="CC18" s="8">
        <f>SUMIFS('compens8-Import'!$H$4:$H$1002,'compens8-Import'!$M$4:$M$1002,$B18,'compens8-Import'!$E$4:$E$1002,CC$1)</f>
        <v>7321</v>
      </c>
      <c r="CD18" s="8">
        <f>SUMIFS('compens8-Import'!$H$4:$H$1002,'compens8-Import'!$M$4:$M$1002,$B18,'compens8-Import'!$E$4:$E$1002,CD$1)</f>
        <v>426374</v>
      </c>
      <c r="CE18" s="8">
        <f>SUMIFS('compens8-Import'!$H$4:$H$1002,'compens8-Import'!$M$4:$M$1002,$B18,'compens8-Import'!$E$4:$E$1002,CE$1)</f>
        <v>0</v>
      </c>
      <c r="CF18" s="8">
        <f>SUMIFS('compens8-Import'!$H$4:$H$1002,'compens8-Import'!$M$4:$M$1002,$B18,'compens8-Import'!$E$4:$E$1002,CF$1)</f>
        <v>0</v>
      </c>
      <c r="CG18" s="8">
        <f>SUMIFS('compens8-Import'!$H$4:$H$1002,'compens8-Import'!$M$4:$M$1002,$B18,'compens8-Import'!$E$4:$E$1002,CG$1)</f>
        <v>0</v>
      </c>
      <c r="CH18" s="8">
        <f>SUMIFS('compens8-Import'!$H$4:$H$1002,'compens8-Import'!$M$4:$M$1002,$B18,'compens8-Import'!$E$4:$E$1002,CH$1)</f>
        <v>0</v>
      </c>
      <c r="CI18" s="8">
        <f>SUMIFS('compens8-Import'!$H$4:$H$1002,'compens8-Import'!$M$4:$M$1002,$B18,'compens8-Import'!$E$4:$E$1002,CI$1)</f>
        <v>0</v>
      </c>
      <c r="CJ18" s="8">
        <f>SUMIFS('compens8-Import'!$H$4:$H$1002,'compens8-Import'!$M$4:$M$1002,$B18,'compens8-Import'!$E$4:$E$1002,CJ$1)</f>
        <v>0</v>
      </c>
      <c r="CK18" s="8">
        <f>SUMIFS('compens8-Import'!$H$4:$H$1002,'compens8-Import'!$M$4:$M$1002,$B18,'compens8-Import'!$E$4:$E$1002,CK$1)</f>
        <v>0</v>
      </c>
      <c r="CL18" s="8">
        <f>SUMIFS('compens8-Import'!$H$4:$H$1002,'compens8-Import'!$M$4:$M$1002,$B18,'compens8-Import'!$E$4:$E$1002,CL$1)</f>
        <v>0</v>
      </c>
      <c r="CM18" s="8">
        <f>SUMIFS('compens8-Import'!$H$4:$H$1002,'compens8-Import'!$M$4:$M$1002,$B18,'compens8-Import'!$E$4:$E$1002,CM$1)</f>
        <v>0</v>
      </c>
      <c r="CN18" s="8">
        <f>SUMIFS('compens8-Import'!$H$4:$H$1002,'compens8-Import'!$M$4:$M$1002,$B18,'compens8-Import'!$E$4:$E$1002,CN$1)</f>
        <v>0</v>
      </c>
    </row>
    <row r="19" spans="1:92" x14ac:dyDescent="0.25">
      <c r="A19" s="2" t="s">
        <v>73</v>
      </c>
      <c r="B19" s="2" t="str">
        <f>_xlfn.XLOOKUP(A19,'Correspondances pays'!$A$4:$A$200,'Correspondances pays'!$B$4:$B$200)</f>
        <v>Morocco</v>
      </c>
      <c r="C19" s="44">
        <f>AutoConsommation!F18</f>
        <v>154226</v>
      </c>
      <c r="D19" s="8">
        <f t="shared" si="0"/>
        <v>154226</v>
      </c>
      <c r="E19" s="8">
        <f>SUMIFS('compens8-Import'!$H$4:$H$1002,'compens8-Import'!$M$4:$M$1002,$B19,'compens8-Import'!$E$4:$E$1002,E$1)</f>
        <v>0</v>
      </c>
      <c r="F19" s="8">
        <f>SUMIFS('compens8-Import'!$H$4:$H$1002,'compens8-Import'!$M$4:$M$1002,$B19,'compens8-Import'!$E$4:$E$1002,F$1)</f>
        <v>0</v>
      </c>
      <c r="G19" s="8">
        <f>SUMIFS('compens8-Import'!$H$4:$H$1002,'compens8-Import'!$M$4:$M$1002,$B19,'compens8-Import'!$E$4:$E$1002,G$1)</f>
        <v>0</v>
      </c>
      <c r="H19" s="8">
        <f>SUMIFS('compens8-Import'!$H$4:$H$1002,'compens8-Import'!$M$4:$M$1002,$B19,'compens8-Import'!$E$4:$E$1002,H$1)</f>
        <v>0</v>
      </c>
      <c r="I19" s="8">
        <f>SUMIFS('compens8-Import'!$H$4:$H$1002,'compens8-Import'!$M$4:$M$1002,$B19,'compens8-Import'!$E$4:$E$1002,I$1)</f>
        <v>0</v>
      </c>
      <c r="J19" s="8">
        <f>SUMIFS('compens8-Import'!$H$4:$H$1002,'compens8-Import'!$M$4:$M$1002,$B19,'compens8-Import'!$E$4:$E$1002,J$1)</f>
        <v>0</v>
      </c>
      <c r="K19" s="8">
        <f>SUMIFS('compens8-Import'!$H$4:$H$1002,'compens8-Import'!$M$4:$M$1002,$B19,'compens8-Import'!$E$4:$E$1002,K$1)</f>
        <v>0</v>
      </c>
      <c r="L19" s="8">
        <f>SUMIFS('compens8-Import'!$H$4:$H$1002,'compens8-Import'!$M$4:$M$1002,$B19,'compens8-Import'!$E$4:$E$1002,L$1)</f>
        <v>28165</v>
      </c>
      <c r="M19" s="8">
        <f>SUMIFS('compens8-Import'!$H$4:$H$1002,'compens8-Import'!$M$4:$M$1002,$B19,'compens8-Import'!$E$4:$E$1002,M$1)</f>
        <v>0</v>
      </c>
      <c r="N19" s="8">
        <f>SUMIFS('compens8-Import'!$H$4:$H$1002,'compens8-Import'!$M$4:$M$1002,$B19,'compens8-Import'!$E$4:$E$1002,N$1)</f>
        <v>0</v>
      </c>
      <c r="O19" s="8">
        <f>SUMIFS('compens8-Import'!$H$4:$H$1002,'compens8-Import'!$M$4:$M$1002,$B19,'compens8-Import'!$E$4:$E$1002,O$1)</f>
        <v>0</v>
      </c>
      <c r="P19" s="8">
        <f>SUMIFS('compens8-Import'!$H$4:$H$1002,'compens8-Import'!$M$4:$M$1002,$B19,'compens8-Import'!$E$4:$E$1002,P$1)</f>
        <v>0</v>
      </c>
      <c r="Q19" s="8">
        <f>SUMIFS('compens8-Import'!$H$4:$H$1002,'compens8-Import'!$M$4:$M$1002,$B19,'compens8-Import'!$E$4:$E$1002,Q$1)</f>
        <v>0</v>
      </c>
      <c r="R19" s="8">
        <f>SUMIFS('compens8-Import'!$H$4:$H$1002,'compens8-Import'!$M$4:$M$1002,$B19,'compens8-Import'!$E$4:$E$1002,R$1)</f>
        <v>0</v>
      </c>
      <c r="S19" s="8">
        <f>SUMIFS('compens8-Import'!$H$4:$H$1002,'compens8-Import'!$M$4:$M$1002,$B19,'compens8-Import'!$E$4:$E$1002,S$1)</f>
        <v>0</v>
      </c>
      <c r="T19" s="8">
        <f>SUMIFS('compens8-Import'!$H$4:$H$1002,'compens8-Import'!$M$4:$M$1002,$B19,'compens8-Import'!$E$4:$E$1002,T$1)</f>
        <v>0</v>
      </c>
      <c r="U19" s="8">
        <f>SUMIFS('compens8-Import'!$H$4:$H$1002,'compens8-Import'!$M$4:$M$1002,$B19,'compens8-Import'!$E$4:$E$1002,U$1)</f>
        <v>0</v>
      </c>
      <c r="V19" s="8">
        <f>SUMIFS('compens8-Import'!$H$4:$H$1002,'compens8-Import'!$M$4:$M$1002,$B19,'compens8-Import'!$E$4:$E$1002,V$1)</f>
        <v>86</v>
      </c>
      <c r="W19" s="8">
        <f>SUMIFS('compens8-Import'!$H$4:$H$1002,'compens8-Import'!$M$4:$M$1002,$B19,'compens8-Import'!$E$4:$E$1002,W$1)</f>
        <v>0</v>
      </c>
      <c r="X19" s="8">
        <f>SUMIFS('compens8-Import'!$H$4:$H$1002,'compens8-Import'!$M$4:$M$1002,$B19,'compens8-Import'!$E$4:$E$1002,X$1)</f>
        <v>0</v>
      </c>
      <c r="Y19" s="8">
        <f>SUMIFS('compens8-Import'!$H$4:$H$1002,'compens8-Import'!$M$4:$M$1002,$B19,'compens8-Import'!$E$4:$E$1002,Y$1)</f>
        <v>0</v>
      </c>
      <c r="Z19" s="8">
        <f>SUMIFS('compens8-Import'!$H$4:$H$1002,'compens8-Import'!$M$4:$M$1002,$B19,'compens8-Import'!$E$4:$E$1002,Z$1)</f>
        <v>0</v>
      </c>
      <c r="AA19" s="8">
        <f>SUMIFS('compens8-Import'!$H$4:$H$1002,'compens8-Import'!$M$4:$M$1002,$B19,'compens8-Import'!$E$4:$E$1002,AA$1)</f>
        <v>0</v>
      </c>
      <c r="AB19" s="8">
        <f>SUMIFS('compens8-Import'!$H$4:$H$1002,'compens8-Import'!$M$4:$M$1002,$B19,'compens8-Import'!$E$4:$E$1002,AB$1)</f>
        <v>0</v>
      </c>
      <c r="AC19" s="8">
        <f>SUMIFS('compens8-Import'!$H$4:$H$1002,'compens8-Import'!$M$4:$M$1002,$B19,'compens8-Import'!$E$4:$E$1002,AC$1)</f>
        <v>32</v>
      </c>
      <c r="AD19" s="8">
        <f>SUMIFS('compens8-Import'!$H$4:$H$1002,'compens8-Import'!$M$4:$M$1002,$B19,'compens8-Import'!$E$4:$E$1002,AD$1)</f>
        <v>0</v>
      </c>
      <c r="AE19" s="8">
        <f>SUMIFS('compens8-Import'!$H$4:$H$1002,'compens8-Import'!$M$4:$M$1002,$B19,'compens8-Import'!$E$4:$E$1002,AE$1)</f>
        <v>0</v>
      </c>
      <c r="AF19" s="8">
        <f>SUMIFS('compens8-Import'!$H$4:$H$1002,'compens8-Import'!$M$4:$M$1002,$B19,'compens8-Import'!$E$4:$E$1002,AF$1)</f>
        <v>0</v>
      </c>
      <c r="AG19" s="8">
        <f>SUMIFS('compens8-Import'!$H$4:$H$1002,'compens8-Import'!$M$4:$M$1002,$B19,'compens8-Import'!$E$4:$E$1002,AG$1)</f>
        <v>0</v>
      </c>
      <c r="AH19" s="8">
        <f>SUMIFS('compens8-Import'!$H$4:$H$1002,'compens8-Import'!$M$4:$M$1002,$B19,'compens8-Import'!$E$4:$E$1002,AH$1)</f>
        <v>0</v>
      </c>
      <c r="AI19" s="8">
        <f>SUMIFS('compens8-Import'!$H$4:$H$1002,'compens8-Import'!$M$4:$M$1002,$B19,'compens8-Import'!$E$4:$E$1002,AI$1)</f>
        <v>0</v>
      </c>
      <c r="AJ19" s="8">
        <f>SUMIFS('compens8-Import'!$H$4:$H$1002,'compens8-Import'!$M$4:$M$1002,$B19,'compens8-Import'!$E$4:$E$1002,AJ$1)</f>
        <v>0</v>
      </c>
      <c r="AK19" s="8">
        <f>SUMIFS('compens8-Import'!$H$4:$H$1002,'compens8-Import'!$M$4:$M$1002,$B19,'compens8-Import'!$E$4:$E$1002,AK$1)</f>
        <v>1898</v>
      </c>
      <c r="AL19" s="8">
        <f>SUMIFS('compens8-Import'!$H$4:$H$1002,'compens8-Import'!$M$4:$M$1002,$B19,'compens8-Import'!$E$4:$E$1002,AL$1)</f>
        <v>0</v>
      </c>
      <c r="AM19" s="8">
        <f>SUMIFS('compens8-Import'!$H$4:$H$1002,'compens8-Import'!$M$4:$M$1002,$B19,'compens8-Import'!$E$4:$E$1002,AM$1)</f>
        <v>0</v>
      </c>
      <c r="AN19" s="8">
        <f>SUMIFS('compens8-Import'!$H$4:$H$1002,'compens8-Import'!$M$4:$M$1002,$B19,'compens8-Import'!$E$4:$E$1002,AN$1)</f>
        <v>0</v>
      </c>
      <c r="AO19" s="8">
        <f>SUMIFS('compens8-Import'!$H$4:$H$1002,'compens8-Import'!$M$4:$M$1002,$B19,'compens8-Import'!$E$4:$E$1002,AO$1)</f>
        <v>0</v>
      </c>
      <c r="AP19" s="8">
        <f>SUMIFS('compens8-Import'!$H$4:$H$1002,'compens8-Import'!$M$4:$M$1002,$B19,'compens8-Import'!$E$4:$E$1002,AP$1)</f>
        <v>100</v>
      </c>
      <c r="AQ19" s="8">
        <f>SUMIFS('compens8-Import'!$H$4:$H$1002,'compens8-Import'!$M$4:$M$1002,$B19,'compens8-Import'!$E$4:$E$1002,AQ$1)</f>
        <v>0</v>
      </c>
      <c r="AR19" s="8">
        <f>SUMIFS('compens8-Import'!$H$4:$H$1002,'compens8-Import'!$M$4:$M$1002,$B19,'compens8-Import'!$E$4:$E$1002,AR$1)</f>
        <v>0</v>
      </c>
      <c r="AS19" s="8">
        <f>SUMIFS('compens8-Import'!$H$4:$H$1002,'compens8-Import'!$M$4:$M$1002,$B19,'compens8-Import'!$E$4:$E$1002,AS$1)</f>
        <v>5968</v>
      </c>
      <c r="AT19" s="8">
        <f>SUMIFS('compens8-Import'!$H$4:$H$1002,'compens8-Import'!$M$4:$M$1002,$B19,'compens8-Import'!$E$4:$E$1002,AT$1)</f>
        <v>0</v>
      </c>
      <c r="AU19" s="8">
        <f>SUMIFS('compens8-Import'!$H$4:$H$1002,'compens8-Import'!$M$4:$M$1002,$B19,'compens8-Import'!$E$4:$E$1002,AU$1)</f>
        <v>0</v>
      </c>
      <c r="AV19" s="8">
        <f>SUMIFS('compens8-Import'!$H$4:$H$1002,'compens8-Import'!$M$4:$M$1002,$B19,'compens8-Import'!$E$4:$E$1002,AV$1)</f>
        <v>0</v>
      </c>
      <c r="AW19" s="8">
        <f>SUMIFS('compens8-Import'!$H$4:$H$1002,'compens8-Import'!$M$4:$M$1002,$B19,'compens8-Import'!$E$4:$E$1002,AW$1)</f>
        <v>98</v>
      </c>
      <c r="AX19" s="8">
        <f>SUMIFS('compens8-Import'!$H$4:$H$1002,'compens8-Import'!$M$4:$M$1002,$B19,'compens8-Import'!$E$4:$E$1002,AX$1)</f>
        <v>0</v>
      </c>
      <c r="AY19" s="8">
        <f>SUMIFS('compens8-Import'!$H$4:$H$1002,'compens8-Import'!$M$4:$M$1002,$B19,'compens8-Import'!$E$4:$E$1002,AY$1)</f>
        <v>0</v>
      </c>
      <c r="AZ19" s="8">
        <f>SUMIFS('compens8-Import'!$H$4:$H$1002,'compens8-Import'!$M$4:$M$1002,$B19,'compens8-Import'!$E$4:$E$1002,AZ$1)</f>
        <v>0</v>
      </c>
      <c r="BA19" s="8">
        <f>SUMIFS('compens8-Import'!$H$4:$H$1002,'compens8-Import'!$M$4:$M$1002,$B19,'compens8-Import'!$E$4:$E$1002,BA$1)</f>
        <v>0</v>
      </c>
      <c r="BB19" s="8">
        <f>SUMIFS('compens8-Import'!$H$4:$H$1002,'compens8-Import'!$M$4:$M$1002,$B19,'compens8-Import'!$E$4:$E$1002,BB$1)</f>
        <v>0</v>
      </c>
      <c r="BC19" s="8">
        <f>SUMIFS('compens8-Import'!$H$4:$H$1002,'compens8-Import'!$M$4:$M$1002,$B19,'compens8-Import'!$E$4:$E$1002,BC$1)</f>
        <v>701</v>
      </c>
      <c r="BD19" s="8">
        <f>SUMIFS('compens8-Import'!$H$4:$H$1002,'compens8-Import'!$M$4:$M$1002,$B19,'compens8-Import'!$E$4:$E$1002,BD$1)</f>
        <v>0</v>
      </c>
      <c r="BE19" s="8">
        <f>SUMIFS('compens8-Import'!$H$4:$H$1002,'compens8-Import'!$M$4:$M$1002,$B19,'compens8-Import'!$E$4:$E$1002,BE$1)</f>
        <v>0</v>
      </c>
      <c r="BF19" s="8">
        <f>SUMIFS('compens8-Import'!$H$4:$H$1002,'compens8-Import'!$M$4:$M$1002,$B19,'compens8-Import'!$E$4:$E$1002,BF$1)</f>
        <v>0</v>
      </c>
      <c r="BG19" s="8">
        <f>SUMIFS('compens8-Import'!$H$4:$H$1002,'compens8-Import'!$M$4:$M$1002,$B19,'compens8-Import'!$E$4:$E$1002,BG$1)</f>
        <v>0</v>
      </c>
      <c r="BH19" s="8">
        <f>SUMIFS('compens8-Import'!$H$4:$H$1002,'compens8-Import'!$M$4:$M$1002,$B19,'compens8-Import'!$E$4:$E$1002,BH$1)</f>
        <v>0</v>
      </c>
      <c r="BI19" s="8">
        <f>SUMIFS('compens8-Import'!$H$4:$H$1002,'compens8-Import'!$M$4:$M$1002,$B19,'compens8-Import'!$E$4:$E$1002,BI$1)</f>
        <v>0</v>
      </c>
      <c r="BJ19" s="8">
        <f>SUMIFS('compens8-Import'!$H$4:$H$1002,'compens8-Import'!$M$4:$M$1002,$B19,'compens8-Import'!$E$4:$E$1002,BJ$1)</f>
        <v>0</v>
      </c>
      <c r="BK19" s="8">
        <f>SUMIFS('compens8-Import'!$H$4:$H$1002,'compens8-Import'!$M$4:$M$1002,$B19,'compens8-Import'!$E$4:$E$1002,BK$1)</f>
        <v>6459</v>
      </c>
      <c r="BL19" s="8">
        <f>SUMIFS('compens8-Import'!$H$4:$H$1002,'compens8-Import'!$M$4:$M$1002,$B19,'compens8-Import'!$E$4:$E$1002,BL$1)</f>
        <v>0</v>
      </c>
      <c r="BM19" s="8">
        <f>SUMIFS('compens8-Import'!$H$4:$H$1002,'compens8-Import'!$M$4:$M$1002,$B19,'compens8-Import'!$E$4:$E$1002,BM$1)</f>
        <v>21176</v>
      </c>
      <c r="BN19" s="8">
        <f>SUMIFS('compens8-Import'!$H$4:$H$1002,'compens8-Import'!$M$4:$M$1002,$B19,'compens8-Import'!$E$4:$E$1002,BN$1)</f>
        <v>925</v>
      </c>
      <c r="BO19" s="8">
        <f>SUMIFS('compens8-Import'!$H$4:$H$1002,'compens8-Import'!$M$4:$M$1002,$B19,'compens8-Import'!$E$4:$E$1002,BO$1)</f>
        <v>0</v>
      </c>
      <c r="BP19" s="8">
        <f>SUMIFS('compens8-Import'!$H$4:$H$1002,'compens8-Import'!$M$4:$M$1002,$B19,'compens8-Import'!$E$4:$E$1002,BP$1)</f>
        <v>0</v>
      </c>
      <c r="BQ19" s="8">
        <f>SUMIFS('compens8-Import'!$H$4:$H$1002,'compens8-Import'!$M$4:$M$1002,$B19,'compens8-Import'!$E$4:$E$1002,BQ$1)</f>
        <v>0</v>
      </c>
      <c r="BR19" s="8">
        <f>SUMIFS('compens8-Import'!$H$4:$H$1002,'compens8-Import'!$M$4:$M$1002,$B19,'compens8-Import'!$E$4:$E$1002,BR$1)</f>
        <v>0</v>
      </c>
      <c r="BS19" s="8">
        <f>SUMIFS('compens8-Import'!$H$4:$H$1002,'compens8-Import'!$M$4:$M$1002,$B19,'compens8-Import'!$E$4:$E$1002,BS$1)</f>
        <v>0</v>
      </c>
      <c r="BT19" s="8">
        <f>SUMIFS('compens8-Import'!$H$4:$H$1002,'compens8-Import'!$M$4:$M$1002,$B19,'compens8-Import'!$E$4:$E$1002,BT$1)</f>
        <v>3858</v>
      </c>
      <c r="BU19" s="8">
        <f>SUMIFS('compens8-Import'!$H$4:$H$1002,'compens8-Import'!$M$4:$M$1002,$B19,'compens8-Import'!$E$4:$E$1002,BU$1)</f>
        <v>0</v>
      </c>
      <c r="BV19" s="8">
        <f>SUMIFS('compens8-Import'!$H$4:$H$1002,'compens8-Import'!$M$4:$M$1002,$B19,'compens8-Import'!$E$4:$E$1002,BV$1)</f>
        <v>0</v>
      </c>
      <c r="BW19" s="8">
        <f>SUMIFS('compens8-Import'!$H$4:$H$1002,'compens8-Import'!$M$4:$M$1002,$B19,'compens8-Import'!$E$4:$E$1002,BW$1)</f>
        <v>0</v>
      </c>
      <c r="BX19" s="8">
        <f>SUMIFS('compens8-Import'!$H$4:$H$1002,'compens8-Import'!$M$4:$M$1002,$B19,'compens8-Import'!$E$4:$E$1002,BX$1)</f>
        <v>0</v>
      </c>
      <c r="BY19" s="8">
        <f>SUMIFS('compens8-Import'!$H$4:$H$1002,'compens8-Import'!$M$4:$M$1002,$B19,'compens8-Import'!$E$4:$E$1002,BY$1)</f>
        <v>0</v>
      </c>
      <c r="BZ19" s="8">
        <f>SUMIFS('compens8-Import'!$H$4:$H$1002,'compens8-Import'!$M$4:$M$1002,$B19,'compens8-Import'!$E$4:$E$1002,BZ$1)</f>
        <v>0</v>
      </c>
      <c r="CA19" s="8">
        <f>SUMIFS('compens8-Import'!$H$4:$H$1002,'compens8-Import'!$M$4:$M$1002,$B19,'compens8-Import'!$E$4:$E$1002,CA$1)</f>
        <v>1020</v>
      </c>
      <c r="CB19" s="8">
        <f>SUMIFS('compens8-Import'!$H$4:$H$1002,'compens8-Import'!$M$4:$M$1002,$B19,'compens8-Import'!$E$4:$E$1002,CB$1)</f>
        <v>0</v>
      </c>
      <c r="CC19" s="8">
        <f>SUMIFS('compens8-Import'!$H$4:$H$1002,'compens8-Import'!$M$4:$M$1002,$B19,'compens8-Import'!$E$4:$E$1002,CC$1)</f>
        <v>0</v>
      </c>
      <c r="CD19" s="8">
        <f>SUMIFS('compens8-Import'!$H$4:$H$1002,'compens8-Import'!$M$4:$M$1002,$B19,'compens8-Import'!$E$4:$E$1002,CD$1)</f>
        <v>83116</v>
      </c>
      <c r="CE19" s="8">
        <f>SUMIFS('compens8-Import'!$H$4:$H$1002,'compens8-Import'!$M$4:$M$1002,$B19,'compens8-Import'!$E$4:$E$1002,CE$1)</f>
        <v>0</v>
      </c>
      <c r="CF19" s="8">
        <f>SUMIFS('compens8-Import'!$H$4:$H$1002,'compens8-Import'!$M$4:$M$1002,$B19,'compens8-Import'!$E$4:$E$1002,CF$1)</f>
        <v>0</v>
      </c>
      <c r="CG19" s="8">
        <f>SUMIFS('compens8-Import'!$H$4:$H$1002,'compens8-Import'!$M$4:$M$1002,$B19,'compens8-Import'!$E$4:$E$1002,CG$1)</f>
        <v>0</v>
      </c>
      <c r="CH19" s="8">
        <f>SUMIFS('compens8-Import'!$H$4:$H$1002,'compens8-Import'!$M$4:$M$1002,$B19,'compens8-Import'!$E$4:$E$1002,CH$1)</f>
        <v>0</v>
      </c>
      <c r="CI19" s="8">
        <f>SUMIFS('compens8-Import'!$H$4:$H$1002,'compens8-Import'!$M$4:$M$1002,$B19,'compens8-Import'!$E$4:$E$1002,CI$1)</f>
        <v>624</v>
      </c>
      <c r="CJ19" s="8">
        <f>SUMIFS('compens8-Import'!$H$4:$H$1002,'compens8-Import'!$M$4:$M$1002,$B19,'compens8-Import'!$E$4:$E$1002,CJ$1)</f>
        <v>0</v>
      </c>
      <c r="CK19" s="8">
        <f>SUMIFS('compens8-Import'!$H$4:$H$1002,'compens8-Import'!$M$4:$M$1002,$B19,'compens8-Import'!$E$4:$E$1002,CK$1)</f>
        <v>0</v>
      </c>
      <c r="CL19" s="8">
        <f>SUMIFS('compens8-Import'!$H$4:$H$1002,'compens8-Import'!$M$4:$M$1002,$B19,'compens8-Import'!$E$4:$E$1002,CL$1)</f>
        <v>0</v>
      </c>
      <c r="CM19" s="8">
        <f>SUMIFS('compens8-Import'!$H$4:$H$1002,'compens8-Import'!$M$4:$M$1002,$B19,'compens8-Import'!$E$4:$E$1002,CM$1)</f>
        <v>0</v>
      </c>
      <c r="CN19" s="8">
        <f>SUMIFS('compens8-Import'!$H$4:$H$1002,'compens8-Import'!$M$4:$M$1002,$B19,'compens8-Import'!$E$4:$E$1002,CN$1)</f>
        <v>0</v>
      </c>
    </row>
    <row r="20" spans="1:92" x14ac:dyDescent="0.25">
      <c r="A20" s="2" t="s">
        <v>70</v>
      </c>
      <c r="B20" s="2" t="str">
        <f>_xlfn.XLOOKUP(A20,'Correspondances pays'!$A$4:$A$200,'Correspondances pays'!$B$4:$B$200)</f>
        <v>Mexico</v>
      </c>
      <c r="C20" s="44">
        <f>AutoConsommation!F19</f>
        <v>1100564.3599999996</v>
      </c>
      <c r="D20" s="8">
        <f t="shared" si="0"/>
        <v>1100564.3599999999</v>
      </c>
      <c r="E20" s="8">
        <f>SUMIFS('compens8-Import'!$H$4:$H$1002,'compens8-Import'!$M$4:$M$1002,$B20,'compens8-Import'!$E$4:$E$1002,E$1)</f>
        <v>0</v>
      </c>
      <c r="F20" s="8">
        <f>SUMIFS('compens8-Import'!$H$4:$H$1002,'compens8-Import'!$M$4:$M$1002,$B20,'compens8-Import'!$E$4:$E$1002,F$1)</f>
        <v>0</v>
      </c>
      <c r="G20" s="8">
        <f>SUMIFS('compens8-Import'!$H$4:$H$1002,'compens8-Import'!$M$4:$M$1002,$B20,'compens8-Import'!$E$4:$E$1002,G$1)</f>
        <v>0</v>
      </c>
      <c r="H20" s="8">
        <f>SUMIFS('compens8-Import'!$H$4:$H$1002,'compens8-Import'!$M$4:$M$1002,$B20,'compens8-Import'!$E$4:$E$1002,H$1)</f>
        <v>425.94</v>
      </c>
      <c r="I20" s="8">
        <f>SUMIFS('compens8-Import'!$H$4:$H$1002,'compens8-Import'!$M$4:$M$1002,$B20,'compens8-Import'!$E$4:$E$1002,I$1)</f>
        <v>0</v>
      </c>
      <c r="J20" s="8">
        <f>SUMIFS('compens8-Import'!$H$4:$H$1002,'compens8-Import'!$M$4:$M$1002,$B20,'compens8-Import'!$E$4:$E$1002,J$1)</f>
        <v>0</v>
      </c>
      <c r="K20" s="8">
        <f>SUMIFS('compens8-Import'!$H$4:$H$1002,'compens8-Import'!$M$4:$M$1002,$B20,'compens8-Import'!$E$4:$E$1002,K$1)</f>
        <v>0</v>
      </c>
      <c r="L20" s="8">
        <f>SUMIFS('compens8-Import'!$H$4:$H$1002,'compens8-Import'!$M$4:$M$1002,$B20,'compens8-Import'!$E$4:$E$1002,L$1)</f>
        <v>71784.84</v>
      </c>
      <c r="M20" s="8">
        <f>SUMIFS('compens8-Import'!$H$4:$H$1002,'compens8-Import'!$M$4:$M$1002,$B20,'compens8-Import'!$E$4:$E$1002,M$1)</f>
        <v>0</v>
      </c>
      <c r="N20" s="8">
        <f>SUMIFS('compens8-Import'!$H$4:$H$1002,'compens8-Import'!$M$4:$M$1002,$B20,'compens8-Import'!$E$4:$E$1002,N$1)</f>
        <v>0</v>
      </c>
      <c r="O20" s="8">
        <f>SUMIFS('compens8-Import'!$H$4:$H$1002,'compens8-Import'!$M$4:$M$1002,$B20,'compens8-Import'!$E$4:$E$1002,O$1)</f>
        <v>0</v>
      </c>
      <c r="P20" s="8">
        <f>SUMIFS('compens8-Import'!$H$4:$H$1002,'compens8-Import'!$M$4:$M$1002,$B20,'compens8-Import'!$E$4:$E$1002,P$1)</f>
        <v>0</v>
      </c>
      <c r="Q20" s="8">
        <f>SUMIFS('compens8-Import'!$H$4:$H$1002,'compens8-Import'!$M$4:$M$1002,$B20,'compens8-Import'!$E$4:$E$1002,Q$1)</f>
        <v>2349</v>
      </c>
      <c r="R20" s="8">
        <f>SUMIFS('compens8-Import'!$H$4:$H$1002,'compens8-Import'!$M$4:$M$1002,$B20,'compens8-Import'!$E$4:$E$1002,R$1)</f>
        <v>0</v>
      </c>
      <c r="S20" s="8">
        <f>SUMIFS('compens8-Import'!$H$4:$H$1002,'compens8-Import'!$M$4:$M$1002,$B20,'compens8-Import'!$E$4:$E$1002,S$1)</f>
        <v>0</v>
      </c>
      <c r="T20" s="8">
        <f>SUMIFS('compens8-Import'!$H$4:$H$1002,'compens8-Import'!$M$4:$M$1002,$B20,'compens8-Import'!$E$4:$E$1002,T$1)</f>
        <v>0</v>
      </c>
      <c r="U20" s="8">
        <f>SUMIFS('compens8-Import'!$H$4:$H$1002,'compens8-Import'!$M$4:$M$1002,$B20,'compens8-Import'!$E$4:$E$1002,U$1)</f>
        <v>122468.29</v>
      </c>
      <c r="V20" s="8">
        <f>SUMIFS('compens8-Import'!$H$4:$H$1002,'compens8-Import'!$M$4:$M$1002,$B20,'compens8-Import'!$E$4:$E$1002,V$1)</f>
        <v>6498.84</v>
      </c>
      <c r="W20" s="8">
        <f>SUMIFS('compens8-Import'!$H$4:$H$1002,'compens8-Import'!$M$4:$M$1002,$B20,'compens8-Import'!$E$4:$E$1002,W$1)</f>
        <v>0</v>
      </c>
      <c r="X20" s="8">
        <f>SUMIFS('compens8-Import'!$H$4:$H$1002,'compens8-Import'!$M$4:$M$1002,$B20,'compens8-Import'!$E$4:$E$1002,X$1)</f>
        <v>0</v>
      </c>
      <c r="Y20" s="8">
        <f>SUMIFS('compens8-Import'!$H$4:$H$1002,'compens8-Import'!$M$4:$M$1002,$B20,'compens8-Import'!$E$4:$E$1002,Y$1)</f>
        <v>0</v>
      </c>
      <c r="Z20" s="8">
        <f>SUMIFS('compens8-Import'!$H$4:$H$1002,'compens8-Import'!$M$4:$M$1002,$B20,'compens8-Import'!$E$4:$E$1002,Z$1)</f>
        <v>0</v>
      </c>
      <c r="AA20" s="8">
        <f>SUMIFS('compens8-Import'!$H$4:$H$1002,'compens8-Import'!$M$4:$M$1002,$B20,'compens8-Import'!$E$4:$E$1002,AA$1)</f>
        <v>0</v>
      </c>
      <c r="AB20" s="8">
        <f>SUMIFS('compens8-Import'!$H$4:$H$1002,'compens8-Import'!$M$4:$M$1002,$B20,'compens8-Import'!$E$4:$E$1002,AB$1)</f>
        <v>0</v>
      </c>
      <c r="AC20" s="8">
        <f>SUMIFS('compens8-Import'!$H$4:$H$1002,'compens8-Import'!$M$4:$M$1002,$B20,'compens8-Import'!$E$4:$E$1002,AC$1)</f>
        <v>0</v>
      </c>
      <c r="AD20" s="8">
        <f>SUMIFS('compens8-Import'!$H$4:$H$1002,'compens8-Import'!$M$4:$M$1002,$B20,'compens8-Import'!$E$4:$E$1002,AD$1)</f>
        <v>0</v>
      </c>
      <c r="AE20" s="8">
        <f>SUMIFS('compens8-Import'!$H$4:$H$1002,'compens8-Import'!$M$4:$M$1002,$B20,'compens8-Import'!$E$4:$E$1002,AE$1)</f>
        <v>3.41</v>
      </c>
      <c r="AF20" s="8">
        <f>SUMIFS('compens8-Import'!$H$4:$H$1002,'compens8-Import'!$M$4:$M$1002,$B20,'compens8-Import'!$E$4:$E$1002,AF$1)</f>
        <v>0</v>
      </c>
      <c r="AG20" s="8">
        <f>SUMIFS('compens8-Import'!$H$4:$H$1002,'compens8-Import'!$M$4:$M$1002,$B20,'compens8-Import'!$E$4:$E$1002,AG$1)</f>
        <v>0</v>
      </c>
      <c r="AH20" s="8">
        <f>SUMIFS('compens8-Import'!$H$4:$H$1002,'compens8-Import'!$M$4:$M$1002,$B20,'compens8-Import'!$E$4:$E$1002,AH$1)</f>
        <v>0</v>
      </c>
      <c r="AI20" s="8">
        <f>SUMIFS('compens8-Import'!$H$4:$H$1002,'compens8-Import'!$M$4:$M$1002,$B20,'compens8-Import'!$E$4:$E$1002,AI$1)</f>
        <v>0</v>
      </c>
      <c r="AJ20" s="8">
        <f>SUMIFS('compens8-Import'!$H$4:$H$1002,'compens8-Import'!$M$4:$M$1002,$B20,'compens8-Import'!$E$4:$E$1002,AJ$1)</f>
        <v>0</v>
      </c>
      <c r="AK20" s="8">
        <f>SUMIFS('compens8-Import'!$H$4:$H$1002,'compens8-Import'!$M$4:$M$1002,$B20,'compens8-Import'!$E$4:$E$1002,AK$1)</f>
        <v>231397.63999999998</v>
      </c>
      <c r="AL20" s="8">
        <f>SUMIFS('compens8-Import'!$H$4:$H$1002,'compens8-Import'!$M$4:$M$1002,$B20,'compens8-Import'!$E$4:$E$1002,AL$1)</f>
        <v>0</v>
      </c>
      <c r="AM20" s="8">
        <f>SUMIFS('compens8-Import'!$H$4:$H$1002,'compens8-Import'!$M$4:$M$1002,$B20,'compens8-Import'!$E$4:$E$1002,AM$1)</f>
        <v>0</v>
      </c>
      <c r="AN20" s="8">
        <f>SUMIFS('compens8-Import'!$H$4:$H$1002,'compens8-Import'!$M$4:$M$1002,$B20,'compens8-Import'!$E$4:$E$1002,AN$1)</f>
        <v>0</v>
      </c>
      <c r="AO20" s="8">
        <f>SUMIFS('compens8-Import'!$H$4:$H$1002,'compens8-Import'!$M$4:$M$1002,$B20,'compens8-Import'!$E$4:$E$1002,AO$1)</f>
        <v>0</v>
      </c>
      <c r="AP20" s="8">
        <f>SUMIFS('compens8-Import'!$H$4:$H$1002,'compens8-Import'!$M$4:$M$1002,$B20,'compens8-Import'!$E$4:$E$1002,AP$1)</f>
        <v>0</v>
      </c>
      <c r="AQ20" s="8">
        <f>SUMIFS('compens8-Import'!$H$4:$H$1002,'compens8-Import'!$M$4:$M$1002,$B20,'compens8-Import'!$E$4:$E$1002,AQ$1)</f>
        <v>194</v>
      </c>
      <c r="AR20" s="8">
        <f>SUMIFS('compens8-Import'!$H$4:$H$1002,'compens8-Import'!$M$4:$M$1002,$B20,'compens8-Import'!$E$4:$E$1002,AR$1)</f>
        <v>0</v>
      </c>
      <c r="AS20" s="8">
        <f>SUMIFS('compens8-Import'!$H$4:$H$1002,'compens8-Import'!$M$4:$M$1002,$B20,'compens8-Import'!$E$4:$E$1002,AS$1)</f>
        <v>3753.48</v>
      </c>
      <c r="AT20" s="8">
        <f>SUMIFS('compens8-Import'!$H$4:$H$1002,'compens8-Import'!$M$4:$M$1002,$B20,'compens8-Import'!$E$4:$E$1002,AT$1)</f>
        <v>0</v>
      </c>
      <c r="AU20" s="8">
        <f>SUMIFS('compens8-Import'!$H$4:$H$1002,'compens8-Import'!$M$4:$M$1002,$B20,'compens8-Import'!$E$4:$E$1002,AU$1)</f>
        <v>0</v>
      </c>
      <c r="AV20" s="8">
        <f>SUMIFS('compens8-Import'!$H$4:$H$1002,'compens8-Import'!$M$4:$M$1002,$B20,'compens8-Import'!$E$4:$E$1002,AV$1)</f>
        <v>0</v>
      </c>
      <c r="AW20" s="8">
        <f>SUMIFS('compens8-Import'!$H$4:$H$1002,'compens8-Import'!$M$4:$M$1002,$B20,'compens8-Import'!$E$4:$E$1002,AW$1)</f>
        <v>3000.18</v>
      </c>
      <c r="AX20" s="8">
        <f>SUMIFS('compens8-Import'!$H$4:$H$1002,'compens8-Import'!$M$4:$M$1002,$B20,'compens8-Import'!$E$4:$E$1002,AX$1)</f>
        <v>0</v>
      </c>
      <c r="AY20" s="8">
        <f>SUMIFS('compens8-Import'!$H$4:$H$1002,'compens8-Import'!$M$4:$M$1002,$B20,'compens8-Import'!$E$4:$E$1002,AY$1)</f>
        <v>0</v>
      </c>
      <c r="AZ20" s="8">
        <f>SUMIFS('compens8-Import'!$H$4:$H$1002,'compens8-Import'!$M$4:$M$1002,$B20,'compens8-Import'!$E$4:$E$1002,AZ$1)</f>
        <v>0</v>
      </c>
      <c r="BA20" s="8">
        <f>SUMIFS('compens8-Import'!$H$4:$H$1002,'compens8-Import'!$M$4:$M$1002,$B20,'compens8-Import'!$E$4:$E$1002,BA$1)</f>
        <v>0</v>
      </c>
      <c r="BB20" s="8">
        <f>SUMIFS('compens8-Import'!$H$4:$H$1002,'compens8-Import'!$M$4:$M$1002,$B20,'compens8-Import'!$E$4:$E$1002,BB$1)</f>
        <v>0</v>
      </c>
      <c r="BC20" s="8">
        <f>SUMIFS('compens8-Import'!$H$4:$H$1002,'compens8-Import'!$M$4:$M$1002,$B20,'compens8-Import'!$E$4:$E$1002,BC$1)</f>
        <v>0</v>
      </c>
      <c r="BD20" s="8">
        <f>SUMIFS('compens8-Import'!$H$4:$H$1002,'compens8-Import'!$M$4:$M$1002,$B20,'compens8-Import'!$E$4:$E$1002,BD$1)</f>
        <v>0</v>
      </c>
      <c r="BE20" s="8">
        <f>SUMIFS('compens8-Import'!$H$4:$H$1002,'compens8-Import'!$M$4:$M$1002,$B20,'compens8-Import'!$E$4:$E$1002,BE$1)</f>
        <v>0</v>
      </c>
      <c r="BF20" s="8">
        <f>SUMIFS('compens8-Import'!$H$4:$H$1002,'compens8-Import'!$M$4:$M$1002,$B20,'compens8-Import'!$E$4:$E$1002,BF$1)</f>
        <v>0</v>
      </c>
      <c r="BG20" s="8">
        <f>SUMIFS('compens8-Import'!$H$4:$H$1002,'compens8-Import'!$M$4:$M$1002,$B20,'compens8-Import'!$E$4:$E$1002,BG$1)</f>
        <v>0</v>
      </c>
      <c r="BH20" s="8">
        <f>SUMIFS('compens8-Import'!$H$4:$H$1002,'compens8-Import'!$M$4:$M$1002,$B20,'compens8-Import'!$E$4:$E$1002,BH$1)</f>
        <v>0</v>
      </c>
      <c r="BI20" s="8">
        <f>SUMIFS('compens8-Import'!$H$4:$H$1002,'compens8-Import'!$M$4:$M$1002,$B20,'compens8-Import'!$E$4:$E$1002,BI$1)</f>
        <v>0</v>
      </c>
      <c r="BJ20" s="8">
        <f>SUMIFS('compens8-Import'!$H$4:$H$1002,'compens8-Import'!$M$4:$M$1002,$B20,'compens8-Import'!$E$4:$E$1002,BJ$1)</f>
        <v>0</v>
      </c>
      <c r="BK20" s="8">
        <f>SUMIFS('compens8-Import'!$H$4:$H$1002,'compens8-Import'!$M$4:$M$1002,$B20,'compens8-Import'!$E$4:$E$1002,BK$1)</f>
        <v>18419</v>
      </c>
      <c r="BL20" s="8">
        <f>SUMIFS('compens8-Import'!$H$4:$H$1002,'compens8-Import'!$M$4:$M$1002,$B20,'compens8-Import'!$E$4:$E$1002,BL$1)</f>
        <v>0</v>
      </c>
      <c r="BM20" s="8">
        <f>SUMIFS('compens8-Import'!$H$4:$H$1002,'compens8-Import'!$M$4:$M$1002,$B20,'compens8-Import'!$E$4:$E$1002,BM$1)</f>
        <v>142342.07999999999</v>
      </c>
      <c r="BN20" s="8">
        <f>SUMIFS('compens8-Import'!$H$4:$H$1002,'compens8-Import'!$M$4:$M$1002,$B20,'compens8-Import'!$E$4:$E$1002,BN$1)</f>
        <v>0</v>
      </c>
      <c r="BO20" s="8">
        <f>SUMIFS('compens8-Import'!$H$4:$H$1002,'compens8-Import'!$M$4:$M$1002,$B20,'compens8-Import'!$E$4:$E$1002,BO$1)</f>
        <v>0</v>
      </c>
      <c r="BP20" s="8">
        <f>SUMIFS('compens8-Import'!$H$4:$H$1002,'compens8-Import'!$M$4:$M$1002,$B20,'compens8-Import'!$E$4:$E$1002,BP$1)</f>
        <v>0</v>
      </c>
      <c r="BQ20" s="8">
        <f>SUMIFS('compens8-Import'!$H$4:$H$1002,'compens8-Import'!$M$4:$M$1002,$B20,'compens8-Import'!$E$4:$E$1002,BQ$1)</f>
        <v>0</v>
      </c>
      <c r="BR20" s="8">
        <f>SUMIFS('compens8-Import'!$H$4:$H$1002,'compens8-Import'!$M$4:$M$1002,$B20,'compens8-Import'!$E$4:$E$1002,BR$1)</f>
        <v>0</v>
      </c>
      <c r="BS20" s="8">
        <f>SUMIFS('compens8-Import'!$H$4:$H$1002,'compens8-Import'!$M$4:$M$1002,$B20,'compens8-Import'!$E$4:$E$1002,BS$1)</f>
        <v>109675.83</v>
      </c>
      <c r="BT20" s="8">
        <f>SUMIFS('compens8-Import'!$H$4:$H$1002,'compens8-Import'!$M$4:$M$1002,$B20,'compens8-Import'!$E$4:$E$1002,BT$1)</f>
        <v>786</v>
      </c>
      <c r="BU20" s="8">
        <f>SUMIFS('compens8-Import'!$H$4:$H$1002,'compens8-Import'!$M$4:$M$1002,$B20,'compens8-Import'!$E$4:$E$1002,BU$1)</f>
        <v>0</v>
      </c>
      <c r="BV20" s="8">
        <f>SUMIFS('compens8-Import'!$H$4:$H$1002,'compens8-Import'!$M$4:$M$1002,$B20,'compens8-Import'!$E$4:$E$1002,BV$1)</f>
        <v>0</v>
      </c>
      <c r="BW20" s="8">
        <f>SUMIFS('compens8-Import'!$H$4:$H$1002,'compens8-Import'!$M$4:$M$1002,$B20,'compens8-Import'!$E$4:$E$1002,BW$1)</f>
        <v>0</v>
      </c>
      <c r="BX20" s="8">
        <f>SUMIFS('compens8-Import'!$H$4:$H$1002,'compens8-Import'!$M$4:$M$1002,$B20,'compens8-Import'!$E$4:$E$1002,BX$1)</f>
        <v>0</v>
      </c>
      <c r="BY20" s="8">
        <f>SUMIFS('compens8-Import'!$H$4:$H$1002,'compens8-Import'!$M$4:$M$1002,$B20,'compens8-Import'!$E$4:$E$1002,BY$1)</f>
        <v>0</v>
      </c>
      <c r="BZ20" s="8">
        <f>SUMIFS('compens8-Import'!$H$4:$H$1002,'compens8-Import'!$M$4:$M$1002,$B20,'compens8-Import'!$E$4:$E$1002,BZ$1)</f>
        <v>0</v>
      </c>
      <c r="CA20" s="8">
        <f>SUMIFS('compens8-Import'!$H$4:$H$1002,'compens8-Import'!$M$4:$M$1002,$B20,'compens8-Import'!$E$4:$E$1002,CA$1)</f>
        <v>0</v>
      </c>
      <c r="CB20" s="8">
        <f>SUMIFS('compens8-Import'!$H$4:$H$1002,'compens8-Import'!$M$4:$M$1002,$B20,'compens8-Import'!$E$4:$E$1002,CB$1)</f>
        <v>0</v>
      </c>
      <c r="CC20" s="8">
        <f>SUMIFS('compens8-Import'!$H$4:$H$1002,'compens8-Import'!$M$4:$M$1002,$B20,'compens8-Import'!$E$4:$E$1002,CC$1)</f>
        <v>0</v>
      </c>
      <c r="CD20" s="8">
        <f>SUMIFS('compens8-Import'!$H$4:$H$1002,'compens8-Import'!$M$4:$M$1002,$B20,'compens8-Import'!$E$4:$E$1002,CD$1)</f>
        <v>167924.83</v>
      </c>
      <c r="CE20" s="8">
        <f>SUMIFS('compens8-Import'!$H$4:$H$1002,'compens8-Import'!$M$4:$M$1002,$B20,'compens8-Import'!$E$4:$E$1002,CE$1)</f>
        <v>0</v>
      </c>
      <c r="CF20" s="8">
        <f>SUMIFS('compens8-Import'!$H$4:$H$1002,'compens8-Import'!$M$4:$M$1002,$B20,'compens8-Import'!$E$4:$E$1002,CF$1)</f>
        <v>196924</v>
      </c>
      <c r="CG20" s="8">
        <f>SUMIFS('compens8-Import'!$H$4:$H$1002,'compens8-Import'!$M$4:$M$1002,$B20,'compens8-Import'!$E$4:$E$1002,CG$1)</f>
        <v>0</v>
      </c>
      <c r="CH20" s="8">
        <f>SUMIFS('compens8-Import'!$H$4:$H$1002,'compens8-Import'!$M$4:$M$1002,$B20,'compens8-Import'!$E$4:$E$1002,CH$1)</f>
        <v>0</v>
      </c>
      <c r="CI20" s="8">
        <f>SUMIFS('compens8-Import'!$H$4:$H$1002,'compens8-Import'!$M$4:$M$1002,$B20,'compens8-Import'!$E$4:$E$1002,CI$1)</f>
        <v>22617</v>
      </c>
      <c r="CJ20" s="8">
        <f>SUMIFS('compens8-Import'!$H$4:$H$1002,'compens8-Import'!$M$4:$M$1002,$B20,'compens8-Import'!$E$4:$E$1002,CJ$1)</f>
        <v>0</v>
      </c>
      <c r="CK20" s="8">
        <f>SUMIFS('compens8-Import'!$H$4:$H$1002,'compens8-Import'!$M$4:$M$1002,$B20,'compens8-Import'!$E$4:$E$1002,CK$1)</f>
        <v>0</v>
      </c>
      <c r="CL20" s="8">
        <f>SUMIFS('compens8-Import'!$H$4:$H$1002,'compens8-Import'!$M$4:$M$1002,$B20,'compens8-Import'!$E$4:$E$1002,CL$1)</f>
        <v>0</v>
      </c>
      <c r="CM20" s="8">
        <f>SUMIFS('compens8-Import'!$H$4:$H$1002,'compens8-Import'!$M$4:$M$1002,$B20,'compens8-Import'!$E$4:$E$1002,CM$1)</f>
        <v>0</v>
      </c>
      <c r="CN20" s="8">
        <f>SUMIFS('compens8-Import'!$H$4:$H$1002,'compens8-Import'!$M$4:$M$1002,$B20,'compens8-Import'!$E$4:$E$1002,CN$1)</f>
        <v>0</v>
      </c>
    </row>
    <row r="21" spans="1:92" x14ac:dyDescent="0.25">
      <c r="A21" s="2" t="s">
        <v>86</v>
      </c>
      <c r="B21" s="2" t="str">
        <f>_xlfn.XLOOKUP(A21,'Correspondances pays'!$A$4:$A$200,'Correspondances pays'!$B$4:$B$200)</f>
        <v>Poland</v>
      </c>
      <c r="C21" s="44">
        <f>AutoConsommation!F20</f>
        <v>651685</v>
      </c>
      <c r="D21" s="8">
        <f t="shared" si="0"/>
        <v>651685</v>
      </c>
      <c r="E21" s="8">
        <f>SUMIFS('compens8-Import'!$H$4:$H$1002,'compens8-Import'!$M$4:$M$1002,$B21,'compens8-Import'!$E$4:$E$1002,E$1)</f>
        <v>0</v>
      </c>
      <c r="F21" s="8">
        <f>SUMIFS('compens8-Import'!$H$4:$H$1002,'compens8-Import'!$M$4:$M$1002,$B21,'compens8-Import'!$E$4:$E$1002,F$1)</f>
        <v>0</v>
      </c>
      <c r="G21" s="8">
        <f>SUMIFS('compens8-Import'!$H$4:$H$1002,'compens8-Import'!$M$4:$M$1002,$B21,'compens8-Import'!$E$4:$E$1002,G$1)</f>
        <v>0</v>
      </c>
      <c r="H21" s="8">
        <f>SUMIFS('compens8-Import'!$H$4:$H$1002,'compens8-Import'!$M$4:$M$1002,$B21,'compens8-Import'!$E$4:$E$1002,H$1)</f>
        <v>0</v>
      </c>
      <c r="I21" s="8">
        <f>SUMIFS('compens8-Import'!$H$4:$H$1002,'compens8-Import'!$M$4:$M$1002,$B21,'compens8-Import'!$E$4:$E$1002,I$1)</f>
        <v>0</v>
      </c>
      <c r="J21" s="8">
        <f>SUMIFS('compens8-Import'!$H$4:$H$1002,'compens8-Import'!$M$4:$M$1002,$B21,'compens8-Import'!$E$4:$E$1002,J$1)</f>
        <v>0</v>
      </c>
      <c r="K21" s="8">
        <f>SUMIFS('compens8-Import'!$H$4:$H$1002,'compens8-Import'!$M$4:$M$1002,$B21,'compens8-Import'!$E$4:$E$1002,K$1)</f>
        <v>0</v>
      </c>
      <c r="L21" s="8">
        <f>SUMIFS('compens8-Import'!$H$4:$H$1002,'compens8-Import'!$M$4:$M$1002,$B21,'compens8-Import'!$E$4:$E$1002,L$1)</f>
        <v>13828</v>
      </c>
      <c r="M21" s="8">
        <f>SUMIFS('compens8-Import'!$H$4:$H$1002,'compens8-Import'!$M$4:$M$1002,$B21,'compens8-Import'!$E$4:$E$1002,M$1)</f>
        <v>0</v>
      </c>
      <c r="N21" s="8">
        <f>SUMIFS('compens8-Import'!$H$4:$H$1002,'compens8-Import'!$M$4:$M$1002,$B21,'compens8-Import'!$E$4:$E$1002,N$1)</f>
        <v>0</v>
      </c>
      <c r="O21" s="8">
        <f>SUMIFS('compens8-Import'!$H$4:$H$1002,'compens8-Import'!$M$4:$M$1002,$B21,'compens8-Import'!$E$4:$E$1002,O$1)</f>
        <v>11183</v>
      </c>
      <c r="P21" s="8">
        <f>SUMIFS('compens8-Import'!$H$4:$H$1002,'compens8-Import'!$M$4:$M$1002,$B21,'compens8-Import'!$E$4:$E$1002,P$1)</f>
        <v>13216</v>
      </c>
      <c r="Q21" s="8">
        <f>SUMIFS('compens8-Import'!$H$4:$H$1002,'compens8-Import'!$M$4:$M$1002,$B21,'compens8-Import'!$E$4:$E$1002,Q$1)</f>
        <v>0</v>
      </c>
      <c r="R21" s="8">
        <f>SUMIFS('compens8-Import'!$H$4:$H$1002,'compens8-Import'!$M$4:$M$1002,$B21,'compens8-Import'!$E$4:$E$1002,R$1)</f>
        <v>0</v>
      </c>
      <c r="S21" s="8">
        <f>SUMIFS('compens8-Import'!$H$4:$H$1002,'compens8-Import'!$M$4:$M$1002,$B21,'compens8-Import'!$E$4:$E$1002,S$1)</f>
        <v>0</v>
      </c>
      <c r="T21" s="8">
        <f>SUMIFS('compens8-Import'!$H$4:$H$1002,'compens8-Import'!$M$4:$M$1002,$B21,'compens8-Import'!$E$4:$E$1002,T$1)</f>
        <v>0</v>
      </c>
      <c r="U21" s="8">
        <f>SUMIFS('compens8-Import'!$H$4:$H$1002,'compens8-Import'!$M$4:$M$1002,$B21,'compens8-Import'!$E$4:$E$1002,U$1)</f>
        <v>12368</v>
      </c>
      <c r="V21" s="8">
        <f>SUMIFS('compens8-Import'!$H$4:$H$1002,'compens8-Import'!$M$4:$M$1002,$B21,'compens8-Import'!$E$4:$E$1002,V$1)</f>
        <v>0</v>
      </c>
      <c r="W21" s="8">
        <f>SUMIFS('compens8-Import'!$H$4:$H$1002,'compens8-Import'!$M$4:$M$1002,$B21,'compens8-Import'!$E$4:$E$1002,W$1)</f>
        <v>0</v>
      </c>
      <c r="X21" s="8">
        <f>SUMIFS('compens8-Import'!$H$4:$H$1002,'compens8-Import'!$M$4:$M$1002,$B21,'compens8-Import'!$E$4:$E$1002,X$1)</f>
        <v>5269</v>
      </c>
      <c r="Y21" s="8">
        <f>SUMIFS('compens8-Import'!$H$4:$H$1002,'compens8-Import'!$M$4:$M$1002,$B21,'compens8-Import'!$E$4:$E$1002,Y$1)</f>
        <v>0</v>
      </c>
      <c r="Z21" s="8">
        <f>SUMIFS('compens8-Import'!$H$4:$H$1002,'compens8-Import'!$M$4:$M$1002,$B21,'compens8-Import'!$E$4:$E$1002,Z$1)</f>
        <v>3372</v>
      </c>
      <c r="AA21" s="8">
        <f>SUMIFS('compens8-Import'!$H$4:$H$1002,'compens8-Import'!$M$4:$M$1002,$B21,'compens8-Import'!$E$4:$E$1002,AA$1)</f>
        <v>0</v>
      </c>
      <c r="AB21" s="8">
        <f>SUMIFS('compens8-Import'!$H$4:$H$1002,'compens8-Import'!$M$4:$M$1002,$B21,'compens8-Import'!$E$4:$E$1002,AB$1)</f>
        <v>3687</v>
      </c>
      <c r="AC21" s="8">
        <f>SUMIFS('compens8-Import'!$H$4:$H$1002,'compens8-Import'!$M$4:$M$1002,$B21,'compens8-Import'!$E$4:$E$1002,AC$1)</f>
        <v>0</v>
      </c>
      <c r="AD21" s="8">
        <f>SUMIFS('compens8-Import'!$H$4:$H$1002,'compens8-Import'!$M$4:$M$1002,$B21,'compens8-Import'!$E$4:$E$1002,AD$1)</f>
        <v>0</v>
      </c>
      <c r="AE21" s="8">
        <f>SUMIFS('compens8-Import'!$H$4:$H$1002,'compens8-Import'!$M$4:$M$1002,$B21,'compens8-Import'!$E$4:$E$1002,AE$1)</f>
        <v>58168</v>
      </c>
      <c r="AF21" s="8">
        <f>SUMIFS('compens8-Import'!$H$4:$H$1002,'compens8-Import'!$M$4:$M$1002,$B21,'compens8-Import'!$E$4:$E$1002,AF$1)</f>
        <v>0</v>
      </c>
      <c r="AG21" s="8">
        <f>SUMIFS('compens8-Import'!$H$4:$H$1002,'compens8-Import'!$M$4:$M$1002,$B21,'compens8-Import'!$E$4:$E$1002,AG$1)</f>
        <v>0</v>
      </c>
      <c r="AH21" s="8">
        <f>SUMIFS('compens8-Import'!$H$4:$H$1002,'compens8-Import'!$M$4:$M$1002,$B21,'compens8-Import'!$E$4:$E$1002,AH$1)</f>
        <v>0</v>
      </c>
      <c r="AI21" s="8">
        <f>SUMIFS('compens8-Import'!$H$4:$H$1002,'compens8-Import'!$M$4:$M$1002,$B21,'compens8-Import'!$E$4:$E$1002,AI$1)</f>
        <v>2948</v>
      </c>
      <c r="AJ21" s="8">
        <f>SUMIFS('compens8-Import'!$H$4:$H$1002,'compens8-Import'!$M$4:$M$1002,$B21,'compens8-Import'!$E$4:$E$1002,AJ$1)</f>
        <v>91447</v>
      </c>
      <c r="AK21" s="8">
        <f>SUMIFS('compens8-Import'!$H$4:$H$1002,'compens8-Import'!$M$4:$M$1002,$B21,'compens8-Import'!$E$4:$E$1002,AK$1)</f>
        <v>22951</v>
      </c>
      <c r="AL21" s="8">
        <f>SUMIFS('compens8-Import'!$H$4:$H$1002,'compens8-Import'!$M$4:$M$1002,$B21,'compens8-Import'!$E$4:$E$1002,AL$1)</f>
        <v>0</v>
      </c>
      <c r="AM21" s="8">
        <f>SUMIFS('compens8-Import'!$H$4:$H$1002,'compens8-Import'!$M$4:$M$1002,$B21,'compens8-Import'!$E$4:$E$1002,AM$1)</f>
        <v>0</v>
      </c>
      <c r="AN21" s="8">
        <f>SUMIFS('compens8-Import'!$H$4:$H$1002,'compens8-Import'!$M$4:$M$1002,$B21,'compens8-Import'!$E$4:$E$1002,AN$1)</f>
        <v>0</v>
      </c>
      <c r="AO21" s="8">
        <f>SUMIFS('compens8-Import'!$H$4:$H$1002,'compens8-Import'!$M$4:$M$1002,$B21,'compens8-Import'!$E$4:$E$1002,AO$1)</f>
        <v>0</v>
      </c>
      <c r="AP21" s="8">
        <f>SUMIFS('compens8-Import'!$H$4:$H$1002,'compens8-Import'!$M$4:$M$1002,$B21,'compens8-Import'!$E$4:$E$1002,AP$1)</f>
        <v>11840</v>
      </c>
      <c r="AQ21" s="8">
        <f>SUMIFS('compens8-Import'!$H$4:$H$1002,'compens8-Import'!$M$4:$M$1002,$B21,'compens8-Import'!$E$4:$E$1002,AQ$1)</f>
        <v>0</v>
      </c>
      <c r="AR21" s="8">
        <f>SUMIFS('compens8-Import'!$H$4:$H$1002,'compens8-Import'!$M$4:$M$1002,$B21,'compens8-Import'!$E$4:$E$1002,AR$1)</f>
        <v>0</v>
      </c>
      <c r="AS21" s="8">
        <f>SUMIFS('compens8-Import'!$H$4:$H$1002,'compens8-Import'!$M$4:$M$1002,$B21,'compens8-Import'!$E$4:$E$1002,AS$1)</f>
        <v>0</v>
      </c>
      <c r="AT21" s="8">
        <f>SUMIFS('compens8-Import'!$H$4:$H$1002,'compens8-Import'!$M$4:$M$1002,$B21,'compens8-Import'!$E$4:$E$1002,AT$1)</f>
        <v>0</v>
      </c>
      <c r="AU21" s="8">
        <f>SUMIFS('compens8-Import'!$H$4:$H$1002,'compens8-Import'!$M$4:$M$1002,$B21,'compens8-Import'!$E$4:$E$1002,AU$1)</f>
        <v>0</v>
      </c>
      <c r="AV21" s="8">
        <f>SUMIFS('compens8-Import'!$H$4:$H$1002,'compens8-Import'!$M$4:$M$1002,$B21,'compens8-Import'!$E$4:$E$1002,AV$1)</f>
        <v>0</v>
      </c>
      <c r="AW21" s="8">
        <f>SUMIFS('compens8-Import'!$H$4:$H$1002,'compens8-Import'!$M$4:$M$1002,$B21,'compens8-Import'!$E$4:$E$1002,AW$1)</f>
        <v>0</v>
      </c>
      <c r="AX21" s="8">
        <f>SUMIFS('compens8-Import'!$H$4:$H$1002,'compens8-Import'!$M$4:$M$1002,$B21,'compens8-Import'!$E$4:$E$1002,AX$1)</f>
        <v>0</v>
      </c>
      <c r="AY21" s="8">
        <f>SUMIFS('compens8-Import'!$H$4:$H$1002,'compens8-Import'!$M$4:$M$1002,$B21,'compens8-Import'!$E$4:$E$1002,AY$1)</f>
        <v>3451</v>
      </c>
      <c r="AZ21" s="8">
        <f>SUMIFS('compens8-Import'!$H$4:$H$1002,'compens8-Import'!$M$4:$M$1002,$B21,'compens8-Import'!$E$4:$E$1002,AZ$1)</f>
        <v>0</v>
      </c>
      <c r="BA21" s="8">
        <f>SUMIFS('compens8-Import'!$H$4:$H$1002,'compens8-Import'!$M$4:$M$1002,$B21,'compens8-Import'!$E$4:$E$1002,BA$1)</f>
        <v>12226</v>
      </c>
      <c r="BB21" s="8">
        <f>SUMIFS('compens8-Import'!$H$4:$H$1002,'compens8-Import'!$M$4:$M$1002,$B21,'compens8-Import'!$E$4:$E$1002,BB$1)</f>
        <v>0</v>
      </c>
      <c r="BC21" s="8">
        <f>SUMIFS('compens8-Import'!$H$4:$H$1002,'compens8-Import'!$M$4:$M$1002,$B21,'compens8-Import'!$E$4:$E$1002,BC$1)</f>
        <v>20770</v>
      </c>
      <c r="BD21" s="8">
        <f>SUMIFS('compens8-Import'!$H$4:$H$1002,'compens8-Import'!$M$4:$M$1002,$B21,'compens8-Import'!$E$4:$E$1002,BD$1)</f>
        <v>0</v>
      </c>
      <c r="BE21" s="8">
        <f>SUMIFS('compens8-Import'!$H$4:$H$1002,'compens8-Import'!$M$4:$M$1002,$B21,'compens8-Import'!$E$4:$E$1002,BE$1)</f>
        <v>0</v>
      </c>
      <c r="BF21" s="8">
        <f>SUMIFS('compens8-Import'!$H$4:$H$1002,'compens8-Import'!$M$4:$M$1002,$B21,'compens8-Import'!$E$4:$E$1002,BF$1)</f>
        <v>143083</v>
      </c>
      <c r="BG21" s="8">
        <f>SUMIFS('compens8-Import'!$H$4:$H$1002,'compens8-Import'!$M$4:$M$1002,$B21,'compens8-Import'!$E$4:$E$1002,BG$1)</f>
        <v>0</v>
      </c>
      <c r="BH21" s="8">
        <f>SUMIFS('compens8-Import'!$H$4:$H$1002,'compens8-Import'!$M$4:$M$1002,$B21,'compens8-Import'!$E$4:$E$1002,BH$1)</f>
        <v>0</v>
      </c>
      <c r="BI21" s="8">
        <f>SUMIFS('compens8-Import'!$H$4:$H$1002,'compens8-Import'!$M$4:$M$1002,$B21,'compens8-Import'!$E$4:$E$1002,BI$1)</f>
        <v>0</v>
      </c>
      <c r="BJ21" s="8">
        <f>SUMIFS('compens8-Import'!$H$4:$H$1002,'compens8-Import'!$M$4:$M$1002,$B21,'compens8-Import'!$E$4:$E$1002,BJ$1)</f>
        <v>0</v>
      </c>
      <c r="BK21" s="8">
        <f>SUMIFS('compens8-Import'!$H$4:$H$1002,'compens8-Import'!$M$4:$M$1002,$B21,'compens8-Import'!$E$4:$E$1002,BK$1)</f>
        <v>0</v>
      </c>
      <c r="BL21" s="8">
        <f>SUMIFS('compens8-Import'!$H$4:$H$1002,'compens8-Import'!$M$4:$M$1002,$B21,'compens8-Import'!$E$4:$E$1002,BL$1)</f>
        <v>0</v>
      </c>
      <c r="BM21" s="8">
        <f>SUMIFS('compens8-Import'!$H$4:$H$1002,'compens8-Import'!$M$4:$M$1002,$B21,'compens8-Import'!$E$4:$E$1002,BM$1)</f>
        <v>76130</v>
      </c>
      <c r="BN21" s="8">
        <f>SUMIFS('compens8-Import'!$H$4:$H$1002,'compens8-Import'!$M$4:$M$1002,$B21,'compens8-Import'!$E$4:$E$1002,BN$1)</f>
        <v>0</v>
      </c>
      <c r="BO21" s="8">
        <f>SUMIFS('compens8-Import'!$H$4:$H$1002,'compens8-Import'!$M$4:$M$1002,$B21,'compens8-Import'!$E$4:$E$1002,BO$1)</f>
        <v>0</v>
      </c>
      <c r="BP21" s="8">
        <f>SUMIFS('compens8-Import'!$H$4:$H$1002,'compens8-Import'!$M$4:$M$1002,$B21,'compens8-Import'!$E$4:$E$1002,BP$1)</f>
        <v>0</v>
      </c>
      <c r="BQ21" s="8">
        <f>SUMIFS('compens8-Import'!$H$4:$H$1002,'compens8-Import'!$M$4:$M$1002,$B21,'compens8-Import'!$E$4:$E$1002,BQ$1)</f>
        <v>33867</v>
      </c>
      <c r="BR21" s="8">
        <f>SUMIFS('compens8-Import'!$H$4:$H$1002,'compens8-Import'!$M$4:$M$1002,$B21,'compens8-Import'!$E$4:$E$1002,BR$1)</f>
        <v>7851</v>
      </c>
      <c r="BS21" s="8">
        <f>SUMIFS('compens8-Import'!$H$4:$H$1002,'compens8-Import'!$M$4:$M$1002,$B21,'compens8-Import'!$E$4:$E$1002,BS$1)</f>
        <v>3572</v>
      </c>
      <c r="BT21" s="8">
        <f>SUMIFS('compens8-Import'!$H$4:$H$1002,'compens8-Import'!$M$4:$M$1002,$B21,'compens8-Import'!$E$4:$E$1002,BT$1)</f>
        <v>0</v>
      </c>
      <c r="BU21" s="8">
        <f>SUMIFS('compens8-Import'!$H$4:$H$1002,'compens8-Import'!$M$4:$M$1002,$B21,'compens8-Import'!$E$4:$E$1002,BU$1)</f>
        <v>0</v>
      </c>
      <c r="BV21" s="8">
        <f>SUMIFS('compens8-Import'!$H$4:$H$1002,'compens8-Import'!$M$4:$M$1002,$B21,'compens8-Import'!$E$4:$E$1002,BV$1)</f>
        <v>31915</v>
      </c>
      <c r="BW21" s="8">
        <f>SUMIFS('compens8-Import'!$H$4:$H$1002,'compens8-Import'!$M$4:$M$1002,$B21,'compens8-Import'!$E$4:$E$1002,BW$1)</f>
        <v>0</v>
      </c>
      <c r="BX21" s="8">
        <f>SUMIFS('compens8-Import'!$H$4:$H$1002,'compens8-Import'!$M$4:$M$1002,$B21,'compens8-Import'!$E$4:$E$1002,BX$1)</f>
        <v>0</v>
      </c>
      <c r="BY21" s="8">
        <f>SUMIFS('compens8-Import'!$H$4:$H$1002,'compens8-Import'!$M$4:$M$1002,$B21,'compens8-Import'!$E$4:$E$1002,BY$1)</f>
        <v>0</v>
      </c>
      <c r="BZ21" s="8">
        <f>SUMIFS('compens8-Import'!$H$4:$H$1002,'compens8-Import'!$M$4:$M$1002,$B21,'compens8-Import'!$E$4:$E$1002,BZ$1)</f>
        <v>0</v>
      </c>
      <c r="CA21" s="8">
        <f>SUMIFS('compens8-Import'!$H$4:$H$1002,'compens8-Import'!$M$4:$M$1002,$B21,'compens8-Import'!$E$4:$E$1002,CA$1)</f>
        <v>0</v>
      </c>
      <c r="CB21" s="8">
        <f>SUMIFS('compens8-Import'!$H$4:$H$1002,'compens8-Import'!$M$4:$M$1002,$B21,'compens8-Import'!$E$4:$E$1002,CB$1)</f>
        <v>0</v>
      </c>
      <c r="CC21" s="8">
        <f>SUMIFS('compens8-Import'!$H$4:$H$1002,'compens8-Import'!$M$4:$M$1002,$B21,'compens8-Import'!$E$4:$E$1002,CC$1)</f>
        <v>0</v>
      </c>
      <c r="CD21" s="8">
        <f>SUMIFS('compens8-Import'!$H$4:$H$1002,'compens8-Import'!$M$4:$M$1002,$B21,'compens8-Import'!$E$4:$E$1002,CD$1)</f>
        <v>37534</v>
      </c>
      <c r="CE21" s="8">
        <f>SUMIFS('compens8-Import'!$H$4:$H$1002,'compens8-Import'!$M$4:$M$1002,$B21,'compens8-Import'!$E$4:$E$1002,CE$1)</f>
        <v>0</v>
      </c>
      <c r="CF21" s="8">
        <f>SUMIFS('compens8-Import'!$H$4:$H$1002,'compens8-Import'!$M$4:$M$1002,$B21,'compens8-Import'!$E$4:$E$1002,CF$1)</f>
        <v>0</v>
      </c>
      <c r="CG21" s="8">
        <f>SUMIFS('compens8-Import'!$H$4:$H$1002,'compens8-Import'!$M$4:$M$1002,$B21,'compens8-Import'!$E$4:$E$1002,CG$1)</f>
        <v>0</v>
      </c>
      <c r="CH21" s="8">
        <f>SUMIFS('compens8-Import'!$H$4:$H$1002,'compens8-Import'!$M$4:$M$1002,$B21,'compens8-Import'!$E$4:$E$1002,CH$1)</f>
        <v>25793</v>
      </c>
      <c r="CI21" s="8">
        <f>SUMIFS('compens8-Import'!$H$4:$H$1002,'compens8-Import'!$M$4:$M$1002,$B21,'compens8-Import'!$E$4:$E$1002,CI$1)</f>
        <v>5216</v>
      </c>
      <c r="CJ21" s="8">
        <f>SUMIFS('compens8-Import'!$H$4:$H$1002,'compens8-Import'!$M$4:$M$1002,$B21,'compens8-Import'!$E$4:$E$1002,CJ$1)</f>
        <v>0</v>
      </c>
      <c r="CK21" s="8">
        <f>SUMIFS('compens8-Import'!$H$4:$H$1002,'compens8-Import'!$M$4:$M$1002,$B21,'compens8-Import'!$E$4:$E$1002,CK$1)</f>
        <v>0</v>
      </c>
      <c r="CL21" s="8">
        <f>SUMIFS('compens8-Import'!$H$4:$H$1002,'compens8-Import'!$M$4:$M$1002,$B21,'compens8-Import'!$E$4:$E$1002,CL$1)</f>
        <v>0</v>
      </c>
      <c r="CM21" s="8">
        <f>SUMIFS('compens8-Import'!$H$4:$H$1002,'compens8-Import'!$M$4:$M$1002,$B21,'compens8-Import'!$E$4:$E$1002,CM$1)</f>
        <v>0</v>
      </c>
      <c r="CN21" s="8">
        <f>SUMIFS('compens8-Import'!$H$4:$H$1002,'compens8-Import'!$M$4:$M$1002,$B21,'compens8-Import'!$E$4:$E$1002,CN$1)</f>
        <v>0</v>
      </c>
    </row>
    <row r="22" spans="1:92" x14ac:dyDescent="0.25">
      <c r="A22" s="2" t="s">
        <v>87</v>
      </c>
      <c r="B22" s="2" t="str">
        <f>_xlfn.XLOOKUP(A22,'Correspondances pays'!$A$4:$A$200,'Correspondances pays'!$B$4:$B$200)</f>
        <v>Portugal</v>
      </c>
      <c r="C22" s="44">
        <f>AutoConsommation!F21</f>
        <v>151636</v>
      </c>
      <c r="D22" s="8">
        <f t="shared" si="0"/>
        <v>151636</v>
      </c>
      <c r="E22" s="8">
        <f>SUMIFS('compens8-Import'!$H$4:$H$1002,'compens8-Import'!$M$4:$M$1002,$B22,'compens8-Import'!$E$4:$E$1002,E$1)</f>
        <v>0</v>
      </c>
      <c r="F22" s="8">
        <f>SUMIFS('compens8-Import'!$H$4:$H$1002,'compens8-Import'!$M$4:$M$1002,$B22,'compens8-Import'!$E$4:$E$1002,F$1)</f>
        <v>25</v>
      </c>
      <c r="G22" s="8">
        <f>SUMIFS('compens8-Import'!$H$4:$H$1002,'compens8-Import'!$M$4:$M$1002,$B22,'compens8-Import'!$E$4:$E$1002,G$1)</f>
        <v>0</v>
      </c>
      <c r="H22" s="8">
        <f>SUMIFS('compens8-Import'!$H$4:$H$1002,'compens8-Import'!$M$4:$M$1002,$B22,'compens8-Import'!$E$4:$E$1002,H$1)</f>
        <v>0</v>
      </c>
      <c r="I22" s="8">
        <f>SUMIFS('compens8-Import'!$H$4:$H$1002,'compens8-Import'!$M$4:$M$1002,$B22,'compens8-Import'!$E$4:$E$1002,I$1)</f>
        <v>0</v>
      </c>
      <c r="J22" s="8">
        <f>SUMIFS('compens8-Import'!$H$4:$H$1002,'compens8-Import'!$M$4:$M$1002,$B22,'compens8-Import'!$E$4:$E$1002,J$1)</f>
        <v>0</v>
      </c>
      <c r="K22" s="8">
        <f>SUMIFS('compens8-Import'!$H$4:$H$1002,'compens8-Import'!$M$4:$M$1002,$B22,'compens8-Import'!$E$4:$E$1002,K$1)</f>
        <v>0</v>
      </c>
      <c r="L22" s="8">
        <f>SUMIFS('compens8-Import'!$H$4:$H$1002,'compens8-Import'!$M$4:$M$1002,$B22,'compens8-Import'!$E$4:$E$1002,L$1)</f>
        <v>0</v>
      </c>
      <c r="M22" s="8">
        <f>SUMIFS('compens8-Import'!$H$4:$H$1002,'compens8-Import'!$M$4:$M$1002,$B22,'compens8-Import'!$E$4:$E$1002,M$1)</f>
        <v>0</v>
      </c>
      <c r="N22" s="8">
        <f>SUMIFS('compens8-Import'!$H$4:$H$1002,'compens8-Import'!$M$4:$M$1002,$B22,'compens8-Import'!$E$4:$E$1002,N$1)</f>
        <v>0</v>
      </c>
      <c r="O22" s="8">
        <f>SUMIFS('compens8-Import'!$H$4:$H$1002,'compens8-Import'!$M$4:$M$1002,$B22,'compens8-Import'!$E$4:$E$1002,O$1)</f>
        <v>9</v>
      </c>
      <c r="P22" s="8">
        <f>SUMIFS('compens8-Import'!$H$4:$H$1002,'compens8-Import'!$M$4:$M$1002,$B22,'compens8-Import'!$E$4:$E$1002,P$1)</f>
        <v>0</v>
      </c>
      <c r="Q22" s="8">
        <f>SUMIFS('compens8-Import'!$H$4:$H$1002,'compens8-Import'!$M$4:$M$1002,$B22,'compens8-Import'!$E$4:$E$1002,Q$1)</f>
        <v>75</v>
      </c>
      <c r="R22" s="8">
        <f>SUMIFS('compens8-Import'!$H$4:$H$1002,'compens8-Import'!$M$4:$M$1002,$B22,'compens8-Import'!$E$4:$E$1002,R$1)</f>
        <v>0</v>
      </c>
      <c r="S22" s="8">
        <f>SUMIFS('compens8-Import'!$H$4:$H$1002,'compens8-Import'!$M$4:$M$1002,$B22,'compens8-Import'!$E$4:$E$1002,S$1)</f>
        <v>0</v>
      </c>
      <c r="T22" s="8">
        <f>SUMIFS('compens8-Import'!$H$4:$H$1002,'compens8-Import'!$M$4:$M$1002,$B22,'compens8-Import'!$E$4:$E$1002,T$1)</f>
        <v>0</v>
      </c>
      <c r="U22" s="8">
        <f>SUMIFS('compens8-Import'!$H$4:$H$1002,'compens8-Import'!$M$4:$M$1002,$B22,'compens8-Import'!$E$4:$E$1002,U$1)</f>
        <v>0</v>
      </c>
      <c r="V22" s="8">
        <f>SUMIFS('compens8-Import'!$H$4:$H$1002,'compens8-Import'!$M$4:$M$1002,$B22,'compens8-Import'!$E$4:$E$1002,V$1)</f>
        <v>25</v>
      </c>
      <c r="W22" s="8">
        <f>SUMIFS('compens8-Import'!$H$4:$H$1002,'compens8-Import'!$M$4:$M$1002,$B22,'compens8-Import'!$E$4:$E$1002,W$1)</f>
        <v>48</v>
      </c>
      <c r="X22" s="8">
        <f>SUMIFS('compens8-Import'!$H$4:$H$1002,'compens8-Import'!$M$4:$M$1002,$B22,'compens8-Import'!$E$4:$E$1002,X$1)</f>
        <v>0</v>
      </c>
      <c r="Y22" s="8">
        <f>SUMIFS('compens8-Import'!$H$4:$H$1002,'compens8-Import'!$M$4:$M$1002,$B22,'compens8-Import'!$E$4:$E$1002,Y$1)</f>
        <v>0</v>
      </c>
      <c r="Z22" s="8">
        <f>SUMIFS('compens8-Import'!$H$4:$H$1002,'compens8-Import'!$M$4:$M$1002,$B22,'compens8-Import'!$E$4:$E$1002,Z$1)</f>
        <v>0</v>
      </c>
      <c r="AA22" s="8">
        <f>SUMIFS('compens8-Import'!$H$4:$H$1002,'compens8-Import'!$M$4:$M$1002,$B22,'compens8-Import'!$E$4:$E$1002,AA$1)</f>
        <v>0</v>
      </c>
      <c r="AB22" s="8">
        <f>SUMIFS('compens8-Import'!$H$4:$H$1002,'compens8-Import'!$M$4:$M$1002,$B22,'compens8-Import'!$E$4:$E$1002,AB$1)</f>
        <v>143</v>
      </c>
      <c r="AC22" s="8">
        <f>SUMIFS('compens8-Import'!$H$4:$H$1002,'compens8-Import'!$M$4:$M$1002,$B22,'compens8-Import'!$E$4:$E$1002,AC$1)</f>
        <v>5355</v>
      </c>
      <c r="AD22" s="8">
        <f>SUMIFS('compens8-Import'!$H$4:$H$1002,'compens8-Import'!$M$4:$M$1002,$B22,'compens8-Import'!$E$4:$E$1002,AD$1)</f>
        <v>0</v>
      </c>
      <c r="AE22" s="8">
        <f>SUMIFS('compens8-Import'!$H$4:$H$1002,'compens8-Import'!$M$4:$M$1002,$B22,'compens8-Import'!$E$4:$E$1002,AE$1)</f>
        <v>243</v>
      </c>
      <c r="AF22" s="8">
        <f>SUMIFS('compens8-Import'!$H$4:$H$1002,'compens8-Import'!$M$4:$M$1002,$B22,'compens8-Import'!$E$4:$E$1002,AF$1)</f>
        <v>0</v>
      </c>
      <c r="AG22" s="8">
        <f>SUMIFS('compens8-Import'!$H$4:$H$1002,'compens8-Import'!$M$4:$M$1002,$B22,'compens8-Import'!$E$4:$E$1002,AG$1)</f>
        <v>0</v>
      </c>
      <c r="AH22" s="8">
        <f>SUMIFS('compens8-Import'!$H$4:$H$1002,'compens8-Import'!$M$4:$M$1002,$B22,'compens8-Import'!$E$4:$E$1002,AH$1)</f>
        <v>0</v>
      </c>
      <c r="AI22" s="8">
        <f>SUMIFS('compens8-Import'!$H$4:$H$1002,'compens8-Import'!$M$4:$M$1002,$B22,'compens8-Import'!$E$4:$E$1002,AI$1)</f>
        <v>0</v>
      </c>
      <c r="AJ22" s="8">
        <f>SUMIFS('compens8-Import'!$H$4:$H$1002,'compens8-Import'!$M$4:$M$1002,$B22,'compens8-Import'!$E$4:$E$1002,AJ$1)</f>
        <v>0</v>
      </c>
      <c r="AK22" s="8">
        <f>SUMIFS('compens8-Import'!$H$4:$H$1002,'compens8-Import'!$M$4:$M$1002,$B22,'compens8-Import'!$E$4:$E$1002,AK$1)</f>
        <v>0</v>
      </c>
      <c r="AL22" s="8">
        <f>SUMIFS('compens8-Import'!$H$4:$H$1002,'compens8-Import'!$M$4:$M$1002,$B22,'compens8-Import'!$E$4:$E$1002,AL$1)</f>
        <v>0</v>
      </c>
      <c r="AM22" s="8">
        <f>SUMIFS('compens8-Import'!$H$4:$H$1002,'compens8-Import'!$M$4:$M$1002,$B22,'compens8-Import'!$E$4:$E$1002,AM$1)</f>
        <v>0</v>
      </c>
      <c r="AN22" s="8">
        <f>SUMIFS('compens8-Import'!$H$4:$H$1002,'compens8-Import'!$M$4:$M$1002,$B22,'compens8-Import'!$E$4:$E$1002,AN$1)</f>
        <v>0</v>
      </c>
      <c r="AO22" s="8">
        <f>SUMIFS('compens8-Import'!$H$4:$H$1002,'compens8-Import'!$M$4:$M$1002,$B22,'compens8-Import'!$E$4:$E$1002,AO$1)</f>
        <v>0</v>
      </c>
      <c r="AP22" s="8">
        <f>SUMIFS('compens8-Import'!$H$4:$H$1002,'compens8-Import'!$M$4:$M$1002,$B22,'compens8-Import'!$E$4:$E$1002,AP$1)</f>
        <v>1382</v>
      </c>
      <c r="AQ22" s="8">
        <f>SUMIFS('compens8-Import'!$H$4:$H$1002,'compens8-Import'!$M$4:$M$1002,$B22,'compens8-Import'!$E$4:$E$1002,AQ$1)</f>
        <v>0</v>
      </c>
      <c r="AR22" s="8">
        <f>SUMIFS('compens8-Import'!$H$4:$H$1002,'compens8-Import'!$M$4:$M$1002,$B22,'compens8-Import'!$E$4:$E$1002,AR$1)</f>
        <v>0</v>
      </c>
      <c r="AS22" s="8">
        <f>SUMIFS('compens8-Import'!$H$4:$H$1002,'compens8-Import'!$M$4:$M$1002,$B22,'compens8-Import'!$E$4:$E$1002,AS$1)</f>
        <v>0</v>
      </c>
      <c r="AT22" s="8">
        <f>SUMIFS('compens8-Import'!$H$4:$H$1002,'compens8-Import'!$M$4:$M$1002,$B22,'compens8-Import'!$E$4:$E$1002,AT$1)</f>
        <v>0</v>
      </c>
      <c r="AU22" s="8">
        <f>SUMIFS('compens8-Import'!$H$4:$H$1002,'compens8-Import'!$M$4:$M$1002,$B22,'compens8-Import'!$E$4:$E$1002,AU$1)</f>
        <v>4</v>
      </c>
      <c r="AV22" s="8">
        <f>SUMIFS('compens8-Import'!$H$4:$H$1002,'compens8-Import'!$M$4:$M$1002,$B22,'compens8-Import'!$E$4:$E$1002,AV$1)</f>
        <v>0</v>
      </c>
      <c r="AW22" s="8">
        <f>SUMIFS('compens8-Import'!$H$4:$H$1002,'compens8-Import'!$M$4:$M$1002,$B22,'compens8-Import'!$E$4:$E$1002,AW$1)</f>
        <v>97</v>
      </c>
      <c r="AX22" s="8">
        <f>SUMIFS('compens8-Import'!$H$4:$H$1002,'compens8-Import'!$M$4:$M$1002,$B22,'compens8-Import'!$E$4:$E$1002,AX$1)</f>
        <v>0</v>
      </c>
      <c r="AY22" s="8">
        <f>SUMIFS('compens8-Import'!$H$4:$H$1002,'compens8-Import'!$M$4:$M$1002,$B22,'compens8-Import'!$E$4:$E$1002,AY$1)</f>
        <v>0</v>
      </c>
      <c r="AZ22" s="8">
        <f>SUMIFS('compens8-Import'!$H$4:$H$1002,'compens8-Import'!$M$4:$M$1002,$B22,'compens8-Import'!$E$4:$E$1002,AZ$1)</f>
        <v>2</v>
      </c>
      <c r="BA22" s="8">
        <f>SUMIFS('compens8-Import'!$H$4:$H$1002,'compens8-Import'!$M$4:$M$1002,$B22,'compens8-Import'!$E$4:$E$1002,BA$1)</f>
        <v>0</v>
      </c>
      <c r="BB22" s="8">
        <f>SUMIFS('compens8-Import'!$H$4:$H$1002,'compens8-Import'!$M$4:$M$1002,$B22,'compens8-Import'!$E$4:$E$1002,BB$1)</f>
        <v>0</v>
      </c>
      <c r="BC22" s="8">
        <f>SUMIFS('compens8-Import'!$H$4:$H$1002,'compens8-Import'!$M$4:$M$1002,$B22,'compens8-Import'!$E$4:$E$1002,BC$1)</f>
        <v>5893</v>
      </c>
      <c r="BD22" s="8">
        <f>SUMIFS('compens8-Import'!$H$4:$H$1002,'compens8-Import'!$M$4:$M$1002,$B22,'compens8-Import'!$E$4:$E$1002,BD$1)</f>
        <v>0</v>
      </c>
      <c r="BE22" s="8">
        <f>SUMIFS('compens8-Import'!$H$4:$H$1002,'compens8-Import'!$M$4:$M$1002,$B22,'compens8-Import'!$E$4:$E$1002,BE$1)</f>
        <v>0</v>
      </c>
      <c r="BF22" s="8">
        <f>SUMIFS('compens8-Import'!$H$4:$H$1002,'compens8-Import'!$M$4:$M$1002,$B22,'compens8-Import'!$E$4:$E$1002,BF$1)</f>
        <v>0</v>
      </c>
      <c r="BG22" s="8">
        <f>SUMIFS('compens8-Import'!$H$4:$H$1002,'compens8-Import'!$M$4:$M$1002,$B22,'compens8-Import'!$E$4:$E$1002,BG$1)</f>
        <v>0</v>
      </c>
      <c r="BH22" s="8">
        <f>SUMIFS('compens8-Import'!$H$4:$H$1002,'compens8-Import'!$M$4:$M$1002,$B22,'compens8-Import'!$E$4:$E$1002,BH$1)</f>
        <v>0</v>
      </c>
      <c r="BI22" s="8">
        <f>SUMIFS('compens8-Import'!$H$4:$H$1002,'compens8-Import'!$M$4:$M$1002,$B22,'compens8-Import'!$E$4:$E$1002,BI$1)</f>
        <v>0</v>
      </c>
      <c r="BJ22" s="8">
        <f>SUMIFS('compens8-Import'!$H$4:$H$1002,'compens8-Import'!$M$4:$M$1002,$B22,'compens8-Import'!$E$4:$E$1002,BJ$1)</f>
        <v>0</v>
      </c>
      <c r="BK22" s="8">
        <f>SUMIFS('compens8-Import'!$H$4:$H$1002,'compens8-Import'!$M$4:$M$1002,$B22,'compens8-Import'!$E$4:$E$1002,BK$1)</f>
        <v>0</v>
      </c>
      <c r="BL22" s="8">
        <f>SUMIFS('compens8-Import'!$H$4:$H$1002,'compens8-Import'!$M$4:$M$1002,$B22,'compens8-Import'!$E$4:$E$1002,BL$1)</f>
        <v>0</v>
      </c>
      <c r="BM22" s="8">
        <f>SUMIFS('compens8-Import'!$H$4:$H$1002,'compens8-Import'!$M$4:$M$1002,$B22,'compens8-Import'!$E$4:$E$1002,BM$1)</f>
        <v>0</v>
      </c>
      <c r="BN22" s="8">
        <f>SUMIFS('compens8-Import'!$H$4:$H$1002,'compens8-Import'!$M$4:$M$1002,$B22,'compens8-Import'!$E$4:$E$1002,BN$1)</f>
        <v>0</v>
      </c>
      <c r="BO22" s="8">
        <f>SUMIFS('compens8-Import'!$H$4:$H$1002,'compens8-Import'!$M$4:$M$1002,$B22,'compens8-Import'!$E$4:$E$1002,BO$1)</f>
        <v>0</v>
      </c>
      <c r="BP22" s="8">
        <f>SUMIFS('compens8-Import'!$H$4:$H$1002,'compens8-Import'!$M$4:$M$1002,$B22,'compens8-Import'!$E$4:$E$1002,BP$1)</f>
        <v>0</v>
      </c>
      <c r="BQ22" s="8">
        <f>SUMIFS('compens8-Import'!$H$4:$H$1002,'compens8-Import'!$M$4:$M$1002,$B22,'compens8-Import'!$E$4:$E$1002,BQ$1)</f>
        <v>0</v>
      </c>
      <c r="BR22" s="8">
        <f>SUMIFS('compens8-Import'!$H$4:$H$1002,'compens8-Import'!$M$4:$M$1002,$B22,'compens8-Import'!$E$4:$E$1002,BR$1)</f>
        <v>2816</v>
      </c>
      <c r="BS22" s="8">
        <f>SUMIFS('compens8-Import'!$H$4:$H$1002,'compens8-Import'!$M$4:$M$1002,$B22,'compens8-Import'!$E$4:$E$1002,BS$1)</f>
        <v>0</v>
      </c>
      <c r="BT22" s="8">
        <f>SUMIFS('compens8-Import'!$H$4:$H$1002,'compens8-Import'!$M$4:$M$1002,$B22,'compens8-Import'!$E$4:$E$1002,BT$1)</f>
        <v>134247</v>
      </c>
      <c r="BU22" s="8">
        <f>SUMIFS('compens8-Import'!$H$4:$H$1002,'compens8-Import'!$M$4:$M$1002,$B22,'compens8-Import'!$E$4:$E$1002,BU$1)</f>
        <v>0</v>
      </c>
      <c r="BV22" s="8">
        <f>SUMIFS('compens8-Import'!$H$4:$H$1002,'compens8-Import'!$M$4:$M$1002,$B22,'compens8-Import'!$E$4:$E$1002,BV$1)</f>
        <v>231</v>
      </c>
      <c r="BW22" s="8">
        <f>SUMIFS('compens8-Import'!$H$4:$H$1002,'compens8-Import'!$M$4:$M$1002,$B22,'compens8-Import'!$E$4:$E$1002,BW$1)</f>
        <v>0</v>
      </c>
      <c r="BX22" s="8">
        <f>SUMIFS('compens8-Import'!$H$4:$H$1002,'compens8-Import'!$M$4:$M$1002,$B22,'compens8-Import'!$E$4:$E$1002,BX$1)</f>
        <v>0</v>
      </c>
      <c r="BY22" s="8">
        <f>SUMIFS('compens8-Import'!$H$4:$H$1002,'compens8-Import'!$M$4:$M$1002,$B22,'compens8-Import'!$E$4:$E$1002,BY$1)</f>
        <v>0</v>
      </c>
      <c r="BZ22" s="8">
        <f>SUMIFS('compens8-Import'!$H$4:$H$1002,'compens8-Import'!$M$4:$M$1002,$B22,'compens8-Import'!$E$4:$E$1002,BZ$1)</f>
        <v>0</v>
      </c>
      <c r="CA22" s="8">
        <f>SUMIFS('compens8-Import'!$H$4:$H$1002,'compens8-Import'!$M$4:$M$1002,$B22,'compens8-Import'!$E$4:$E$1002,CA$1)</f>
        <v>933</v>
      </c>
      <c r="CB22" s="8">
        <f>SUMIFS('compens8-Import'!$H$4:$H$1002,'compens8-Import'!$M$4:$M$1002,$B22,'compens8-Import'!$E$4:$E$1002,CB$1)</f>
        <v>0</v>
      </c>
      <c r="CC22" s="8">
        <f>SUMIFS('compens8-Import'!$H$4:$H$1002,'compens8-Import'!$M$4:$M$1002,$B22,'compens8-Import'!$E$4:$E$1002,CC$1)</f>
        <v>0</v>
      </c>
      <c r="CD22" s="8">
        <f>SUMIFS('compens8-Import'!$H$4:$H$1002,'compens8-Import'!$M$4:$M$1002,$B22,'compens8-Import'!$E$4:$E$1002,CD$1)</f>
        <v>0</v>
      </c>
      <c r="CE22" s="8">
        <f>SUMIFS('compens8-Import'!$H$4:$H$1002,'compens8-Import'!$M$4:$M$1002,$B22,'compens8-Import'!$E$4:$E$1002,CE$1)</f>
        <v>8</v>
      </c>
      <c r="CF22" s="8">
        <f>SUMIFS('compens8-Import'!$H$4:$H$1002,'compens8-Import'!$M$4:$M$1002,$B22,'compens8-Import'!$E$4:$E$1002,CF$1)</f>
        <v>0</v>
      </c>
      <c r="CG22" s="8">
        <f>SUMIFS('compens8-Import'!$H$4:$H$1002,'compens8-Import'!$M$4:$M$1002,$B22,'compens8-Import'!$E$4:$E$1002,CG$1)</f>
        <v>0</v>
      </c>
      <c r="CH22" s="8">
        <f>SUMIFS('compens8-Import'!$H$4:$H$1002,'compens8-Import'!$M$4:$M$1002,$B22,'compens8-Import'!$E$4:$E$1002,CH$1)</f>
        <v>0</v>
      </c>
      <c r="CI22" s="8">
        <f>SUMIFS('compens8-Import'!$H$4:$H$1002,'compens8-Import'!$M$4:$M$1002,$B22,'compens8-Import'!$E$4:$E$1002,CI$1)</f>
        <v>100</v>
      </c>
      <c r="CJ22" s="8">
        <f>SUMIFS('compens8-Import'!$H$4:$H$1002,'compens8-Import'!$M$4:$M$1002,$B22,'compens8-Import'!$E$4:$E$1002,CJ$1)</f>
        <v>0</v>
      </c>
      <c r="CK22" s="8">
        <f>SUMIFS('compens8-Import'!$H$4:$H$1002,'compens8-Import'!$M$4:$M$1002,$B22,'compens8-Import'!$E$4:$E$1002,CK$1)</f>
        <v>0</v>
      </c>
      <c r="CL22" s="8">
        <f>SUMIFS('compens8-Import'!$H$4:$H$1002,'compens8-Import'!$M$4:$M$1002,$B22,'compens8-Import'!$E$4:$E$1002,CL$1)</f>
        <v>0</v>
      </c>
      <c r="CM22" s="8">
        <f>SUMIFS('compens8-Import'!$H$4:$H$1002,'compens8-Import'!$M$4:$M$1002,$B22,'compens8-Import'!$E$4:$E$1002,CM$1)</f>
        <v>0</v>
      </c>
      <c r="CN22" s="8">
        <f>SUMIFS('compens8-Import'!$H$4:$H$1002,'compens8-Import'!$M$4:$M$1002,$B22,'compens8-Import'!$E$4:$E$1002,CN$1)</f>
        <v>0</v>
      </c>
    </row>
    <row r="23" spans="1:92" x14ac:dyDescent="0.25">
      <c r="A23" s="2" t="s">
        <v>23</v>
      </c>
      <c r="B23" s="2" t="str">
        <f>_xlfn.XLOOKUP(A23,'Correspondances pays'!$A$4:$A$200,'Correspondances pays'!$B$4:$B$200)</f>
        <v>Czechia</v>
      </c>
      <c r="C23" s="44">
        <f>AutoConsommation!F22</f>
        <v>273894</v>
      </c>
      <c r="D23" s="8">
        <f t="shared" si="0"/>
        <v>273894</v>
      </c>
      <c r="E23" s="8">
        <f>SUMIFS('compens8-Import'!$H$4:$H$1002,'compens8-Import'!$M$4:$M$1002,$B23,'compens8-Import'!$E$4:$E$1002,E$1)</f>
        <v>0</v>
      </c>
      <c r="F23" s="8">
        <f>SUMIFS('compens8-Import'!$H$4:$H$1002,'compens8-Import'!$M$4:$M$1002,$B23,'compens8-Import'!$E$4:$E$1002,F$1)</f>
        <v>0</v>
      </c>
      <c r="G23" s="8">
        <f>SUMIFS('compens8-Import'!$H$4:$H$1002,'compens8-Import'!$M$4:$M$1002,$B23,'compens8-Import'!$E$4:$E$1002,G$1)</f>
        <v>0</v>
      </c>
      <c r="H23" s="8">
        <f>SUMIFS('compens8-Import'!$H$4:$H$1002,'compens8-Import'!$M$4:$M$1002,$B23,'compens8-Import'!$E$4:$E$1002,H$1)</f>
        <v>0</v>
      </c>
      <c r="I23" s="8">
        <f>SUMIFS('compens8-Import'!$H$4:$H$1002,'compens8-Import'!$M$4:$M$1002,$B23,'compens8-Import'!$E$4:$E$1002,I$1)</f>
        <v>4278</v>
      </c>
      <c r="J23" s="8">
        <f>SUMIFS('compens8-Import'!$H$4:$H$1002,'compens8-Import'!$M$4:$M$1002,$B23,'compens8-Import'!$E$4:$E$1002,J$1)</f>
        <v>0</v>
      </c>
      <c r="K23" s="8">
        <f>SUMIFS('compens8-Import'!$H$4:$H$1002,'compens8-Import'!$M$4:$M$1002,$B23,'compens8-Import'!$E$4:$E$1002,K$1)</f>
        <v>0</v>
      </c>
      <c r="L23" s="8">
        <f>SUMIFS('compens8-Import'!$H$4:$H$1002,'compens8-Import'!$M$4:$M$1002,$B23,'compens8-Import'!$E$4:$E$1002,L$1)</f>
        <v>8954</v>
      </c>
      <c r="M23" s="8">
        <f>SUMIFS('compens8-Import'!$H$4:$H$1002,'compens8-Import'!$M$4:$M$1002,$B23,'compens8-Import'!$E$4:$E$1002,M$1)</f>
        <v>0</v>
      </c>
      <c r="N23" s="8">
        <f>SUMIFS('compens8-Import'!$H$4:$H$1002,'compens8-Import'!$M$4:$M$1002,$B23,'compens8-Import'!$E$4:$E$1002,N$1)</f>
        <v>0</v>
      </c>
      <c r="O23" s="8">
        <f>SUMIFS('compens8-Import'!$H$4:$H$1002,'compens8-Import'!$M$4:$M$1002,$B23,'compens8-Import'!$E$4:$E$1002,O$1)</f>
        <v>5280</v>
      </c>
      <c r="P23" s="8">
        <f>SUMIFS('compens8-Import'!$H$4:$H$1002,'compens8-Import'!$M$4:$M$1002,$B23,'compens8-Import'!$E$4:$E$1002,P$1)</f>
        <v>0</v>
      </c>
      <c r="Q23" s="8">
        <f>SUMIFS('compens8-Import'!$H$4:$H$1002,'compens8-Import'!$M$4:$M$1002,$B23,'compens8-Import'!$E$4:$E$1002,Q$1)</f>
        <v>0</v>
      </c>
      <c r="R23" s="8">
        <f>SUMIFS('compens8-Import'!$H$4:$H$1002,'compens8-Import'!$M$4:$M$1002,$B23,'compens8-Import'!$E$4:$E$1002,R$1)</f>
        <v>0</v>
      </c>
      <c r="S23" s="8">
        <f>SUMIFS('compens8-Import'!$H$4:$H$1002,'compens8-Import'!$M$4:$M$1002,$B23,'compens8-Import'!$E$4:$E$1002,S$1)</f>
        <v>0</v>
      </c>
      <c r="T23" s="8">
        <f>SUMIFS('compens8-Import'!$H$4:$H$1002,'compens8-Import'!$M$4:$M$1002,$B23,'compens8-Import'!$E$4:$E$1002,T$1)</f>
        <v>0</v>
      </c>
      <c r="U23" s="8">
        <f>SUMIFS('compens8-Import'!$H$4:$H$1002,'compens8-Import'!$M$4:$M$1002,$B23,'compens8-Import'!$E$4:$E$1002,U$1)</f>
        <v>9170</v>
      </c>
      <c r="V23" s="8">
        <f>SUMIFS('compens8-Import'!$H$4:$H$1002,'compens8-Import'!$M$4:$M$1002,$B23,'compens8-Import'!$E$4:$E$1002,V$1)</f>
        <v>0</v>
      </c>
      <c r="W23" s="8">
        <f>SUMIFS('compens8-Import'!$H$4:$H$1002,'compens8-Import'!$M$4:$M$1002,$B23,'compens8-Import'!$E$4:$E$1002,W$1)</f>
        <v>0</v>
      </c>
      <c r="X23" s="8">
        <f>SUMIFS('compens8-Import'!$H$4:$H$1002,'compens8-Import'!$M$4:$M$1002,$B23,'compens8-Import'!$E$4:$E$1002,X$1)</f>
        <v>0</v>
      </c>
      <c r="Y23" s="8">
        <f>SUMIFS('compens8-Import'!$H$4:$H$1002,'compens8-Import'!$M$4:$M$1002,$B23,'compens8-Import'!$E$4:$E$1002,Y$1)</f>
        <v>0</v>
      </c>
      <c r="Z23" s="8">
        <f>SUMIFS('compens8-Import'!$H$4:$H$1002,'compens8-Import'!$M$4:$M$1002,$B23,'compens8-Import'!$E$4:$E$1002,Z$1)</f>
        <v>0</v>
      </c>
      <c r="AA23" s="8">
        <f>SUMIFS('compens8-Import'!$H$4:$H$1002,'compens8-Import'!$M$4:$M$1002,$B23,'compens8-Import'!$E$4:$E$1002,AA$1)</f>
        <v>0</v>
      </c>
      <c r="AB23" s="8">
        <f>SUMIFS('compens8-Import'!$H$4:$H$1002,'compens8-Import'!$M$4:$M$1002,$B23,'compens8-Import'!$E$4:$E$1002,AB$1)</f>
        <v>0</v>
      </c>
      <c r="AC23" s="8">
        <f>SUMIFS('compens8-Import'!$H$4:$H$1002,'compens8-Import'!$M$4:$M$1002,$B23,'compens8-Import'!$E$4:$E$1002,AC$1)</f>
        <v>5239</v>
      </c>
      <c r="AD23" s="8">
        <f>SUMIFS('compens8-Import'!$H$4:$H$1002,'compens8-Import'!$M$4:$M$1002,$B23,'compens8-Import'!$E$4:$E$1002,AD$1)</f>
        <v>0</v>
      </c>
      <c r="AE23" s="8">
        <f>SUMIFS('compens8-Import'!$H$4:$H$1002,'compens8-Import'!$M$4:$M$1002,$B23,'compens8-Import'!$E$4:$E$1002,AE$1)</f>
        <v>15073</v>
      </c>
      <c r="AF23" s="8">
        <f>SUMIFS('compens8-Import'!$H$4:$H$1002,'compens8-Import'!$M$4:$M$1002,$B23,'compens8-Import'!$E$4:$E$1002,AF$1)</f>
        <v>0</v>
      </c>
      <c r="AG23" s="8">
        <f>SUMIFS('compens8-Import'!$H$4:$H$1002,'compens8-Import'!$M$4:$M$1002,$B23,'compens8-Import'!$E$4:$E$1002,AG$1)</f>
        <v>0</v>
      </c>
      <c r="AH23" s="8">
        <f>SUMIFS('compens8-Import'!$H$4:$H$1002,'compens8-Import'!$M$4:$M$1002,$B23,'compens8-Import'!$E$4:$E$1002,AH$1)</f>
        <v>0</v>
      </c>
      <c r="AI23" s="8">
        <f>SUMIFS('compens8-Import'!$H$4:$H$1002,'compens8-Import'!$M$4:$M$1002,$B23,'compens8-Import'!$E$4:$E$1002,AI$1)</f>
        <v>2893</v>
      </c>
      <c r="AJ23" s="8">
        <f>SUMIFS('compens8-Import'!$H$4:$H$1002,'compens8-Import'!$M$4:$M$1002,$B23,'compens8-Import'!$E$4:$E$1002,AJ$1)</f>
        <v>34987</v>
      </c>
      <c r="AK23" s="8">
        <f>SUMIFS('compens8-Import'!$H$4:$H$1002,'compens8-Import'!$M$4:$M$1002,$B23,'compens8-Import'!$E$4:$E$1002,AK$1)</f>
        <v>5982</v>
      </c>
      <c r="AL23" s="8">
        <f>SUMIFS('compens8-Import'!$H$4:$H$1002,'compens8-Import'!$M$4:$M$1002,$B23,'compens8-Import'!$E$4:$E$1002,AL$1)</f>
        <v>3249</v>
      </c>
      <c r="AM23" s="8">
        <f>SUMIFS('compens8-Import'!$H$4:$H$1002,'compens8-Import'!$M$4:$M$1002,$B23,'compens8-Import'!$E$4:$E$1002,AM$1)</f>
        <v>0</v>
      </c>
      <c r="AN23" s="8">
        <f>SUMIFS('compens8-Import'!$H$4:$H$1002,'compens8-Import'!$M$4:$M$1002,$B23,'compens8-Import'!$E$4:$E$1002,AN$1)</f>
        <v>0</v>
      </c>
      <c r="AO23" s="8">
        <f>SUMIFS('compens8-Import'!$H$4:$H$1002,'compens8-Import'!$M$4:$M$1002,$B23,'compens8-Import'!$E$4:$E$1002,AO$1)</f>
        <v>0</v>
      </c>
      <c r="AP23" s="8">
        <f>SUMIFS('compens8-Import'!$H$4:$H$1002,'compens8-Import'!$M$4:$M$1002,$B23,'compens8-Import'!$E$4:$E$1002,AP$1)</f>
        <v>6253</v>
      </c>
      <c r="AQ23" s="8">
        <f>SUMIFS('compens8-Import'!$H$4:$H$1002,'compens8-Import'!$M$4:$M$1002,$B23,'compens8-Import'!$E$4:$E$1002,AQ$1)</f>
        <v>0</v>
      </c>
      <c r="AR23" s="8">
        <f>SUMIFS('compens8-Import'!$H$4:$H$1002,'compens8-Import'!$M$4:$M$1002,$B23,'compens8-Import'!$E$4:$E$1002,AR$1)</f>
        <v>0</v>
      </c>
      <c r="AS23" s="8">
        <f>SUMIFS('compens8-Import'!$H$4:$H$1002,'compens8-Import'!$M$4:$M$1002,$B23,'compens8-Import'!$E$4:$E$1002,AS$1)</f>
        <v>0</v>
      </c>
      <c r="AT23" s="8">
        <f>SUMIFS('compens8-Import'!$H$4:$H$1002,'compens8-Import'!$M$4:$M$1002,$B23,'compens8-Import'!$E$4:$E$1002,AT$1)</f>
        <v>0</v>
      </c>
      <c r="AU23" s="8">
        <f>SUMIFS('compens8-Import'!$H$4:$H$1002,'compens8-Import'!$M$4:$M$1002,$B23,'compens8-Import'!$E$4:$E$1002,AU$1)</f>
        <v>0</v>
      </c>
      <c r="AV23" s="8">
        <f>SUMIFS('compens8-Import'!$H$4:$H$1002,'compens8-Import'!$M$4:$M$1002,$B23,'compens8-Import'!$E$4:$E$1002,AV$1)</f>
        <v>0</v>
      </c>
      <c r="AW23" s="8">
        <f>SUMIFS('compens8-Import'!$H$4:$H$1002,'compens8-Import'!$M$4:$M$1002,$B23,'compens8-Import'!$E$4:$E$1002,AW$1)</f>
        <v>0</v>
      </c>
      <c r="AX23" s="8">
        <f>SUMIFS('compens8-Import'!$H$4:$H$1002,'compens8-Import'!$M$4:$M$1002,$B23,'compens8-Import'!$E$4:$E$1002,AX$1)</f>
        <v>0</v>
      </c>
      <c r="AY23" s="8">
        <f>SUMIFS('compens8-Import'!$H$4:$H$1002,'compens8-Import'!$M$4:$M$1002,$B23,'compens8-Import'!$E$4:$E$1002,AY$1)</f>
        <v>0</v>
      </c>
      <c r="AZ23" s="8">
        <f>SUMIFS('compens8-Import'!$H$4:$H$1002,'compens8-Import'!$M$4:$M$1002,$B23,'compens8-Import'!$E$4:$E$1002,AZ$1)</f>
        <v>0</v>
      </c>
      <c r="BA23" s="8">
        <f>SUMIFS('compens8-Import'!$H$4:$H$1002,'compens8-Import'!$M$4:$M$1002,$B23,'compens8-Import'!$E$4:$E$1002,BA$1)</f>
        <v>4354</v>
      </c>
      <c r="BB23" s="8">
        <f>SUMIFS('compens8-Import'!$H$4:$H$1002,'compens8-Import'!$M$4:$M$1002,$B23,'compens8-Import'!$E$4:$E$1002,BB$1)</f>
        <v>0</v>
      </c>
      <c r="BC23" s="8">
        <f>SUMIFS('compens8-Import'!$H$4:$H$1002,'compens8-Import'!$M$4:$M$1002,$B23,'compens8-Import'!$E$4:$E$1002,BC$1)</f>
        <v>9726</v>
      </c>
      <c r="BD23" s="8">
        <f>SUMIFS('compens8-Import'!$H$4:$H$1002,'compens8-Import'!$M$4:$M$1002,$B23,'compens8-Import'!$E$4:$E$1002,BD$1)</f>
        <v>0</v>
      </c>
      <c r="BE23" s="8">
        <f>SUMIFS('compens8-Import'!$H$4:$H$1002,'compens8-Import'!$M$4:$M$1002,$B23,'compens8-Import'!$E$4:$E$1002,BE$1)</f>
        <v>0</v>
      </c>
      <c r="BF23" s="8">
        <f>SUMIFS('compens8-Import'!$H$4:$H$1002,'compens8-Import'!$M$4:$M$1002,$B23,'compens8-Import'!$E$4:$E$1002,BF$1)</f>
        <v>30109</v>
      </c>
      <c r="BG23" s="8">
        <f>SUMIFS('compens8-Import'!$H$4:$H$1002,'compens8-Import'!$M$4:$M$1002,$B23,'compens8-Import'!$E$4:$E$1002,BG$1)</f>
        <v>0</v>
      </c>
      <c r="BH23" s="8">
        <f>SUMIFS('compens8-Import'!$H$4:$H$1002,'compens8-Import'!$M$4:$M$1002,$B23,'compens8-Import'!$E$4:$E$1002,BH$1)</f>
        <v>0</v>
      </c>
      <c r="BI23" s="8">
        <f>SUMIFS('compens8-Import'!$H$4:$H$1002,'compens8-Import'!$M$4:$M$1002,$B23,'compens8-Import'!$E$4:$E$1002,BI$1)</f>
        <v>41426</v>
      </c>
      <c r="BJ23" s="8">
        <f>SUMIFS('compens8-Import'!$H$4:$H$1002,'compens8-Import'!$M$4:$M$1002,$B23,'compens8-Import'!$E$4:$E$1002,BJ$1)</f>
        <v>0</v>
      </c>
      <c r="BK23" s="8">
        <f>SUMIFS('compens8-Import'!$H$4:$H$1002,'compens8-Import'!$M$4:$M$1002,$B23,'compens8-Import'!$E$4:$E$1002,BK$1)</f>
        <v>1626</v>
      </c>
      <c r="BL23" s="8">
        <f>SUMIFS('compens8-Import'!$H$4:$H$1002,'compens8-Import'!$M$4:$M$1002,$B23,'compens8-Import'!$E$4:$E$1002,BL$1)</f>
        <v>0</v>
      </c>
      <c r="BM23" s="8">
        <f>SUMIFS('compens8-Import'!$H$4:$H$1002,'compens8-Import'!$M$4:$M$1002,$B23,'compens8-Import'!$E$4:$E$1002,BM$1)</f>
        <v>21035</v>
      </c>
      <c r="BN23" s="8">
        <f>SUMIFS('compens8-Import'!$H$4:$H$1002,'compens8-Import'!$M$4:$M$1002,$B23,'compens8-Import'!$E$4:$E$1002,BN$1)</f>
        <v>0</v>
      </c>
      <c r="BO23" s="8">
        <f>SUMIFS('compens8-Import'!$H$4:$H$1002,'compens8-Import'!$M$4:$M$1002,$B23,'compens8-Import'!$E$4:$E$1002,BO$1)</f>
        <v>0</v>
      </c>
      <c r="BP23" s="8">
        <f>SUMIFS('compens8-Import'!$H$4:$H$1002,'compens8-Import'!$M$4:$M$1002,$B23,'compens8-Import'!$E$4:$E$1002,BP$1)</f>
        <v>0</v>
      </c>
      <c r="BQ23" s="8">
        <f>SUMIFS('compens8-Import'!$H$4:$H$1002,'compens8-Import'!$M$4:$M$1002,$B23,'compens8-Import'!$E$4:$E$1002,BQ$1)</f>
        <v>14596</v>
      </c>
      <c r="BR23" s="8">
        <f>SUMIFS('compens8-Import'!$H$4:$H$1002,'compens8-Import'!$M$4:$M$1002,$B23,'compens8-Import'!$E$4:$E$1002,BR$1)</f>
        <v>0</v>
      </c>
      <c r="BS23" s="8">
        <f>SUMIFS('compens8-Import'!$H$4:$H$1002,'compens8-Import'!$M$4:$M$1002,$B23,'compens8-Import'!$E$4:$E$1002,BS$1)</f>
        <v>8697</v>
      </c>
      <c r="BT23" s="8">
        <f>SUMIFS('compens8-Import'!$H$4:$H$1002,'compens8-Import'!$M$4:$M$1002,$B23,'compens8-Import'!$E$4:$E$1002,BT$1)</f>
        <v>1842</v>
      </c>
      <c r="BU23" s="8">
        <f>SUMIFS('compens8-Import'!$H$4:$H$1002,'compens8-Import'!$M$4:$M$1002,$B23,'compens8-Import'!$E$4:$E$1002,BU$1)</f>
        <v>0</v>
      </c>
      <c r="BV23" s="8">
        <f>SUMIFS('compens8-Import'!$H$4:$H$1002,'compens8-Import'!$M$4:$M$1002,$B23,'compens8-Import'!$E$4:$E$1002,BV$1)</f>
        <v>2816</v>
      </c>
      <c r="BW23" s="8">
        <f>SUMIFS('compens8-Import'!$H$4:$H$1002,'compens8-Import'!$M$4:$M$1002,$B23,'compens8-Import'!$E$4:$E$1002,BW$1)</f>
        <v>0</v>
      </c>
      <c r="BX23" s="8">
        <f>SUMIFS('compens8-Import'!$H$4:$H$1002,'compens8-Import'!$M$4:$M$1002,$B23,'compens8-Import'!$E$4:$E$1002,BX$1)</f>
        <v>0</v>
      </c>
      <c r="BY23" s="8">
        <f>SUMIFS('compens8-Import'!$H$4:$H$1002,'compens8-Import'!$M$4:$M$1002,$B23,'compens8-Import'!$E$4:$E$1002,BY$1)</f>
        <v>0</v>
      </c>
      <c r="BZ23" s="8">
        <f>SUMIFS('compens8-Import'!$H$4:$H$1002,'compens8-Import'!$M$4:$M$1002,$B23,'compens8-Import'!$E$4:$E$1002,BZ$1)</f>
        <v>0</v>
      </c>
      <c r="CA23" s="8">
        <f>SUMIFS('compens8-Import'!$H$4:$H$1002,'compens8-Import'!$M$4:$M$1002,$B23,'compens8-Import'!$E$4:$E$1002,CA$1)</f>
        <v>0</v>
      </c>
      <c r="CB23" s="8">
        <f>SUMIFS('compens8-Import'!$H$4:$H$1002,'compens8-Import'!$M$4:$M$1002,$B23,'compens8-Import'!$E$4:$E$1002,CB$1)</f>
        <v>0</v>
      </c>
      <c r="CC23" s="8">
        <f>SUMIFS('compens8-Import'!$H$4:$H$1002,'compens8-Import'!$M$4:$M$1002,$B23,'compens8-Import'!$E$4:$E$1002,CC$1)</f>
        <v>1841</v>
      </c>
      <c r="CD23" s="8">
        <f>SUMIFS('compens8-Import'!$H$4:$H$1002,'compens8-Import'!$M$4:$M$1002,$B23,'compens8-Import'!$E$4:$E$1002,CD$1)</f>
        <v>21443</v>
      </c>
      <c r="CE23" s="8">
        <f>SUMIFS('compens8-Import'!$H$4:$H$1002,'compens8-Import'!$M$4:$M$1002,$B23,'compens8-Import'!$E$4:$E$1002,CE$1)</f>
        <v>0</v>
      </c>
      <c r="CF23" s="8">
        <f>SUMIFS('compens8-Import'!$H$4:$H$1002,'compens8-Import'!$M$4:$M$1002,$B23,'compens8-Import'!$E$4:$E$1002,CF$1)</f>
        <v>0</v>
      </c>
      <c r="CG23" s="8">
        <f>SUMIFS('compens8-Import'!$H$4:$H$1002,'compens8-Import'!$M$4:$M$1002,$B23,'compens8-Import'!$E$4:$E$1002,CG$1)</f>
        <v>0</v>
      </c>
      <c r="CH23" s="8">
        <f>SUMIFS('compens8-Import'!$H$4:$H$1002,'compens8-Import'!$M$4:$M$1002,$B23,'compens8-Import'!$E$4:$E$1002,CH$1)</f>
        <v>13025</v>
      </c>
      <c r="CI23" s="8">
        <f>SUMIFS('compens8-Import'!$H$4:$H$1002,'compens8-Import'!$M$4:$M$1002,$B23,'compens8-Import'!$E$4:$E$1002,CI$1)</f>
        <v>0</v>
      </c>
      <c r="CJ23" s="8">
        <f>SUMIFS('compens8-Import'!$H$4:$H$1002,'compens8-Import'!$M$4:$M$1002,$B23,'compens8-Import'!$E$4:$E$1002,CJ$1)</f>
        <v>0</v>
      </c>
      <c r="CK23" s="8">
        <f>SUMIFS('compens8-Import'!$H$4:$H$1002,'compens8-Import'!$M$4:$M$1002,$B23,'compens8-Import'!$E$4:$E$1002,CK$1)</f>
        <v>0</v>
      </c>
      <c r="CL23" s="8">
        <f>SUMIFS('compens8-Import'!$H$4:$H$1002,'compens8-Import'!$M$4:$M$1002,$B23,'compens8-Import'!$E$4:$E$1002,CL$1)</f>
        <v>0</v>
      </c>
      <c r="CM23" s="8">
        <f>SUMIFS('compens8-Import'!$H$4:$H$1002,'compens8-Import'!$M$4:$M$1002,$B23,'compens8-Import'!$E$4:$E$1002,CM$1)</f>
        <v>0</v>
      </c>
      <c r="CN23" s="8">
        <f>SUMIFS('compens8-Import'!$H$4:$H$1002,'compens8-Import'!$M$4:$M$1002,$B23,'compens8-Import'!$E$4:$E$1002,CN$1)</f>
        <v>0</v>
      </c>
    </row>
    <row r="24" spans="1:92" x14ac:dyDescent="0.25">
      <c r="A24" s="2" t="s">
        <v>110</v>
      </c>
      <c r="B24" s="2" t="str">
        <f>_xlfn.XLOOKUP(A24,'Correspondances pays'!$A$4:$A$200,'Correspondances pays'!$B$4:$B$200)</f>
        <v>United Kingdom</v>
      </c>
      <c r="C24" s="44">
        <f>AutoConsommation!F23</f>
        <v>216664</v>
      </c>
      <c r="D24" s="8">
        <f t="shared" si="0"/>
        <v>216664</v>
      </c>
      <c r="E24" s="8">
        <f>SUMIFS('compens8-Import'!$H$4:$H$1002,'compens8-Import'!$M$4:$M$1002,$B24,'compens8-Import'!$E$4:$E$1002,E$1)</f>
        <v>0</v>
      </c>
      <c r="F24" s="8">
        <f>SUMIFS('compens8-Import'!$H$4:$H$1002,'compens8-Import'!$M$4:$M$1002,$B24,'compens8-Import'!$E$4:$E$1002,F$1)</f>
        <v>0</v>
      </c>
      <c r="G24" s="8">
        <f>SUMIFS('compens8-Import'!$H$4:$H$1002,'compens8-Import'!$M$4:$M$1002,$B24,'compens8-Import'!$E$4:$E$1002,G$1)</f>
        <v>0</v>
      </c>
      <c r="H24" s="8">
        <f>SUMIFS('compens8-Import'!$H$4:$H$1002,'compens8-Import'!$M$4:$M$1002,$B24,'compens8-Import'!$E$4:$E$1002,H$1)</f>
        <v>0</v>
      </c>
      <c r="I24" s="8">
        <f>SUMIFS('compens8-Import'!$H$4:$H$1002,'compens8-Import'!$M$4:$M$1002,$B24,'compens8-Import'!$E$4:$E$1002,I$1)</f>
        <v>1975</v>
      </c>
      <c r="J24" s="8">
        <f>SUMIFS('compens8-Import'!$H$4:$H$1002,'compens8-Import'!$M$4:$M$1002,$B24,'compens8-Import'!$E$4:$E$1002,J$1)</f>
        <v>0</v>
      </c>
      <c r="K24" s="8">
        <f>SUMIFS('compens8-Import'!$H$4:$H$1002,'compens8-Import'!$M$4:$M$1002,$B24,'compens8-Import'!$E$4:$E$1002,K$1)</f>
        <v>0</v>
      </c>
      <c r="L24" s="8">
        <f>SUMIFS('compens8-Import'!$H$4:$H$1002,'compens8-Import'!$M$4:$M$1002,$B24,'compens8-Import'!$E$4:$E$1002,L$1)</f>
        <v>5188</v>
      </c>
      <c r="M24" s="8">
        <f>SUMIFS('compens8-Import'!$H$4:$H$1002,'compens8-Import'!$M$4:$M$1002,$B24,'compens8-Import'!$E$4:$E$1002,M$1)</f>
        <v>0</v>
      </c>
      <c r="N24" s="8">
        <f>SUMIFS('compens8-Import'!$H$4:$H$1002,'compens8-Import'!$M$4:$M$1002,$B24,'compens8-Import'!$E$4:$E$1002,N$1)</f>
        <v>0</v>
      </c>
      <c r="O24" s="8">
        <f>SUMIFS('compens8-Import'!$H$4:$H$1002,'compens8-Import'!$M$4:$M$1002,$B24,'compens8-Import'!$E$4:$E$1002,O$1)</f>
        <v>202</v>
      </c>
      <c r="P24" s="8">
        <f>SUMIFS('compens8-Import'!$H$4:$H$1002,'compens8-Import'!$M$4:$M$1002,$B24,'compens8-Import'!$E$4:$E$1002,P$1)</f>
        <v>0</v>
      </c>
      <c r="Q24" s="8">
        <f>SUMIFS('compens8-Import'!$H$4:$H$1002,'compens8-Import'!$M$4:$M$1002,$B24,'compens8-Import'!$E$4:$E$1002,Q$1)</f>
        <v>0</v>
      </c>
      <c r="R24" s="8">
        <f>SUMIFS('compens8-Import'!$H$4:$H$1002,'compens8-Import'!$M$4:$M$1002,$B24,'compens8-Import'!$E$4:$E$1002,R$1)</f>
        <v>0</v>
      </c>
      <c r="S24" s="8">
        <f>SUMIFS('compens8-Import'!$H$4:$H$1002,'compens8-Import'!$M$4:$M$1002,$B24,'compens8-Import'!$E$4:$E$1002,S$1)</f>
        <v>0</v>
      </c>
      <c r="T24" s="8">
        <f>SUMIFS('compens8-Import'!$H$4:$H$1002,'compens8-Import'!$M$4:$M$1002,$B24,'compens8-Import'!$E$4:$E$1002,T$1)</f>
        <v>0</v>
      </c>
      <c r="U24" s="8">
        <f>SUMIFS('compens8-Import'!$H$4:$H$1002,'compens8-Import'!$M$4:$M$1002,$B24,'compens8-Import'!$E$4:$E$1002,U$1)</f>
        <v>3644</v>
      </c>
      <c r="V24" s="8">
        <f>SUMIFS('compens8-Import'!$H$4:$H$1002,'compens8-Import'!$M$4:$M$1002,$B24,'compens8-Import'!$E$4:$E$1002,V$1)</f>
        <v>105</v>
      </c>
      <c r="W24" s="8">
        <f>SUMIFS('compens8-Import'!$H$4:$H$1002,'compens8-Import'!$M$4:$M$1002,$B24,'compens8-Import'!$E$4:$E$1002,W$1)</f>
        <v>0</v>
      </c>
      <c r="X24" s="8">
        <f>SUMIFS('compens8-Import'!$H$4:$H$1002,'compens8-Import'!$M$4:$M$1002,$B24,'compens8-Import'!$E$4:$E$1002,X$1)</f>
        <v>0</v>
      </c>
      <c r="Y24" s="8">
        <f>SUMIFS('compens8-Import'!$H$4:$H$1002,'compens8-Import'!$M$4:$M$1002,$B24,'compens8-Import'!$E$4:$E$1002,Y$1)</f>
        <v>0</v>
      </c>
      <c r="Z24" s="8">
        <f>SUMIFS('compens8-Import'!$H$4:$H$1002,'compens8-Import'!$M$4:$M$1002,$B24,'compens8-Import'!$E$4:$E$1002,Z$1)</f>
        <v>0</v>
      </c>
      <c r="AA24" s="8">
        <f>SUMIFS('compens8-Import'!$H$4:$H$1002,'compens8-Import'!$M$4:$M$1002,$B24,'compens8-Import'!$E$4:$E$1002,AA$1)</f>
        <v>0</v>
      </c>
      <c r="AB24" s="8">
        <f>SUMIFS('compens8-Import'!$H$4:$H$1002,'compens8-Import'!$M$4:$M$1002,$B24,'compens8-Import'!$E$4:$E$1002,AB$1)</f>
        <v>0</v>
      </c>
      <c r="AC24" s="8">
        <f>SUMIFS('compens8-Import'!$H$4:$H$1002,'compens8-Import'!$M$4:$M$1002,$B24,'compens8-Import'!$E$4:$E$1002,AC$1)</f>
        <v>5472</v>
      </c>
      <c r="AD24" s="8">
        <f>SUMIFS('compens8-Import'!$H$4:$H$1002,'compens8-Import'!$M$4:$M$1002,$B24,'compens8-Import'!$E$4:$E$1002,AD$1)</f>
        <v>0</v>
      </c>
      <c r="AE24" s="8">
        <f>SUMIFS('compens8-Import'!$H$4:$H$1002,'compens8-Import'!$M$4:$M$1002,$B24,'compens8-Import'!$E$4:$E$1002,AE$1)</f>
        <v>2060</v>
      </c>
      <c r="AF24" s="8">
        <f>SUMIFS('compens8-Import'!$H$4:$H$1002,'compens8-Import'!$M$4:$M$1002,$B24,'compens8-Import'!$E$4:$E$1002,AF$1)</f>
        <v>0</v>
      </c>
      <c r="AG24" s="8">
        <f>SUMIFS('compens8-Import'!$H$4:$H$1002,'compens8-Import'!$M$4:$M$1002,$B24,'compens8-Import'!$E$4:$E$1002,AG$1)</f>
        <v>0</v>
      </c>
      <c r="AH24" s="8">
        <f>SUMIFS('compens8-Import'!$H$4:$H$1002,'compens8-Import'!$M$4:$M$1002,$B24,'compens8-Import'!$E$4:$E$1002,AH$1)</f>
        <v>0</v>
      </c>
      <c r="AI24" s="8">
        <f>SUMIFS('compens8-Import'!$H$4:$H$1002,'compens8-Import'!$M$4:$M$1002,$B24,'compens8-Import'!$E$4:$E$1002,AI$1)</f>
        <v>0</v>
      </c>
      <c r="AJ24" s="8">
        <f>SUMIFS('compens8-Import'!$H$4:$H$1002,'compens8-Import'!$M$4:$M$1002,$B24,'compens8-Import'!$E$4:$E$1002,AJ$1)</f>
        <v>37748</v>
      </c>
      <c r="AK24" s="8">
        <f>SUMIFS('compens8-Import'!$H$4:$H$1002,'compens8-Import'!$M$4:$M$1002,$B24,'compens8-Import'!$E$4:$E$1002,AK$1)</f>
        <v>12870</v>
      </c>
      <c r="AL24" s="8">
        <f>SUMIFS('compens8-Import'!$H$4:$H$1002,'compens8-Import'!$M$4:$M$1002,$B24,'compens8-Import'!$E$4:$E$1002,AL$1)</f>
        <v>0</v>
      </c>
      <c r="AM24" s="8">
        <f>SUMIFS('compens8-Import'!$H$4:$H$1002,'compens8-Import'!$M$4:$M$1002,$B24,'compens8-Import'!$E$4:$E$1002,AM$1)</f>
        <v>0</v>
      </c>
      <c r="AN24" s="8">
        <f>SUMIFS('compens8-Import'!$H$4:$H$1002,'compens8-Import'!$M$4:$M$1002,$B24,'compens8-Import'!$E$4:$E$1002,AN$1)</f>
        <v>0</v>
      </c>
      <c r="AO24" s="8">
        <f>SUMIFS('compens8-Import'!$H$4:$H$1002,'compens8-Import'!$M$4:$M$1002,$B24,'compens8-Import'!$E$4:$E$1002,AO$1)</f>
        <v>574</v>
      </c>
      <c r="AP24" s="8">
        <f>SUMIFS('compens8-Import'!$H$4:$H$1002,'compens8-Import'!$M$4:$M$1002,$B24,'compens8-Import'!$E$4:$E$1002,AP$1)</f>
        <v>357</v>
      </c>
      <c r="AQ24" s="8">
        <f>SUMIFS('compens8-Import'!$H$4:$H$1002,'compens8-Import'!$M$4:$M$1002,$B24,'compens8-Import'!$E$4:$E$1002,AQ$1)</f>
        <v>0</v>
      </c>
      <c r="AR24" s="8">
        <f>SUMIFS('compens8-Import'!$H$4:$H$1002,'compens8-Import'!$M$4:$M$1002,$B24,'compens8-Import'!$E$4:$E$1002,AR$1)</f>
        <v>6360</v>
      </c>
      <c r="AS24" s="8">
        <f>SUMIFS('compens8-Import'!$H$4:$H$1002,'compens8-Import'!$M$4:$M$1002,$B24,'compens8-Import'!$E$4:$E$1002,AS$1)</f>
        <v>0</v>
      </c>
      <c r="AT24" s="8">
        <f>SUMIFS('compens8-Import'!$H$4:$H$1002,'compens8-Import'!$M$4:$M$1002,$B24,'compens8-Import'!$E$4:$E$1002,AT$1)</f>
        <v>0</v>
      </c>
      <c r="AU24" s="8">
        <f>SUMIFS('compens8-Import'!$H$4:$H$1002,'compens8-Import'!$M$4:$M$1002,$B24,'compens8-Import'!$E$4:$E$1002,AU$1)</f>
        <v>0</v>
      </c>
      <c r="AV24" s="8">
        <f>SUMIFS('compens8-Import'!$H$4:$H$1002,'compens8-Import'!$M$4:$M$1002,$B24,'compens8-Import'!$E$4:$E$1002,AV$1)</f>
        <v>0</v>
      </c>
      <c r="AW24" s="8">
        <f>SUMIFS('compens8-Import'!$H$4:$H$1002,'compens8-Import'!$M$4:$M$1002,$B24,'compens8-Import'!$E$4:$E$1002,AW$1)</f>
        <v>996</v>
      </c>
      <c r="AX24" s="8">
        <f>SUMIFS('compens8-Import'!$H$4:$H$1002,'compens8-Import'!$M$4:$M$1002,$B24,'compens8-Import'!$E$4:$E$1002,AX$1)</f>
        <v>0</v>
      </c>
      <c r="AY24" s="8">
        <f>SUMIFS('compens8-Import'!$H$4:$H$1002,'compens8-Import'!$M$4:$M$1002,$B24,'compens8-Import'!$E$4:$E$1002,AY$1)</f>
        <v>0</v>
      </c>
      <c r="AZ24" s="8">
        <f>SUMIFS('compens8-Import'!$H$4:$H$1002,'compens8-Import'!$M$4:$M$1002,$B24,'compens8-Import'!$E$4:$E$1002,AZ$1)</f>
        <v>0</v>
      </c>
      <c r="BA24" s="8">
        <f>SUMIFS('compens8-Import'!$H$4:$H$1002,'compens8-Import'!$M$4:$M$1002,$B24,'compens8-Import'!$E$4:$E$1002,BA$1)</f>
        <v>671</v>
      </c>
      <c r="BB24" s="8">
        <f>SUMIFS('compens8-Import'!$H$4:$H$1002,'compens8-Import'!$M$4:$M$1002,$B24,'compens8-Import'!$E$4:$E$1002,BB$1)</f>
        <v>0</v>
      </c>
      <c r="BC24" s="8">
        <f>SUMIFS('compens8-Import'!$H$4:$H$1002,'compens8-Import'!$M$4:$M$1002,$B24,'compens8-Import'!$E$4:$E$1002,BC$1)</f>
        <v>10269</v>
      </c>
      <c r="BD24" s="8">
        <f>SUMIFS('compens8-Import'!$H$4:$H$1002,'compens8-Import'!$M$4:$M$1002,$B24,'compens8-Import'!$E$4:$E$1002,BD$1)</f>
        <v>0</v>
      </c>
      <c r="BE24" s="8">
        <f>SUMIFS('compens8-Import'!$H$4:$H$1002,'compens8-Import'!$M$4:$M$1002,$B24,'compens8-Import'!$E$4:$E$1002,BE$1)</f>
        <v>0</v>
      </c>
      <c r="BF24" s="8">
        <f>SUMIFS('compens8-Import'!$H$4:$H$1002,'compens8-Import'!$M$4:$M$1002,$B24,'compens8-Import'!$E$4:$E$1002,BF$1)</f>
        <v>13606</v>
      </c>
      <c r="BG24" s="8">
        <f>SUMIFS('compens8-Import'!$H$4:$H$1002,'compens8-Import'!$M$4:$M$1002,$B24,'compens8-Import'!$E$4:$E$1002,BG$1)</f>
        <v>0</v>
      </c>
      <c r="BH24" s="8">
        <f>SUMIFS('compens8-Import'!$H$4:$H$1002,'compens8-Import'!$M$4:$M$1002,$B24,'compens8-Import'!$E$4:$E$1002,BH$1)</f>
        <v>0</v>
      </c>
      <c r="BI24" s="8">
        <f>SUMIFS('compens8-Import'!$H$4:$H$1002,'compens8-Import'!$M$4:$M$1002,$B24,'compens8-Import'!$E$4:$E$1002,BI$1)</f>
        <v>1001</v>
      </c>
      <c r="BJ24" s="8">
        <f>SUMIFS('compens8-Import'!$H$4:$H$1002,'compens8-Import'!$M$4:$M$1002,$B24,'compens8-Import'!$E$4:$E$1002,BJ$1)</f>
        <v>0</v>
      </c>
      <c r="BK24" s="8">
        <f>SUMIFS('compens8-Import'!$H$4:$H$1002,'compens8-Import'!$M$4:$M$1002,$B24,'compens8-Import'!$E$4:$E$1002,BK$1)</f>
        <v>0</v>
      </c>
      <c r="BL24" s="8">
        <f>SUMIFS('compens8-Import'!$H$4:$H$1002,'compens8-Import'!$M$4:$M$1002,$B24,'compens8-Import'!$E$4:$E$1002,BL$1)</f>
        <v>0</v>
      </c>
      <c r="BM24" s="8">
        <f>SUMIFS('compens8-Import'!$H$4:$H$1002,'compens8-Import'!$M$4:$M$1002,$B24,'compens8-Import'!$E$4:$E$1002,BM$1)</f>
        <v>11498</v>
      </c>
      <c r="BN24" s="8">
        <f>SUMIFS('compens8-Import'!$H$4:$H$1002,'compens8-Import'!$M$4:$M$1002,$B24,'compens8-Import'!$E$4:$E$1002,BN$1)</f>
        <v>4303</v>
      </c>
      <c r="BO24" s="8">
        <f>SUMIFS('compens8-Import'!$H$4:$H$1002,'compens8-Import'!$M$4:$M$1002,$B24,'compens8-Import'!$E$4:$E$1002,BO$1)</f>
        <v>0</v>
      </c>
      <c r="BP24" s="8">
        <f>SUMIFS('compens8-Import'!$H$4:$H$1002,'compens8-Import'!$M$4:$M$1002,$B24,'compens8-Import'!$E$4:$E$1002,BP$1)</f>
        <v>0</v>
      </c>
      <c r="BQ24" s="8">
        <f>SUMIFS('compens8-Import'!$H$4:$H$1002,'compens8-Import'!$M$4:$M$1002,$B24,'compens8-Import'!$E$4:$E$1002,BQ$1)</f>
        <v>0</v>
      </c>
      <c r="BR24" s="8">
        <f>SUMIFS('compens8-Import'!$H$4:$H$1002,'compens8-Import'!$M$4:$M$1002,$B24,'compens8-Import'!$E$4:$E$1002,BR$1)</f>
        <v>0</v>
      </c>
      <c r="BS24" s="8">
        <f>SUMIFS('compens8-Import'!$H$4:$H$1002,'compens8-Import'!$M$4:$M$1002,$B24,'compens8-Import'!$E$4:$E$1002,BS$1)</f>
        <v>53253</v>
      </c>
      <c r="BT24" s="8">
        <f>SUMIFS('compens8-Import'!$H$4:$H$1002,'compens8-Import'!$M$4:$M$1002,$B24,'compens8-Import'!$E$4:$E$1002,BT$1)</f>
        <v>1501</v>
      </c>
      <c r="BU24" s="8">
        <f>SUMIFS('compens8-Import'!$H$4:$H$1002,'compens8-Import'!$M$4:$M$1002,$B24,'compens8-Import'!$E$4:$E$1002,BU$1)</f>
        <v>0</v>
      </c>
      <c r="BV24" s="8">
        <f>SUMIFS('compens8-Import'!$H$4:$H$1002,'compens8-Import'!$M$4:$M$1002,$B24,'compens8-Import'!$E$4:$E$1002,BV$1)</f>
        <v>0</v>
      </c>
      <c r="BW24" s="8">
        <f>SUMIFS('compens8-Import'!$H$4:$H$1002,'compens8-Import'!$M$4:$M$1002,$B24,'compens8-Import'!$E$4:$E$1002,BW$1)</f>
        <v>0</v>
      </c>
      <c r="BX24" s="8">
        <f>SUMIFS('compens8-Import'!$H$4:$H$1002,'compens8-Import'!$M$4:$M$1002,$B24,'compens8-Import'!$E$4:$E$1002,BX$1)</f>
        <v>0</v>
      </c>
      <c r="BY24" s="8">
        <f>SUMIFS('compens8-Import'!$H$4:$H$1002,'compens8-Import'!$M$4:$M$1002,$B24,'compens8-Import'!$E$4:$E$1002,BY$1)</f>
        <v>0</v>
      </c>
      <c r="BZ24" s="8">
        <f>SUMIFS('compens8-Import'!$H$4:$H$1002,'compens8-Import'!$M$4:$M$1002,$B24,'compens8-Import'!$E$4:$E$1002,BZ$1)</f>
        <v>0</v>
      </c>
      <c r="CA24" s="8">
        <f>SUMIFS('compens8-Import'!$H$4:$H$1002,'compens8-Import'!$M$4:$M$1002,$B24,'compens8-Import'!$E$4:$E$1002,CA$1)</f>
        <v>851</v>
      </c>
      <c r="CB24" s="8">
        <f>SUMIFS('compens8-Import'!$H$4:$H$1002,'compens8-Import'!$M$4:$M$1002,$B24,'compens8-Import'!$E$4:$E$1002,CB$1)</f>
        <v>0</v>
      </c>
      <c r="CC24" s="8">
        <f>SUMIFS('compens8-Import'!$H$4:$H$1002,'compens8-Import'!$M$4:$M$1002,$B24,'compens8-Import'!$E$4:$E$1002,CC$1)</f>
        <v>0</v>
      </c>
      <c r="CD24" s="8">
        <f>SUMIFS('compens8-Import'!$H$4:$H$1002,'compens8-Import'!$M$4:$M$1002,$B24,'compens8-Import'!$E$4:$E$1002,CD$1)</f>
        <v>41721</v>
      </c>
      <c r="CE24" s="8">
        <f>SUMIFS('compens8-Import'!$H$4:$H$1002,'compens8-Import'!$M$4:$M$1002,$B24,'compens8-Import'!$E$4:$E$1002,CE$1)</f>
        <v>0</v>
      </c>
      <c r="CF24" s="8">
        <f>SUMIFS('compens8-Import'!$H$4:$H$1002,'compens8-Import'!$M$4:$M$1002,$B24,'compens8-Import'!$E$4:$E$1002,CF$1)</f>
        <v>439</v>
      </c>
      <c r="CG24" s="8">
        <f>SUMIFS('compens8-Import'!$H$4:$H$1002,'compens8-Import'!$M$4:$M$1002,$B24,'compens8-Import'!$E$4:$E$1002,CG$1)</f>
        <v>0</v>
      </c>
      <c r="CH24" s="8">
        <f>SUMIFS('compens8-Import'!$H$4:$H$1002,'compens8-Import'!$M$4:$M$1002,$B24,'compens8-Import'!$E$4:$E$1002,CH$1)</f>
        <v>0</v>
      </c>
      <c r="CI24" s="8">
        <f>SUMIFS('compens8-Import'!$H$4:$H$1002,'compens8-Import'!$M$4:$M$1002,$B24,'compens8-Import'!$E$4:$E$1002,CI$1)</f>
        <v>0</v>
      </c>
      <c r="CJ24" s="8">
        <f>SUMIFS('compens8-Import'!$H$4:$H$1002,'compens8-Import'!$M$4:$M$1002,$B24,'compens8-Import'!$E$4:$E$1002,CJ$1)</f>
        <v>0</v>
      </c>
      <c r="CK24" s="8">
        <f>SUMIFS('compens8-Import'!$H$4:$H$1002,'compens8-Import'!$M$4:$M$1002,$B24,'compens8-Import'!$E$4:$E$1002,CK$1)</f>
        <v>0</v>
      </c>
      <c r="CL24" s="8">
        <f>SUMIFS('compens8-Import'!$H$4:$H$1002,'compens8-Import'!$M$4:$M$1002,$B24,'compens8-Import'!$E$4:$E$1002,CL$1)</f>
        <v>0</v>
      </c>
      <c r="CM24" s="8">
        <f>SUMIFS('compens8-Import'!$H$4:$H$1002,'compens8-Import'!$M$4:$M$1002,$B24,'compens8-Import'!$E$4:$E$1002,CM$1)</f>
        <v>0</v>
      </c>
      <c r="CN24" s="8">
        <f>SUMIFS('compens8-Import'!$H$4:$H$1002,'compens8-Import'!$M$4:$M$1002,$B24,'compens8-Import'!$E$4:$E$1002,CN$1)</f>
        <v>0</v>
      </c>
    </row>
    <row r="25" spans="1:92" x14ac:dyDescent="0.25">
      <c r="A25" s="2" t="s">
        <v>95</v>
      </c>
      <c r="B25" s="2" t="str">
        <f>_xlfn.XLOOKUP(A25,'Correspondances pays'!$A$4:$A$200,'Correspondances pays'!$B$4:$B$200)</f>
        <v>Slovakia</v>
      </c>
      <c r="C25" s="44">
        <f>AutoConsommation!F24</f>
        <v>111853</v>
      </c>
      <c r="D25" s="8">
        <f t="shared" si="0"/>
        <v>111853</v>
      </c>
      <c r="E25" s="8">
        <f>SUMIFS('compens8-Import'!$H$4:$H$1002,'compens8-Import'!$M$4:$M$1002,$B25,'compens8-Import'!$E$4:$E$1002,E$1)</f>
        <v>0</v>
      </c>
      <c r="F25" s="8">
        <f>SUMIFS('compens8-Import'!$H$4:$H$1002,'compens8-Import'!$M$4:$M$1002,$B25,'compens8-Import'!$E$4:$E$1002,F$1)</f>
        <v>0</v>
      </c>
      <c r="G25" s="8">
        <f>SUMIFS('compens8-Import'!$H$4:$H$1002,'compens8-Import'!$M$4:$M$1002,$B25,'compens8-Import'!$E$4:$E$1002,G$1)</f>
        <v>10250</v>
      </c>
      <c r="H25" s="8">
        <f>SUMIFS('compens8-Import'!$H$4:$H$1002,'compens8-Import'!$M$4:$M$1002,$B25,'compens8-Import'!$E$4:$E$1002,H$1)</f>
        <v>0</v>
      </c>
      <c r="I25" s="8">
        <f>SUMIFS('compens8-Import'!$H$4:$H$1002,'compens8-Import'!$M$4:$M$1002,$B25,'compens8-Import'!$E$4:$E$1002,I$1)</f>
        <v>0</v>
      </c>
      <c r="J25" s="8">
        <f>SUMIFS('compens8-Import'!$H$4:$H$1002,'compens8-Import'!$M$4:$M$1002,$B25,'compens8-Import'!$E$4:$E$1002,J$1)</f>
        <v>1714</v>
      </c>
      <c r="K25" s="8">
        <f>SUMIFS('compens8-Import'!$H$4:$H$1002,'compens8-Import'!$M$4:$M$1002,$B25,'compens8-Import'!$E$4:$E$1002,K$1)</f>
        <v>0</v>
      </c>
      <c r="L25" s="8">
        <f>SUMIFS('compens8-Import'!$H$4:$H$1002,'compens8-Import'!$M$4:$M$1002,$B25,'compens8-Import'!$E$4:$E$1002,L$1)</f>
        <v>4286</v>
      </c>
      <c r="M25" s="8">
        <f>SUMIFS('compens8-Import'!$H$4:$H$1002,'compens8-Import'!$M$4:$M$1002,$B25,'compens8-Import'!$E$4:$E$1002,M$1)</f>
        <v>0</v>
      </c>
      <c r="N25" s="8">
        <f>SUMIFS('compens8-Import'!$H$4:$H$1002,'compens8-Import'!$M$4:$M$1002,$B25,'compens8-Import'!$E$4:$E$1002,N$1)</f>
        <v>0</v>
      </c>
      <c r="O25" s="8">
        <f>SUMIFS('compens8-Import'!$H$4:$H$1002,'compens8-Import'!$M$4:$M$1002,$B25,'compens8-Import'!$E$4:$E$1002,O$1)</f>
        <v>0</v>
      </c>
      <c r="P25" s="8">
        <f>SUMIFS('compens8-Import'!$H$4:$H$1002,'compens8-Import'!$M$4:$M$1002,$B25,'compens8-Import'!$E$4:$E$1002,P$1)</f>
        <v>0</v>
      </c>
      <c r="Q25" s="8">
        <f>SUMIFS('compens8-Import'!$H$4:$H$1002,'compens8-Import'!$M$4:$M$1002,$B25,'compens8-Import'!$E$4:$E$1002,Q$1)</f>
        <v>0</v>
      </c>
      <c r="R25" s="8">
        <f>SUMIFS('compens8-Import'!$H$4:$H$1002,'compens8-Import'!$M$4:$M$1002,$B25,'compens8-Import'!$E$4:$E$1002,R$1)</f>
        <v>0</v>
      </c>
      <c r="S25" s="8">
        <f>SUMIFS('compens8-Import'!$H$4:$H$1002,'compens8-Import'!$M$4:$M$1002,$B25,'compens8-Import'!$E$4:$E$1002,S$1)</f>
        <v>0</v>
      </c>
      <c r="T25" s="8">
        <f>SUMIFS('compens8-Import'!$H$4:$H$1002,'compens8-Import'!$M$4:$M$1002,$B25,'compens8-Import'!$E$4:$E$1002,T$1)</f>
        <v>0</v>
      </c>
      <c r="U25" s="8">
        <f>SUMIFS('compens8-Import'!$H$4:$H$1002,'compens8-Import'!$M$4:$M$1002,$B25,'compens8-Import'!$E$4:$E$1002,U$1)</f>
        <v>368</v>
      </c>
      <c r="V25" s="8">
        <f>SUMIFS('compens8-Import'!$H$4:$H$1002,'compens8-Import'!$M$4:$M$1002,$B25,'compens8-Import'!$E$4:$E$1002,V$1)</f>
        <v>0</v>
      </c>
      <c r="W25" s="8">
        <f>SUMIFS('compens8-Import'!$H$4:$H$1002,'compens8-Import'!$M$4:$M$1002,$B25,'compens8-Import'!$E$4:$E$1002,W$1)</f>
        <v>0</v>
      </c>
      <c r="X25" s="8">
        <f>SUMIFS('compens8-Import'!$H$4:$H$1002,'compens8-Import'!$M$4:$M$1002,$B25,'compens8-Import'!$E$4:$E$1002,X$1)</f>
        <v>13367</v>
      </c>
      <c r="Y25" s="8">
        <f>SUMIFS('compens8-Import'!$H$4:$H$1002,'compens8-Import'!$M$4:$M$1002,$B25,'compens8-Import'!$E$4:$E$1002,Y$1)</f>
        <v>0</v>
      </c>
      <c r="Z25" s="8">
        <f>SUMIFS('compens8-Import'!$H$4:$H$1002,'compens8-Import'!$M$4:$M$1002,$B25,'compens8-Import'!$E$4:$E$1002,Z$1)</f>
        <v>1929</v>
      </c>
      <c r="AA25" s="8">
        <f>SUMIFS('compens8-Import'!$H$4:$H$1002,'compens8-Import'!$M$4:$M$1002,$B25,'compens8-Import'!$E$4:$E$1002,AA$1)</f>
        <v>0</v>
      </c>
      <c r="AB25" s="8">
        <f>SUMIFS('compens8-Import'!$H$4:$H$1002,'compens8-Import'!$M$4:$M$1002,$B25,'compens8-Import'!$E$4:$E$1002,AB$1)</f>
        <v>0</v>
      </c>
      <c r="AC25" s="8">
        <f>SUMIFS('compens8-Import'!$H$4:$H$1002,'compens8-Import'!$M$4:$M$1002,$B25,'compens8-Import'!$E$4:$E$1002,AC$1)</f>
        <v>0</v>
      </c>
      <c r="AD25" s="8">
        <f>SUMIFS('compens8-Import'!$H$4:$H$1002,'compens8-Import'!$M$4:$M$1002,$B25,'compens8-Import'!$E$4:$E$1002,AD$1)</f>
        <v>0</v>
      </c>
      <c r="AE25" s="8">
        <f>SUMIFS('compens8-Import'!$H$4:$H$1002,'compens8-Import'!$M$4:$M$1002,$B25,'compens8-Import'!$E$4:$E$1002,AE$1)</f>
        <v>8911</v>
      </c>
      <c r="AF25" s="8">
        <f>SUMIFS('compens8-Import'!$H$4:$H$1002,'compens8-Import'!$M$4:$M$1002,$B25,'compens8-Import'!$E$4:$E$1002,AF$1)</f>
        <v>0</v>
      </c>
      <c r="AG25" s="8">
        <f>SUMIFS('compens8-Import'!$H$4:$H$1002,'compens8-Import'!$M$4:$M$1002,$B25,'compens8-Import'!$E$4:$E$1002,AG$1)</f>
        <v>0</v>
      </c>
      <c r="AH25" s="8">
        <f>SUMIFS('compens8-Import'!$H$4:$H$1002,'compens8-Import'!$M$4:$M$1002,$B25,'compens8-Import'!$E$4:$E$1002,AH$1)</f>
        <v>0</v>
      </c>
      <c r="AI25" s="8">
        <f>SUMIFS('compens8-Import'!$H$4:$H$1002,'compens8-Import'!$M$4:$M$1002,$B25,'compens8-Import'!$E$4:$E$1002,AI$1)</f>
        <v>1170</v>
      </c>
      <c r="AJ25" s="8">
        <f>SUMIFS('compens8-Import'!$H$4:$H$1002,'compens8-Import'!$M$4:$M$1002,$B25,'compens8-Import'!$E$4:$E$1002,AJ$1)</f>
        <v>5486</v>
      </c>
      <c r="AK25" s="8">
        <f>SUMIFS('compens8-Import'!$H$4:$H$1002,'compens8-Import'!$M$4:$M$1002,$B25,'compens8-Import'!$E$4:$E$1002,AK$1)</f>
        <v>868</v>
      </c>
      <c r="AL25" s="8">
        <f>SUMIFS('compens8-Import'!$H$4:$H$1002,'compens8-Import'!$M$4:$M$1002,$B25,'compens8-Import'!$E$4:$E$1002,AL$1)</f>
        <v>0</v>
      </c>
      <c r="AM25" s="8">
        <f>SUMIFS('compens8-Import'!$H$4:$H$1002,'compens8-Import'!$M$4:$M$1002,$B25,'compens8-Import'!$E$4:$E$1002,AM$1)</f>
        <v>0</v>
      </c>
      <c r="AN25" s="8">
        <f>SUMIFS('compens8-Import'!$H$4:$H$1002,'compens8-Import'!$M$4:$M$1002,$B25,'compens8-Import'!$E$4:$E$1002,AN$1)</f>
        <v>0</v>
      </c>
      <c r="AO25" s="8">
        <f>SUMIFS('compens8-Import'!$H$4:$H$1002,'compens8-Import'!$M$4:$M$1002,$B25,'compens8-Import'!$E$4:$E$1002,AO$1)</f>
        <v>0</v>
      </c>
      <c r="AP25" s="8">
        <f>SUMIFS('compens8-Import'!$H$4:$H$1002,'compens8-Import'!$M$4:$M$1002,$B25,'compens8-Import'!$E$4:$E$1002,AP$1)</f>
        <v>5947</v>
      </c>
      <c r="AQ25" s="8">
        <f>SUMIFS('compens8-Import'!$H$4:$H$1002,'compens8-Import'!$M$4:$M$1002,$B25,'compens8-Import'!$E$4:$E$1002,AQ$1)</f>
        <v>0</v>
      </c>
      <c r="AR25" s="8">
        <f>SUMIFS('compens8-Import'!$H$4:$H$1002,'compens8-Import'!$M$4:$M$1002,$B25,'compens8-Import'!$E$4:$E$1002,AR$1)</f>
        <v>0</v>
      </c>
      <c r="AS25" s="8">
        <f>SUMIFS('compens8-Import'!$H$4:$H$1002,'compens8-Import'!$M$4:$M$1002,$B25,'compens8-Import'!$E$4:$E$1002,AS$1)</f>
        <v>0</v>
      </c>
      <c r="AT25" s="8">
        <f>SUMIFS('compens8-Import'!$H$4:$H$1002,'compens8-Import'!$M$4:$M$1002,$B25,'compens8-Import'!$E$4:$E$1002,AT$1)</f>
        <v>1427</v>
      </c>
      <c r="AU25" s="8">
        <f>SUMIFS('compens8-Import'!$H$4:$H$1002,'compens8-Import'!$M$4:$M$1002,$B25,'compens8-Import'!$E$4:$E$1002,AU$1)</f>
        <v>0</v>
      </c>
      <c r="AV25" s="8">
        <f>SUMIFS('compens8-Import'!$H$4:$H$1002,'compens8-Import'!$M$4:$M$1002,$B25,'compens8-Import'!$E$4:$E$1002,AV$1)</f>
        <v>0</v>
      </c>
      <c r="AW25" s="8">
        <f>SUMIFS('compens8-Import'!$H$4:$H$1002,'compens8-Import'!$M$4:$M$1002,$B25,'compens8-Import'!$E$4:$E$1002,AW$1)</f>
        <v>0</v>
      </c>
      <c r="AX25" s="8">
        <f>SUMIFS('compens8-Import'!$H$4:$H$1002,'compens8-Import'!$M$4:$M$1002,$B25,'compens8-Import'!$E$4:$E$1002,AX$1)</f>
        <v>0</v>
      </c>
      <c r="AY25" s="8">
        <f>SUMIFS('compens8-Import'!$H$4:$H$1002,'compens8-Import'!$M$4:$M$1002,$B25,'compens8-Import'!$E$4:$E$1002,AY$1)</f>
        <v>0</v>
      </c>
      <c r="AZ25" s="8">
        <f>SUMIFS('compens8-Import'!$H$4:$H$1002,'compens8-Import'!$M$4:$M$1002,$B25,'compens8-Import'!$E$4:$E$1002,AZ$1)</f>
        <v>0</v>
      </c>
      <c r="BA25" s="8">
        <f>SUMIFS('compens8-Import'!$H$4:$H$1002,'compens8-Import'!$M$4:$M$1002,$B25,'compens8-Import'!$E$4:$E$1002,BA$1)</f>
        <v>0</v>
      </c>
      <c r="BB25" s="8">
        <f>SUMIFS('compens8-Import'!$H$4:$H$1002,'compens8-Import'!$M$4:$M$1002,$B25,'compens8-Import'!$E$4:$E$1002,BB$1)</f>
        <v>0</v>
      </c>
      <c r="BC25" s="8">
        <f>SUMIFS('compens8-Import'!$H$4:$H$1002,'compens8-Import'!$M$4:$M$1002,$B25,'compens8-Import'!$E$4:$E$1002,BC$1)</f>
        <v>3083</v>
      </c>
      <c r="BD25" s="8">
        <f>SUMIFS('compens8-Import'!$H$4:$H$1002,'compens8-Import'!$M$4:$M$1002,$B25,'compens8-Import'!$E$4:$E$1002,BD$1)</f>
        <v>0</v>
      </c>
      <c r="BE25" s="8">
        <f>SUMIFS('compens8-Import'!$H$4:$H$1002,'compens8-Import'!$M$4:$M$1002,$B25,'compens8-Import'!$E$4:$E$1002,BE$1)</f>
        <v>0</v>
      </c>
      <c r="BF25" s="8">
        <f>SUMIFS('compens8-Import'!$H$4:$H$1002,'compens8-Import'!$M$4:$M$1002,$B25,'compens8-Import'!$E$4:$E$1002,BF$1)</f>
        <v>10658</v>
      </c>
      <c r="BG25" s="8">
        <f>SUMIFS('compens8-Import'!$H$4:$H$1002,'compens8-Import'!$M$4:$M$1002,$B25,'compens8-Import'!$E$4:$E$1002,BG$1)</f>
        <v>0</v>
      </c>
      <c r="BH25" s="8">
        <f>SUMIFS('compens8-Import'!$H$4:$H$1002,'compens8-Import'!$M$4:$M$1002,$B25,'compens8-Import'!$E$4:$E$1002,BH$1)</f>
        <v>0</v>
      </c>
      <c r="BI25" s="8">
        <f>SUMIFS('compens8-Import'!$H$4:$H$1002,'compens8-Import'!$M$4:$M$1002,$B25,'compens8-Import'!$E$4:$E$1002,BI$1)</f>
        <v>16694</v>
      </c>
      <c r="BJ25" s="8">
        <f>SUMIFS('compens8-Import'!$H$4:$H$1002,'compens8-Import'!$M$4:$M$1002,$B25,'compens8-Import'!$E$4:$E$1002,BJ$1)</f>
        <v>0</v>
      </c>
      <c r="BK25" s="8">
        <f>SUMIFS('compens8-Import'!$H$4:$H$1002,'compens8-Import'!$M$4:$M$1002,$B25,'compens8-Import'!$E$4:$E$1002,BK$1)</f>
        <v>0</v>
      </c>
      <c r="BL25" s="8">
        <f>SUMIFS('compens8-Import'!$H$4:$H$1002,'compens8-Import'!$M$4:$M$1002,$B25,'compens8-Import'!$E$4:$E$1002,BL$1)</f>
        <v>8674</v>
      </c>
      <c r="BM25" s="8">
        <f>SUMIFS('compens8-Import'!$H$4:$H$1002,'compens8-Import'!$M$4:$M$1002,$B25,'compens8-Import'!$E$4:$E$1002,BM$1)</f>
        <v>3278</v>
      </c>
      <c r="BN25" s="8">
        <f>SUMIFS('compens8-Import'!$H$4:$H$1002,'compens8-Import'!$M$4:$M$1002,$B25,'compens8-Import'!$E$4:$E$1002,BN$1)</f>
        <v>0</v>
      </c>
      <c r="BO25" s="8">
        <f>SUMIFS('compens8-Import'!$H$4:$H$1002,'compens8-Import'!$M$4:$M$1002,$B25,'compens8-Import'!$E$4:$E$1002,BO$1)</f>
        <v>2640</v>
      </c>
      <c r="BP25" s="8">
        <f>SUMIFS('compens8-Import'!$H$4:$H$1002,'compens8-Import'!$M$4:$M$1002,$B25,'compens8-Import'!$E$4:$E$1002,BP$1)</f>
        <v>0</v>
      </c>
      <c r="BQ25" s="8">
        <f>SUMIFS('compens8-Import'!$H$4:$H$1002,'compens8-Import'!$M$4:$M$1002,$B25,'compens8-Import'!$E$4:$E$1002,BQ$1)</f>
        <v>0</v>
      </c>
      <c r="BR25" s="8">
        <f>SUMIFS('compens8-Import'!$H$4:$H$1002,'compens8-Import'!$M$4:$M$1002,$B25,'compens8-Import'!$E$4:$E$1002,BR$1)</f>
        <v>0</v>
      </c>
      <c r="BS25" s="8">
        <f>SUMIFS('compens8-Import'!$H$4:$H$1002,'compens8-Import'!$M$4:$M$1002,$B25,'compens8-Import'!$E$4:$E$1002,BS$1)</f>
        <v>0</v>
      </c>
      <c r="BT25" s="8">
        <f>SUMIFS('compens8-Import'!$H$4:$H$1002,'compens8-Import'!$M$4:$M$1002,$B25,'compens8-Import'!$E$4:$E$1002,BT$1)</f>
        <v>1671</v>
      </c>
      <c r="BU25" s="8">
        <f>SUMIFS('compens8-Import'!$H$4:$H$1002,'compens8-Import'!$M$4:$M$1002,$B25,'compens8-Import'!$E$4:$E$1002,BU$1)</f>
        <v>0</v>
      </c>
      <c r="BV25" s="8">
        <f>SUMIFS('compens8-Import'!$H$4:$H$1002,'compens8-Import'!$M$4:$M$1002,$B25,'compens8-Import'!$E$4:$E$1002,BV$1)</f>
        <v>532</v>
      </c>
      <c r="BW25" s="8">
        <f>SUMIFS('compens8-Import'!$H$4:$H$1002,'compens8-Import'!$M$4:$M$1002,$B25,'compens8-Import'!$E$4:$E$1002,BW$1)</f>
        <v>0</v>
      </c>
      <c r="BX25" s="8">
        <f>SUMIFS('compens8-Import'!$H$4:$H$1002,'compens8-Import'!$M$4:$M$1002,$B25,'compens8-Import'!$E$4:$E$1002,BX$1)</f>
        <v>0</v>
      </c>
      <c r="BY25" s="8">
        <f>SUMIFS('compens8-Import'!$H$4:$H$1002,'compens8-Import'!$M$4:$M$1002,$B25,'compens8-Import'!$E$4:$E$1002,BY$1)</f>
        <v>0</v>
      </c>
      <c r="BZ25" s="8">
        <f>SUMIFS('compens8-Import'!$H$4:$H$1002,'compens8-Import'!$M$4:$M$1002,$B25,'compens8-Import'!$E$4:$E$1002,BZ$1)</f>
        <v>0</v>
      </c>
      <c r="CA25" s="8">
        <f>SUMIFS('compens8-Import'!$H$4:$H$1002,'compens8-Import'!$M$4:$M$1002,$B25,'compens8-Import'!$E$4:$E$1002,CA$1)</f>
        <v>0</v>
      </c>
      <c r="CB25" s="8">
        <f>SUMIFS('compens8-Import'!$H$4:$H$1002,'compens8-Import'!$M$4:$M$1002,$B25,'compens8-Import'!$E$4:$E$1002,CB$1)</f>
        <v>0</v>
      </c>
      <c r="CC25" s="8">
        <f>SUMIFS('compens8-Import'!$H$4:$H$1002,'compens8-Import'!$M$4:$M$1002,$B25,'compens8-Import'!$E$4:$E$1002,CC$1)</f>
        <v>3654</v>
      </c>
      <c r="CD25" s="8">
        <f>SUMIFS('compens8-Import'!$H$4:$H$1002,'compens8-Import'!$M$4:$M$1002,$B25,'compens8-Import'!$E$4:$E$1002,CD$1)</f>
        <v>2652</v>
      </c>
      <c r="CE25" s="8">
        <f>SUMIFS('compens8-Import'!$H$4:$H$1002,'compens8-Import'!$M$4:$M$1002,$B25,'compens8-Import'!$E$4:$E$1002,CE$1)</f>
        <v>0</v>
      </c>
      <c r="CF25" s="8">
        <f>SUMIFS('compens8-Import'!$H$4:$H$1002,'compens8-Import'!$M$4:$M$1002,$B25,'compens8-Import'!$E$4:$E$1002,CF$1)</f>
        <v>0</v>
      </c>
      <c r="CG25" s="8">
        <f>SUMIFS('compens8-Import'!$H$4:$H$1002,'compens8-Import'!$M$4:$M$1002,$B25,'compens8-Import'!$E$4:$E$1002,CG$1)</f>
        <v>0</v>
      </c>
      <c r="CH25" s="8">
        <f>SUMIFS('compens8-Import'!$H$4:$H$1002,'compens8-Import'!$M$4:$M$1002,$B25,'compens8-Import'!$E$4:$E$1002,CH$1)</f>
        <v>1385</v>
      </c>
      <c r="CI25" s="8">
        <f>SUMIFS('compens8-Import'!$H$4:$H$1002,'compens8-Import'!$M$4:$M$1002,$B25,'compens8-Import'!$E$4:$E$1002,CI$1)</f>
        <v>1209</v>
      </c>
      <c r="CJ25" s="8">
        <f>SUMIFS('compens8-Import'!$H$4:$H$1002,'compens8-Import'!$M$4:$M$1002,$B25,'compens8-Import'!$E$4:$E$1002,CJ$1)</f>
        <v>0</v>
      </c>
      <c r="CK25" s="8">
        <f>SUMIFS('compens8-Import'!$H$4:$H$1002,'compens8-Import'!$M$4:$M$1002,$B25,'compens8-Import'!$E$4:$E$1002,CK$1)</f>
        <v>0</v>
      </c>
      <c r="CL25" s="8">
        <f>SUMIFS('compens8-Import'!$H$4:$H$1002,'compens8-Import'!$M$4:$M$1002,$B25,'compens8-Import'!$E$4:$E$1002,CL$1)</f>
        <v>0</v>
      </c>
      <c r="CM25" s="8">
        <f>SUMIFS('compens8-Import'!$H$4:$H$1002,'compens8-Import'!$M$4:$M$1002,$B25,'compens8-Import'!$E$4:$E$1002,CM$1)</f>
        <v>0</v>
      </c>
      <c r="CN25" s="8">
        <f>SUMIFS('compens8-Import'!$H$4:$H$1002,'compens8-Import'!$M$4:$M$1002,$B25,'compens8-Import'!$E$4:$E$1002,CN$1)</f>
        <v>0</v>
      </c>
    </row>
    <row r="26" spans="1:92" x14ac:dyDescent="0.25">
      <c r="A26" s="2" t="s">
        <v>96</v>
      </c>
      <c r="B26" s="2" t="str">
        <f>_xlfn.XLOOKUP(A26,'Correspondances pays'!$A$4:$A$200,'Correspondances pays'!$B$4:$B$200)</f>
        <v>Slovenia</v>
      </c>
      <c r="C26" s="44">
        <f>AutoConsommation!F25</f>
        <v>173360</v>
      </c>
      <c r="D26" s="8">
        <f t="shared" si="0"/>
        <v>173360</v>
      </c>
      <c r="E26" s="8">
        <f>SUMIFS('compens8-Import'!$H$4:$H$1002,'compens8-Import'!$M$4:$M$1002,$B26,'compens8-Import'!$E$4:$E$1002,E$1)</f>
        <v>0</v>
      </c>
      <c r="F26" s="8">
        <f>SUMIFS('compens8-Import'!$H$4:$H$1002,'compens8-Import'!$M$4:$M$1002,$B26,'compens8-Import'!$E$4:$E$1002,F$1)</f>
        <v>0</v>
      </c>
      <c r="G26" s="8">
        <f>SUMIFS('compens8-Import'!$H$4:$H$1002,'compens8-Import'!$M$4:$M$1002,$B26,'compens8-Import'!$E$4:$E$1002,G$1)</f>
        <v>0</v>
      </c>
      <c r="H26" s="8">
        <f>SUMIFS('compens8-Import'!$H$4:$H$1002,'compens8-Import'!$M$4:$M$1002,$B26,'compens8-Import'!$E$4:$E$1002,H$1)</f>
        <v>0</v>
      </c>
      <c r="I26" s="8">
        <f>SUMIFS('compens8-Import'!$H$4:$H$1002,'compens8-Import'!$M$4:$M$1002,$B26,'compens8-Import'!$E$4:$E$1002,I$1)</f>
        <v>0</v>
      </c>
      <c r="J26" s="8">
        <f>SUMIFS('compens8-Import'!$H$4:$H$1002,'compens8-Import'!$M$4:$M$1002,$B26,'compens8-Import'!$E$4:$E$1002,J$1)</f>
        <v>1553</v>
      </c>
      <c r="K26" s="8">
        <f>SUMIFS('compens8-Import'!$H$4:$H$1002,'compens8-Import'!$M$4:$M$1002,$B26,'compens8-Import'!$E$4:$E$1002,K$1)</f>
        <v>0</v>
      </c>
      <c r="L26" s="8">
        <f>SUMIFS('compens8-Import'!$H$4:$H$1002,'compens8-Import'!$M$4:$M$1002,$B26,'compens8-Import'!$E$4:$E$1002,L$1)</f>
        <v>9688</v>
      </c>
      <c r="M26" s="8">
        <f>SUMIFS('compens8-Import'!$H$4:$H$1002,'compens8-Import'!$M$4:$M$1002,$B26,'compens8-Import'!$E$4:$E$1002,M$1)</f>
        <v>0</v>
      </c>
      <c r="N26" s="8">
        <f>SUMIFS('compens8-Import'!$H$4:$H$1002,'compens8-Import'!$M$4:$M$1002,$B26,'compens8-Import'!$E$4:$E$1002,N$1)</f>
        <v>0</v>
      </c>
      <c r="O26" s="8">
        <f>SUMIFS('compens8-Import'!$H$4:$H$1002,'compens8-Import'!$M$4:$M$1002,$B26,'compens8-Import'!$E$4:$E$1002,O$1)</f>
        <v>0</v>
      </c>
      <c r="P26" s="8">
        <f>SUMIFS('compens8-Import'!$H$4:$H$1002,'compens8-Import'!$M$4:$M$1002,$B26,'compens8-Import'!$E$4:$E$1002,P$1)</f>
        <v>4611</v>
      </c>
      <c r="Q26" s="8">
        <f>SUMIFS('compens8-Import'!$H$4:$H$1002,'compens8-Import'!$M$4:$M$1002,$B26,'compens8-Import'!$E$4:$E$1002,Q$1)</f>
        <v>0</v>
      </c>
      <c r="R26" s="8">
        <f>SUMIFS('compens8-Import'!$H$4:$H$1002,'compens8-Import'!$M$4:$M$1002,$B26,'compens8-Import'!$E$4:$E$1002,R$1)</f>
        <v>0</v>
      </c>
      <c r="S26" s="8">
        <f>SUMIFS('compens8-Import'!$H$4:$H$1002,'compens8-Import'!$M$4:$M$1002,$B26,'compens8-Import'!$E$4:$E$1002,S$1)</f>
        <v>0</v>
      </c>
      <c r="T26" s="8">
        <f>SUMIFS('compens8-Import'!$H$4:$H$1002,'compens8-Import'!$M$4:$M$1002,$B26,'compens8-Import'!$E$4:$E$1002,T$1)</f>
        <v>0</v>
      </c>
      <c r="U26" s="8">
        <f>SUMIFS('compens8-Import'!$H$4:$H$1002,'compens8-Import'!$M$4:$M$1002,$B26,'compens8-Import'!$E$4:$E$1002,U$1)</f>
        <v>2034</v>
      </c>
      <c r="V26" s="8">
        <f>SUMIFS('compens8-Import'!$H$4:$H$1002,'compens8-Import'!$M$4:$M$1002,$B26,'compens8-Import'!$E$4:$E$1002,V$1)</f>
        <v>0</v>
      </c>
      <c r="W26" s="8">
        <f>SUMIFS('compens8-Import'!$H$4:$H$1002,'compens8-Import'!$M$4:$M$1002,$B26,'compens8-Import'!$E$4:$E$1002,W$1)</f>
        <v>0</v>
      </c>
      <c r="X26" s="8">
        <f>SUMIFS('compens8-Import'!$H$4:$H$1002,'compens8-Import'!$M$4:$M$1002,$B26,'compens8-Import'!$E$4:$E$1002,X$1)</f>
        <v>5227</v>
      </c>
      <c r="Y26" s="8">
        <f>SUMIFS('compens8-Import'!$H$4:$H$1002,'compens8-Import'!$M$4:$M$1002,$B26,'compens8-Import'!$E$4:$E$1002,Y$1)</f>
        <v>0</v>
      </c>
      <c r="Z26" s="8">
        <f>SUMIFS('compens8-Import'!$H$4:$H$1002,'compens8-Import'!$M$4:$M$1002,$B26,'compens8-Import'!$E$4:$E$1002,Z$1)</f>
        <v>2048</v>
      </c>
      <c r="AA26" s="8">
        <f>SUMIFS('compens8-Import'!$H$4:$H$1002,'compens8-Import'!$M$4:$M$1002,$B26,'compens8-Import'!$E$4:$E$1002,AA$1)</f>
        <v>0</v>
      </c>
      <c r="AB26" s="8">
        <f>SUMIFS('compens8-Import'!$H$4:$H$1002,'compens8-Import'!$M$4:$M$1002,$B26,'compens8-Import'!$E$4:$E$1002,AB$1)</f>
        <v>0</v>
      </c>
      <c r="AC26" s="8">
        <f>SUMIFS('compens8-Import'!$H$4:$H$1002,'compens8-Import'!$M$4:$M$1002,$B26,'compens8-Import'!$E$4:$E$1002,AC$1)</f>
        <v>0</v>
      </c>
      <c r="AD26" s="8">
        <f>SUMIFS('compens8-Import'!$H$4:$H$1002,'compens8-Import'!$M$4:$M$1002,$B26,'compens8-Import'!$E$4:$E$1002,AD$1)</f>
        <v>0</v>
      </c>
      <c r="AE26" s="8">
        <f>SUMIFS('compens8-Import'!$H$4:$H$1002,'compens8-Import'!$M$4:$M$1002,$B26,'compens8-Import'!$E$4:$E$1002,AE$1)</f>
        <v>2763</v>
      </c>
      <c r="AF26" s="8">
        <f>SUMIFS('compens8-Import'!$H$4:$H$1002,'compens8-Import'!$M$4:$M$1002,$B26,'compens8-Import'!$E$4:$E$1002,AF$1)</f>
        <v>0</v>
      </c>
      <c r="AG26" s="8">
        <f>SUMIFS('compens8-Import'!$H$4:$H$1002,'compens8-Import'!$M$4:$M$1002,$B26,'compens8-Import'!$E$4:$E$1002,AG$1)</f>
        <v>0</v>
      </c>
      <c r="AH26" s="8">
        <f>SUMIFS('compens8-Import'!$H$4:$H$1002,'compens8-Import'!$M$4:$M$1002,$B26,'compens8-Import'!$E$4:$E$1002,AH$1)</f>
        <v>0</v>
      </c>
      <c r="AI26" s="8">
        <f>SUMIFS('compens8-Import'!$H$4:$H$1002,'compens8-Import'!$M$4:$M$1002,$B26,'compens8-Import'!$E$4:$E$1002,AI$1)</f>
        <v>10366</v>
      </c>
      <c r="AJ26" s="8">
        <f>SUMIFS('compens8-Import'!$H$4:$H$1002,'compens8-Import'!$M$4:$M$1002,$B26,'compens8-Import'!$E$4:$E$1002,AJ$1)</f>
        <v>583</v>
      </c>
      <c r="AK26" s="8">
        <f>SUMIFS('compens8-Import'!$H$4:$H$1002,'compens8-Import'!$M$4:$M$1002,$B26,'compens8-Import'!$E$4:$E$1002,AK$1)</f>
        <v>32613</v>
      </c>
      <c r="AL26" s="8">
        <f>SUMIFS('compens8-Import'!$H$4:$H$1002,'compens8-Import'!$M$4:$M$1002,$B26,'compens8-Import'!$E$4:$E$1002,AL$1)</f>
        <v>2523</v>
      </c>
      <c r="AM26" s="8">
        <f>SUMIFS('compens8-Import'!$H$4:$H$1002,'compens8-Import'!$M$4:$M$1002,$B26,'compens8-Import'!$E$4:$E$1002,AM$1)</f>
        <v>0</v>
      </c>
      <c r="AN26" s="8">
        <f>SUMIFS('compens8-Import'!$H$4:$H$1002,'compens8-Import'!$M$4:$M$1002,$B26,'compens8-Import'!$E$4:$E$1002,AN$1)</f>
        <v>0</v>
      </c>
      <c r="AO26" s="8">
        <f>SUMIFS('compens8-Import'!$H$4:$H$1002,'compens8-Import'!$M$4:$M$1002,$B26,'compens8-Import'!$E$4:$E$1002,AO$1)</f>
        <v>0</v>
      </c>
      <c r="AP26" s="8">
        <f>SUMIFS('compens8-Import'!$H$4:$H$1002,'compens8-Import'!$M$4:$M$1002,$B26,'compens8-Import'!$E$4:$E$1002,AP$1)</f>
        <v>28363</v>
      </c>
      <c r="AQ26" s="8">
        <f>SUMIFS('compens8-Import'!$H$4:$H$1002,'compens8-Import'!$M$4:$M$1002,$B26,'compens8-Import'!$E$4:$E$1002,AQ$1)</f>
        <v>0</v>
      </c>
      <c r="AR26" s="8">
        <f>SUMIFS('compens8-Import'!$H$4:$H$1002,'compens8-Import'!$M$4:$M$1002,$B26,'compens8-Import'!$E$4:$E$1002,AR$1)</f>
        <v>1984</v>
      </c>
      <c r="AS26" s="8">
        <f>SUMIFS('compens8-Import'!$H$4:$H$1002,'compens8-Import'!$M$4:$M$1002,$B26,'compens8-Import'!$E$4:$E$1002,AS$1)</f>
        <v>0</v>
      </c>
      <c r="AT26" s="8">
        <f>SUMIFS('compens8-Import'!$H$4:$H$1002,'compens8-Import'!$M$4:$M$1002,$B26,'compens8-Import'!$E$4:$E$1002,AT$1)</f>
        <v>0</v>
      </c>
      <c r="AU26" s="8">
        <f>SUMIFS('compens8-Import'!$H$4:$H$1002,'compens8-Import'!$M$4:$M$1002,$B26,'compens8-Import'!$E$4:$E$1002,AU$1)</f>
        <v>0</v>
      </c>
      <c r="AV26" s="8">
        <f>SUMIFS('compens8-Import'!$H$4:$H$1002,'compens8-Import'!$M$4:$M$1002,$B26,'compens8-Import'!$E$4:$E$1002,AV$1)</f>
        <v>0</v>
      </c>
      <c r="AW26" s="8">
        <f>SUMIFS('compens8-Import'!$H$4:$H$1002,'compens8-Import'!$M$4:$M$1002,$B26,'compens8-Import'!$E$4:$E$1002,AW$1)</f>
        <v>0</v>
      </c>
      <c r="AX26" s="8">
        <f>SUMIFS('compens8-Import'!$H$4:$H$1002,'compens8-Import'!$M$4:$M$1002,$B26,'compens8-Import'!$E$4:$E$1002,AX$1)</f>
        <v>0</v>
      </c>
      <c r="AY26" s="8">
        <f>SUMIFS('compens8-Import'!$H$4:$H$1002,'compens8-Import'!$M$4:$M$1002,$B26,'compens8-Import'!$E$4:$E$1002,AY$1)</f>
        <v>0</v>
      </c>
      <c r="AZ26" s="8">
        <f>SUMIFS('compens8-Import'!$H$4:$H$1002,'compens8-Import'!$M$4:$M$1002,$B26,'compens8-Import'!$E$4:$E$1002,AZ$1)</f>
        <v>0</v>
      </c>
      <c r="BA26" s="8">
        <f>SUMIFS('compens8-Import'!$H$4:$H$1002,'compens8-Import'!$M$4:$M$1002,$B26,'compens8-Import'!$E$4:$E$1002,BA$1)</f>
        <v>34348</v>
      </c>
      <c r="BB26" s="8">
        <f>SUMIFS('compens8-Import'!$H$4:$H$1002,'compens8-Import'!$M$4:$M$1002,$B26,'compens8-Import'!$E$4:$E$1002,BB$1)</f>
        <v>0</v>
      </c>
      <c r="BC26" s="8">
        <f>SUMIFS('compens8-Import'!$H$4:$H$1002,'compens8-Import'!$M$4:$M$1002,$B26,'compens8-Import'!$E$4:$E$1002,BC$1)</f>
        <v>0</v>
      </c>
      <c r="BD26" s="8">
        <f>SUMIFS('compens8-Import'!$H$4:$H$1002,'compens8-Import'!$M$4:$M$1002,$B26,'compens8-Import'!$E$4:$E$1002,BD$1)</f>
        <v>0</v>
      </c>
      <c r="BE26" s="8">
        <f>SUMIFS('compens8-Import'!$H$4:$H$1002,'compens8-Import'!$M$4:$M$1002,$B26,'compens8-Import'!$E$4:$E$1002,BE$1)</f>
        <v>0</v>
      </c>
      <c r="BF26" s="8">
        <f>SUMIFS('compens8-Import'!$H$4:$H$1002,'compens8-Import'!$M$4:$M$1002,$B26,'compens8-Import'!$E$4:$E$1002,BF$1)</f>
        <v>2578</v>
      </c>
      <c r="BG26" s="8">
        <f>SUMIFS('compens8-Import'!$H$4:$H$1002,'compens8-Import'!$M$4:$M$1002,$B26,'compens8-Import'!$E$4:$E$1002,BG$1)</f>
        <v>0</v>
      </c>
      <c r="BH26" s="8">
        <f>SUMIFS('compens8-Import'!$H$4:$H$1002,'compens8-Import'!$M$4:$M$1002,$B26,'compens8-Import'!$E$4:$E$1002,BH$1)</f>
        <v>0</v>
      </c>
      <c r="BI26" s="8">
        <f>SUMIFS('compens8-Import'!$H$4:$H$1002,'compens8-Import'!$M$4:$M$1002,$B26,'compens8-Import'!$E$4:$E$1002,BI$1)</f>
        <v>6050</v>
      </c>
      <c r="BJ26" s="8">
        <f>SUMIFS('compens8-Import'!$H$4:$H$1002,'compens8-Import'!$M$4:$M$1002,$B26,'compens8-Import'!$E$4:$E$1002,BJ$1)</f>
        <v>0</v>
      </c>
      <c r="BK26" s="8">
        <f>SUMIFS('compens8-Import'!$H$4:$H$1002,'compens8-Import'!$M$4:$M$1002,$B26,'compens8-Import'!$E$4:$E$1002,BK$1)</f>
        <v>0</v>
      </c>
      <c r="BL26" s="8">
        <f>SUMIFS('compens8-Import'!$H$4:$H$1002,'compens8-Import'!$M$4:$M$1002,$B26,'compens8-Import'!$E$4:$E$1002,BL$1)</f>
        <v>10060</v>
      </c>
      <c r="BM26" s="8">
        <f>SUMIFS('compens8-Import'!$H$4:$H$1002,'compens8-Import'!$M$4:$M$1002,$B26,'compens8-Import'!$E$4:$E$1002,BM$1)</f>
        <v>1560</v>
      </c>
      <c r="BN26" s="8">
        <f>SUMIFS('compens8-Import'!$H$4:$H$1002,'compens8-Import'!$M$4:$M$1002,$B26,'compens8-Import'!$E$4:$E$1002,BN$1)</f>
        <v>1153</v>
      </c>
      <c r="BO26" s="8">
        <f>SUMIFS('compens8-Import'!$H$4:$H$1002,'compens8-Import'!$M$4:$M$1002,$B26,'compens8-Import'!$E$4:$E$1002,BO$1)</f>
        <v>0</v>
      </c>
      <c r="BP26" s="8">
        <f>SUMIFS('compens8-Import'!$H$4:$H$1002,'compens8-Import'!$M$4:$M$1002,$B26,'compens8-Import'!$E$4:$E$1002,BP$1)</f>
        <v>0</v>
      </c>
      <c r="BQ26" s="8">
        <f>SUMIFS('compens8-Import'!$H$4:$H$1002,'compens8-Import'!$M$4:$M$1002,$B26,'compens8-Import'!$E$4:$E$1002,BQ$1)</f>
        <v>10464</v>
      </c>
      <c r="BR26" s="8">
        <f>SUMIFS('compens8-Import'!$H$4:$H$1002,'compens8-Import'!$M$4:$M$1002,$B26,'compens8-Import'!$E$4:$E$1002,BR$1)</f>
        <v>540</v>
      </c>
      <c r="BS26" s="8">
        <f>SUMIFS('compens8-Import'!$H$4:$H$1002,'compens8-Import'!$M$4:$M$1002,$B26,'compens8-Import'!$E$4:$E$1002,BS$1)</f>
        <v>558</v>
      </c>
      <c r="BT26" s="8">
        <f>SUMIFS('compens8-Import'!$H$4:$H$1002,'compens8-Import'!$M$4:$M$1002,$B26,'compens8-Import'!$E$4:$E$1002,BT$1)</f>
        <v>0</v>
      </c>
      <c r="BU26" s="8">
        <f>SUMIFS('compens8-Import'!$H$4:$H$1002,'compens8-Import'!$M$4:$M$1002,$B26,'compens8-Import'!$E$4:$E$1002,BU$1)</f>
        <v>0</v>
      </c>
      <c r="BV26" s="8">
        <f>SUMIFS('compens8-Import'!$H$4:$H$1002,'compens8-Import'!$M$4:$M$1002,$B26,'compens8-Import'!$E$4:$E$1002,BV$1)</f>
        <v>462</v>
      </c>
      <c r="BW26" s="8">
        <f>SUMIFS('compens8-Import'!$H$4:$H$1002,'compens8-Import'!$M$4:$M$1002,$B26,'compens8-Import'!$E$4:$E$1002,BW$1)</f>
        <v>0</v>
      </c>
      <c r="BX26" s="8">
        <f>SUMIFS('compens8-Import'!$H$4:$H$1002,'compens8-Import'!$M$4:$M$1002,$B26,'compens8-Import'!$E$4:$E$1002,BX$1)</f>
        <v>0</v>
      </c>
      <c r="BY26" s="8">
        <f>SUMIFS('compens8-Import'!$H$4:$H$1002,'compens8-Import'!$M$4:$M$1002,$B26,'compens8-Import'!$E$4:$E$1002,BY$1)</f>
        <v>0</v>
      </c>
      <c r="BZ26" s="8">
        <f>SUMIFS('compens8-Import'!$H$4:$H$1002,'compens8-Import'!$M$4:$M$1002,$B26,'compens8-Import'!$E$4:$E$1002,BZ$1)</f>
        <v>0</v>
      </c>
      <c r="CA26" s="8">
        <f>SUMIFS('compens8-Import'!$H$4:$H$1002,'compens8-Import'!$M$4:$M$1002,$B26,'compens8-Import'!$E$4:$E$1002,CA$1)</f>
        <v>0</v>
      </c>
      <c r="CB26" s="8">
        <f>SUMIFS('compens8-Import'!$H$4:$H$1002,'compens8-Import'!$M$4:$M$1002,$B26,'compens8-Import'!$E$4:$E$1002,CB$1)</f>
        <v>0</v>
      </c>
      <c r="CC26" s="8">
        <f>SUMIFS('compens8-Import'!$H$4:$H$1002,'compens8-Import'!$M$4:$M$1002,$B26,'compens8-Import'!$E$4:$E$1002,CC$1)</f>
        <v>0</v>
      </c>
      <c r="CD26" s="8">
        <f>SUMIFS('compens8-Import'!$H$4:$H$1002,'compens8-Import'!$M$4:$M$1002,$B26,'compens8-Import'!$E$4:$E$1002,CD$1)</f>
        <v>1231</v>
      </c>
      <c r="CE26" s="8">
        <f>SUMIFS('compens8-Import'!$H$4:$H$1002,'compens8-Import'!$M$4:$M$1002,$B26,'compens8-Import'!$E$4:$E$1002,CE$1)</f>
        <v>0</v>
      </c>
      <c r="CF26" s="8">
        <f>SUMIFS('compens8-Import'!$H$4:$H$1002,'compens8-Import'!$M$4:$M$1002,$B26,'compens8-Import'!$E$4:$E$1002,CF$1)</f>
        <v>0</v>
      </c>
      <c r="CG26" s="8">
        <f>SUMIFS('compens8-Import'!$H$4:$H$1002,'compens8-Import'!$M$4:$M$1002,$B26,'compens8-Import'!$E$4:$E$1002,CG$1)</f>
        <v>0</v>
      </c>
      <c r="CH26" s="8">
        <f>SUMIFS('compens8-Import'!$H$4:$H$1002,'compens8-Import'!$M$4:$M$1002,$B26,'compens8-Import'!$E$4:$E$1002,CH$1)</f>
        <v>0</v>
      </c>
      <c r="CI26" s="8">
        <f>SUMIFS('compens8-Import'!$H$4:$H$1002,'compens8-Import'!$M$4:$M$1002,$B26,'compens8-Import'!$E$4:$E$1002,CI$1)</f>
        <v>0</v>
      </c>
      <c r="CJ26" s="8">
        <f>SUMIFS('compens8-Import'!$H$4:$H$1002,'compens8-Import'!$M$4:$M$1002,$B26,'compens8-Import'!$E$4:$E$1002,CJ$1)</f>
        <v>0</v>
      </c>
      <c r="CK26" s="8">
        <f>SUMIFS('compens8-Import'!$H$4:$H$1002,'compens8-Import'!$M$4:$M$1002,$B26,'compens8-Import'!$E$4:$E$1002,CK$1)</f>
        <v>0</v>
      </c>
      <c r="CL26" s="8">
        <f>SUMIFS('compens8-Import'!$H$4:$H$1002,'compens8-Import'!$M$4:$M$1002,$B26,'compens8-Import'!$E$4:$E$1002,CL$1)</f>
        <v>0</v>
      </c>
      <c r="CM26" s="8">
        <f>SUMIFS('compens8-Import'!$H$4:$H$1002,'compens8-Import'!$M$4:$M$1002,$B26,'compens8-Import'!$E$4:$E$1002,CM$1)</f>
        <v>0</v>
      </c>
      <c r="CN26" s="8">
        <f>SUMIFS('compens8-Import'!$H$4:$H$1002,'compens8-Import'!$M$4:$M$1002,$B26,'compens8-Import'!$E$4:$E$1002,CN$1)</f>
        <v>0</v>
      </c>
    </row>
    <row r="27" spans="1:92" x14ac:dyDescent="0.25">
      <c r="A27" s="2" t="s">
        <v>100</v>
      </c>
      <c r="B27" s="2" t="str">
        <f>_xlfn.XLOOKUP(A27,'Correspondances pays'!$A$4:$A$200,'Correspondances pays'!$B$4:$B$200)</f>
        <v>Sweden</v>
      </c>
      <c r="C27" s="44">
        <f>AutoConsommation!F26</f>
        <v>297823</v>
      </c>
      <c r="D27" s="8">
        <f t="shared" si="0"/>
        <v>297823</v>
      </c>
      <c r="E27" s="8">
        <f>SUMIFS('compens8-Import'!$H$4:$H$1002,'compens8-Import'!$M$4:$M$1002,$B27,'compens8-Import'!$E$4:$E$1002,E$1)</f>
        <v>0</v>
      </c>
      <c r="F27" s="8">
        <f>SUMIFS('compens8-Import'!$H$4:$H$1002,'compens8-Import'!$M$4:$M$1002,$B27,'compens8-Import'!$E$4:$E$1002,F$1)</f>
        <v>0</v>
      </c>
      <c r="G27" s="8">
        <f>SUMIFS('compens8-Import'!$H$4:$H$1002,'compens8-Import'!$M$4:$M$1002,$B27,'compens8-Import'!$E$4:$E$1002,G$1)</f>
        <v>0</v>
      </c>
      <c r="H27" s="8">
        <f>SUMIFS('compens8-Import'!$H$4:$H$1002,'compens8-Import'!$M$4:$M$1002,$B27,'compens8-Import'!$E$4:$E$1002,H$1)</f>
        <v>0</v>
      </c>
      <c r="I27" s="8">
        <f>SUMIFS('compens8-Import'!$H$4:$H$1002,'compens8-Import'!$M$4:$M$1002,$B27,'compens8-Import'!$E$4:$E$1002,I$1)</f>
        <v>0</v>
      </c>
      <c r="J27" s="8">
        <f>SUMIFS('compens8-Import'!$H$4:$H$1002,'compens8-Import'!$M$4:$M$1002,$B27,'compens8-Import'!$E$4:$E$1002,J$1)</f>
        <v>603</v>
      </c>
      <c r="K27" s="8">
        <f>SUMIFS('compens8-Import'!$H$4:$H$1002,'compens8-Import'!$M$4:$M$1002,$B27,'compens8-Import'!$E$4:$E$1002,K$1)</f>
        <v>0</v>
      </c>
      <c r="L27" s="8">
        <f>SUMIFS('compens8-Import'!$H$4:$H$1002,'compens8-Import'!$M$4:$M$1002,$B27,'compens8-Import'!$E$4:$E$1002,L$1)</f>
        <v>0</v>
      </c>
      <c r="M27" s="8">
        <f>SUMIFS('compens8-Import'!$H$4:$H$1002,'compens8-Import'!$M$4:$M$1002,$B27,'compens8-Import'!$E$4:$E$1002,M$1)</f>
        <v>0</v>
      </c>
      <c r="N27" s="8">
        <f>SUMIFS('compens8-Import'!$H$4:$H$1002,'compens8-Import'!$M$4:$M$1002,$B27,'compens8-Import'!$E$4:$E$1002,N$1)</f>
        <v>0</v>
      </c>
      <c r="O27" s="8">
        <f>SUMIFS('compens8-Import'!$H$4:$H$1002,'compens8-Import'!$M$4:$M$1002,$B27,'compens8-Import'!$E$4:$E$1002,O$1)</f>
        <v>4</v>
      </c>
      <c r="P27" s="8">
        <f>SUMIFS('compens8-Import'!$H$4:$H$1002,'compens8-Import'!$M$4:$M$1002,$B27,'compens8-Import'!$E$4:$E$1002,P$1)</f>
        <v>0</v>
      </c>
      <c r="Q27" s="8">
        <f>SUMIFS('compens8-Import'!$H$4:$H$1002,'compens8-Import'!$M$4:$M$1002,$B27,'compens8-Import'!$E$4:$E$1002,Q$1)</f>
        <v>0</v>
      </c>
      <c r="R27" s="8">
        <f>SUMIFS('compens8-Import'!$H$4:$H$1002,'compens8-Import'!$M$4:$M$1002,$B27,'compens8-Import'!$E$4:$E$1002,R$1)</f>
        <v>0</v>
      </c>
      <c r="S27" s="8">
        <f>SUMIFS('compens8-Import'!$H$4:$H$1002,'compens8-Import'!$M$4:$M$1002,$B27,'compens8-Import'!$E$4:$E$1002,S$1)</f>
        <v>0</v>
      </c>
      <c r="T27" s="8">
        <f>SUMIFS('compens8-Import'!$H$4:$H$1002,'compens8-Import'!$M$4:$M$1002,$B27,'compens8-Import'!$E$4:$E$1002,T$1)</f>
        <v>0</v>
      </c>
      <c r="U27" s="8">
        <f>SUMIFS('compens8-Import'!$H$4:$H$1002,'compens8-Import'!$M$4:$M$1002,$B27,'compens8-Import'!$E$4:$E$1002,U$1)</f>
        <v>0</v>
      </c>
      <c r="V27" s="8">
        <f>SUMIFS('compens8-Import'!$H$4:$H$1002,'compens8-Import'!$M$4:$M$1002,$B27,'compens8-Import'!$E$4:$E$1002,V$1)</f>
        <v>11</v>
      </c>
      <c r="W27" s="8">
        <f>SUMIFS('compens8-Import'!$H$4:$H$1002,'compens8-Import'!$M$4:$M$1002,$B27,'compens8-Import'!$E$4:$E$1002,W$1)</f>
        <v>0</v>
      </c>
      <c r="X27" s="8">
        <f>SUMIFS('compens8-Import'!$H$4:$H$1002,'compens8-Import'!$M$4:$M$1002,$B27,'compens8-Import'!$E$4:$E$1002,X$1)</f>
        <v>315</v>
      </c>
      <c r="Y27" s="8">
        <f>SUMIFS('compens8-Import'!$H$4:$H$1002,'compens8-Import'!$M$4:$M$1002,$B27,'compens8-Import'!$E$4:$E$1002,Y$1)</f>
        <v>35</v>
      </c>
      <c r="Z27" s="8">
        <f>SUMIFS('compens8-Import'!$H$4:$H$1002,'compens8-Import'!$M$4:$M$1002,$B27,'compens8-Import'!$E$4:$E$1002,Z$1)</f>
        <v>0</v>
      </c>
      <c r="AA27" s="8">
        <f>SUMIFS('compens8-Import'!$H$4:$H$1002,'compens8-Import'!$M$4:$M$1002,$B27,'compens8-Import'!$E$4:$E$1002,AA$1)</f>
        <v>678</v>
      </c>
      <c r="AB27" s="8">
        <f>SUMIFS('compens8-Import'!$H$4:$H$1002,'compens8-Import'!$M$4:$M$1002,$B27,'compens8-Import'!$E$4:$E$1002,AB$1)</f>
        <v>9664</v>
      </c>
      <c r="AC27" s="8">
        <f>SUMIFS('compens8-Import'!$H$4:$H$1002,'compens8-Import'!$M$4:$M$1002,$B27,'compens8-Import'!$E$4:$E$1002,AC$1)</f>
        <v>131</v>
      </c>
      <c r="AD27" s="8">
        <f>SUMIFS('compens8-Import'!$H$4:$H$1002,'compens8-Import'!$M$4:$M$1002,$B27,'compens8-Import'!$E$4:$E$1002,AD$1)</f>
        <v>0</v>
      </c>
      <c r="AE27" s="8">
        <f>SUMIFS('compens8-Import'!$H$4:$H$1002,'compens8-Import'!$M$4:$M$1002,$B27,'compens8-Import'!$E$4:$E$1002,AE$1)</f>
        <v>4548</v>
      </c>
      <c r="AF27" s="8">
        <f>SUMIFS('compens8-Import'!$H$4:$H$1002,'compens8-Import'!$M$4:$M$1002,$B27,'compens8-Import'!$E$4:$E$1002,AF$1)</f>
        <v>0</v>
      </c>
      <c r="AG27" s="8">
        <f>SUMIFS('compens8-Import'!$H$4:$H$1002,'compens8-Import'!$M$4:$M$1002,$B27,'compens8-Import'!$E$4:$E$1002,AG$1)</f>
        <v>0</v>
      </c>
      <c r="AH27" s="8">
        <f>SUMIFS('compens8-Import'!$H$4:$H$1002,'compens8-Import'!$M$4:$M$1002,$B27,'compens8-Import'!$E$4:$E$1002,AH$1)</f>
        <v>4</v>
      </c>
      <c r="AI27" s="8">
        <f>SUMIFS('compens8-Import'!$H$4:$H$1002,'compens8-Import'!$M$4:$M$1002,$B27,'compens8-Import'!$E$4:$E$1002,AI$1)</f>
        <v>0</v>
      </c>
      <c r="AJ27" s="8">
        <f>SUMIFS('compens8-Import'!$H$4:$H$1002,'compens8-Import'!$M$4:$M$1002,$B27,'compens8-Import'!$E$4:$E$1002,AJ$1)</f>
        <v>801</v>
      </c>
      <c r="AK27" s="8">
        <f>SUMIFS('compens8-Import'!$H$4:$H$1002,'compens8-Import'!$M$4:$M$1002,$B27,'compens8-Import'!$E$4:$E$1002,AK$1)</f>
        <v>0</v>
      </c>
      <c r="AL27" s="8">
        <f>SUMIFS('compens8-Import'!$H$4:$H$1002,'compens8-Import'!$M$4:$M$1002,$B27,'compens8-Import'!$E$4:$E$1002,AL$1)</f>
        <v>0</v>
      </c>
      <c r="AM27" s="8">
        <f>SUMIFS('compens8-Import'!$H$4:$H$1002,'compens8-Import'!$M$4:$M$1002,$B27,'compens8-Import'!$E$4:$E$1002,AM$1)</f>
        <v>0</v>
      </c>
      <c r="AN27" s="8">
        <f>SUMIFS('compens8-Import'!$H$4:$H$1002,'compens8-Import'!$M$4:$M$1002,$B27,'compens8-Import'!$E$4:$E$1002,AN$1)</f>
        <v>0</v>
      </c>
      <c r="AO27" s="8">
        <f>SUMIFS('compens8-Import'!$H$4:$H$1002,'compens8-Import'!$M$4:$M$1002,$B27,'compens8-Import'!$E$4:$E$1002,AO$1)</f>
        <v>0</v>
      </c>
      <c r="AP27" s="8">
        <f>SUMIFS('compens8-Import'!$H$4:$H$1002,'compens8-Import'!$M$4:$M$1002,$B27,'compens8-Import'!$E$4:$E$1002,AP$1)</f>
        <v>1072</v>
      </c>
      <c r="AQ27" s="8">
        <f>SUMIFS('compens8-Import'!$H$4:$H$1002,'compens8-Import'!$M$4:$M$1002,$B27,'compens8-Import'!$E$4:$E$1002,AQ$1)</f>
        <v>0</v>
      </c>
      <c r="AR27" s="8">
        <f>SUMIFS('compens8-Import'!$H$4:$H$1002,'compens8-Import'!$M$4:$M$1002,$B27,'compens8-Import'!$E$4:$E$1002,AR$1)</f>
        <v>6184</v>
      </c>
      <c r="AS27" s="8">
        <f>SUMIFS('compens8-Import'!$H$4:$H$1002,'compens8-Import'!$M$4:$M$1002,$B27,'compens8-Import'!$E$4:$E$1002,AS$1)</f>
        <v>0</v>
      </c>
      <c r="AT27" s="8">
        <f>SUMIFS('compens8-Import'!$H$4:$H$1002,'compens8-Import'!$M$4:$M$1002,$B27,'compens8-Import'!$E$4:$E$1002,AT$1)</f>
        <v>0</v>
      </c>
      <c r="AU27" s="8">
        <f>SUMIFS('compens8-Import'!$H$4:$H$1002,'compens8-Import'!$M$4:$M$1002,$B27,'compens8-Import'!$E$4:$E$1002,AU$1)</f>
        <v>97</v>
      </c>
      <c r="AV27" s="8">
        <f>SUMIFS('compens8-Import'!$H$4:$H$1002,'compens8-Import'!$M$4:$M$1002,$B27,'compens8-Import'!$E$4:$E$1002,AV$1)</f>
        <v>3253</v>
      </c>
      <c r="AW27" s="8">
        <f>SUMIFS('compens8-Import'!$H$4:$H$1002,'compens8-Import'!$M$4:$M$1002,$B27,'compens8-Import'!$E$4:$E$1002,AW$1)</f>
        <v>0</v>
      </c>
      <c r="AX27" s="8">
        <f>SUMIFS('compens8-Import'!$H$4:$H$1002,'compens8-Import'!$M$4:$M$1002,$B27,'compens8-Import'!$E$4:$E$1002,AX$1)</f>
        <v>0</v>
      </c>
      <c r="AY27" s="8">
        <f>SUMIFS('compens8-Import'!$H$4:$H$1002,'compens8-Import'!$M$4:$M$1002,$B27,'compens8-Import'!$E$4:$E$1002,AY$1)</f>
        <v>0</v>
      </c>
      <c r="AZ27" s="8">
        <f>SUMIFS('compens8-Import'!$H$4:$H$1002,'compens8-Import'!$M$4:$M$1002,$B27,'compens8-Import'!$E$4:$E$1002,AZ$1)</f>
        <v>0</v>
      </c>
      <c r="BA27" s="8">
        <f>SUMIFS('compens8-Import'!$H$4:$H$1002,'compens8-Import'!$M$4:$M$1002,$B27,'compens8-Import'!$E$4:$E$1002,BA$1)</f>
        <v>0</v>
      </c>
      <c r="BB27" s="8">
        <f>SUMIFS('compens8-Import'!$H$4:$H$1002,'compens8-Import'!$M$4:$M$1002,$B27,'compens8-Import'!$E$4:$E$1002,BB$1)</f>
        <v>0</v>
      </c>
      <c r="BC27" s="8">
        <f>SUMIFS('compens8-Import'!$H$4:$H$1002,'compens8-Import'!$M$4:$M$1002,$B27,'compens8-Import'!$E$4:$E$1002,BC$1)</f>
        <v>12435</v>
      </c>
      <c r="BD27" s="8">
        <f>SUMIFS('compens8-Import'!$H$4:$H$1002,'compens8-Import'!$M$4:$M$1002,$B27,'compens8-Import'!$E$4:$E$1002,BD$1)</f>
        <v>0</v>
      </c>
      <c r="BE27" s="8">
        <f>SUMIFS('compens8-Import'!$H$4:$H$1002,'compens8-Import'!$M$4:$M$1002,$B27,'compens8-Import'!$E$4:$E$1002,BE$1)</f>
        <v>0</v>
      </c>
      <c r="BF27" s="8">
        <f>SUMIFS('compens8-Import'!$H$4:$H$1002,'compens8-Import'!$M$4:$M$1002,$B27,'compens8-Import'!$E$4:$E$1002,BF$1)</f>
        <v>233202</v>
      </c>
      <c r="BG27" s="8">
        <f>SUMIFS('compens8-Import'!$H$4:$H$1002,'compens8-Import'!$M$4:$M$1002,$B27,'compens8-Import'!$E$4:$E$1002,BG$1)</f>
        <v>0</v>
      </c>
      <c r="BH27" s="8">
        <f>SUMIFS('compens8-Import'!$H$4:$H$1002,'compens8-Import'!$M$4:$M$1002,$B27,'compens8-Import'!$E$4:$E$1002,BH$1)</f>
        <v>0</v>
      </c>
      <c r="BI27" s="8">
        <f>SUMIFS('compens8-Import'!$H$4:$H$1002,'compens8-Import'!$M$4:$M$1002,$B27,'compens8-Import'!$E$4:$E$1002,BI$1)</f>
        <v>545</v>
      </c>
      <c r="BJ27" s="8">
        <f>SUMIFS('compens8-Import'!$H$4:$H$1002,'compens8-Import'!$M$4:$M$1002,$B27,'compens8-Import'!$E$4:$E$1002,BJ$1)</f>
        <v>0</v>
      </c>
      <c r="BK27" s="8">
        <f>SUMIFS('compens8-Import'!$H$4:$H$1002,'compens8-Import'!$M$4:$M$1002,$B27,'compens8-Import'!$E$4:$E$1002,BK$1)</f>
        <v>0</v>
      </c>
      <c r="BL27" s="8">
        <f>SUMIFS('compens8-Import'!$H$4:$H$1002,'compens8-Import'!$M$4:$M$1002,$B27,'compens8-Import'!$E$4:$E$1002,BL$1)</f>
        <v>0</v>
      </c>
      <c r="BM27" s="8">
        <f>SUMIFS('compens8-Import'!$H$4:$H$1002,'compens8-Import'!$M$4:$M$1002,$B27,'compens8-Import'!$E$4:$E$1002,BM$1)</f>
        <v>21363</v>
      </c>
      <c r="BN27" s="8">
        <f>SUMIFS('compens8-Import'!$H$4:$H$1002,'compens8-Import'!$M$4:$M$1002,$B27,'compens8-Import'!$E$4:$E$1002,BN$1)</f>
        <v>0</v>
      </c>
      <c r="BO27" s="8">
        <f>SUMIFS('compens8-Import'!$H$4:$H$1002,'compens8-Import'!$M$4:$M$1002,$B27,'compens8-Import'!$E$4:$E$1002,BO$1)</f>
        <v>0</v>
      </c>
      <c r="BP27" s="8">
        <f>SUMIFS('compens8-Import'!$H$4:$H$1002,'compens8-Import'!$M$4:$M$1002,$B27,'compens8-Import'!$E$4:$E$1002,BP$1)</f>
        <v>0</v>
      </c>
      <c r="BQ27" s="8">
        <f>SUMIFS('compens8-Import'!$H$4:$H$1002,'compens8-Import'!$M$4:$M$1002,$B27,'compens8-Import'!$E$4:$E$1002,BQ$1)</f>
        <v>0</v>
      </c>
      <c r="BR27" s="8">
        <f>SUMIFS('compens8-Import'!$H$4:$H$1002,'compens8-Import'!$M$4:$M$1002,$B27,'compens8-Import'!$E$4:$E$1002,BR$1)</f>
        <v>23</v>
      </c>
      <c r="BS27" s="8">
        <f>SUMIFS('compens8-Import'!$H$4:$H$1002,'compens8-Import'!$M$4:$M$1002,$B27,'compens8-Import'!$E$4:$E$1002,BS$1)</f>
        <v>0</v>
      </c>
      <c r="BT27" s="8">
        <f>SUMIFS('compens8-Import'!$H$4:$H$1002,'compens8-Import'!$M$4:$M$1002,$B27,'compens8-Import'!$E$4:$E$1002,BT$1)</f>
        <v>56</v>
      </c>
      <c r="BU27" s="8">
        <f>SUMIFS('compens8-Import'!$H$4:$H$1002,'compens8-Import'!$M$4:$M$1002,$B27,'compens8-Import'!$E$4:$E$1002,BU$1)</f>
        <v>0</v>
      </c>
      <c r="BV27" s="8">
        <f>SUMIFS('compens8-Import'!$H$4:$H$1002,'compens8-Import'!$M$4:$M$1002,$B27,'compens8-Import'!$E$4:$E$1002,BV$1)</f>
        <v>0</v>
      </c>
      <c r="BW27" s="8">
        <f>SUMIFS('compens8-Import'!$H$4:$H$1002,'compens8-Import'!$M$4:$M$1002,$B27,'compens8-Import'!$E$4:$E$1002,BW$1)</f>
        <v>0</v>
      </c>
      <c r="BX27" s="8">
        <f>SUMIFS('compens8-Import'!$H$4:$H$1002,'compens8-Import'!$M$4:$M$1002,$B27,'compens8-Import'!$E$4:$E$1002,BX$1)</f>
        <v>6</v>
      </c>
      <c r="BY27" s="8">
        <f>SUMIFS('compens8-Import'!$H$4:$H$1002,'compens8-Import'!$M$4:$M$1002,$B27,'compens8-Import'!$E$4:$E$1002,BY$1)</f>
        <v>0</v>
      </c>
      <c r="BZ27" s="8">
        <f>SUMIFS('compens8-Import'!$H$4:$H$1002,'compens8-Import'!$M$4:$M$1002,$B27,'compens8-Import'!$E$4:$E$1002,BZ$1)</f>
        <v>0</v>
      </c>
      <c r="CA27" s="8">
        <f>SUMIFS('compens8-Import'!$H$4:$H$1002,'compens8-Import'!$M$4:$M$1002,$B27,'compens8-Import'!$E$4:$E$1002,CA$1)</f>
        <v>0</v>
      </c>
      <c r="CB27" s="8">
        <f>SUMIFS('compens8-Import'!$H$4:$H$1002,'compens8-Import'!$M$4:$M$1002,$B27,'compens8-Import'!$E$4:$E$1002,CB$1)</f>
        <v>0</v>
      </c>
      <c r="CC27" s="8">
        <f>SUMIFS('compens8-Import'!$H$4:$H$1002,'compens8-Import'!$M$4:$M$1002,$B27,'compens8-Import'!$E$4:$E$1002,CC$1)</f>
        <v>0</v>
      </c>
      <c r="CD27" s="8">
        <f>SUMIFS('compens8-Import'!$H$4:$H$1002,'compens8-Import'!$M$4:$M$1002,$B27,'compens8-Import'!$E$4:$E$1002,CD$1)</f>
        <v>0</v>
      </c>
      <c r="CE27" s="8">
        <f>SUMIFS('compens8-Import'!$H$4:$H$1002,'compens8-Import'!$M$4:$M$1002,$B27,'compens8-Import'!$E$4:$E$1002,CE$1)</f>
        <v>2791</v>
      </c>
      <c r="CF27" s="8">
        <f>SUMIFS('compens8-Import'!$H$4:$H$1002,'compens8-Import'!$M$4:$M$1002,$B27,'compens8-Import'!$E$4:$E$1002,CF$1)</f>
        <v>2</v>
      </c>
      <c r="CG27" s="8">
        <f>SUMIFS('compens8-Import'!$H$4:$H$1002,'compens8-Import'!$M$4:$M$1002,$B27,'compens8-Import'!$E$4:$E$1002,CG$1)</f>
        <v>0</v>
      </c>
      <c r="CH27" s="8">
        <f>SUMIFS('compens8-Import'!$H$4:$H$1002,'compens8-Import'!$M$4:$M$1002,$B27,'compens8-Import'!$E$4:$E$1002,CH$1)</f>
        <v>0</v>
      </c>
      <c r="CI27" s="8">
        <f>SUMIFS('compens8-Import'!$H$4:$H$1002,'compens8-Import'!$M$4:$M$1002,$B27,'compens8-Import'!$E$4:$E$1002,CI$1)</f>
        <v>0</v>
      </c>
      <c r="CJ27" s="8">
        <f>SUMIFS('compens8-Import'!$H$4:$H$1002,'compens8-Import'!$M$4:$M$1002,$B27,'compens8-Import'!$E$4:$E$1002,CJ$1)</f>
        <v>0</v>
      </c>
      <c r="CK27" s="8">
        <f>SUMIFS('compens8-Import'!$H$4:$H$1002,'compens8-Import'!$M$4:$M$1002,$B27,'compens8-Import'!$E$4:$E$1002,CK$1)</f>
        <v>0</v>
      </c>
      <c r="CL27" s="8">
        <f>SUMIFS('compens8-Import'!$H$4:$H$1002,'compens8-Import'!$M$4:$M$1002,$B27,'compens8-Import'!$E$4:$E$1002,CL$1)</f>
        <v>0</v>
      </c>
      <c r="CM27" s="8">
        <f>SUMIFS('compens8-Import'!$H$4:$H$1002,'compens8-Import'!$M$4:$M$1002,$B27,'compens8-Import'!$E$4:$E$1002,CM$1)</f>
        <v>0</v>
      </c>
      <c r="CN27" s="8">
        <f>SUMIFS('compens8-Import'!$H$4:$H$1002,'compens8-Import'!$M$4:$M$1002,$B27,'compens8-Import'!$E$4:$E$1002,CN$1)</f>
        <v>0</v>
      </c>
    </row>
    <row r="28" spans="1:92" x14ac:dyDescent="0.25">
      <c r="A28" s="2" t="s">
        <v>107</v>
      </c>
      <c r="B28" s="2" t="str">
        <f>_xlfn.XLOOKUP(A28,'Correspondances pays'!$A$4:$A$200,'Correspondances pays'!$B$4:$B$200)</f>
        <v>Turkey</v>
      </c>
      <c r="C28" s="44">
        <f>AutoConsommation!F27</f>
        <v>1754553</v>
      </c>
      <c r="D28" s="8">
        <f t="shared" si="0"/>
        <v>1754553</v>
      </c>
      <c r="E28" s="8">
        <f>SUMIFS('compens8-Import'!$H$4:$H$1002,'compens8-Import'!$M$4:$M$1002,$B28,'compens8-Import'!$E$4:$E$1002,E$1)</f>
        <v>0</v>
      </c>
      <c r="F28" s="8">
        <f>SUMIFS('compens8-Import'!$H$4:$H$1002,'compens8-Import'!$M$4:$M$1002,$B28,'compens8-Import'!$E$4:$E$1002,F$1)</f>
        <v>0</v>
      </c>
      <c r="G28" s="8">
        <f>SUMIFS('compens8-Import'!$H$4:$H$1002,'compens8-Import'!$M$4:$M$1002,$B28,'compens8-Import'!$E$4:$E$1002,G$1)</f>
        <v>2577</v>
      </c>
      <c r="H28" s="8">
        <f>SUMIFS('compens8-Import'!$H$4:$H$1002,'compens8-Import'!$M$4:$M$1002,$B28,'compens8-Import'!$E$4:$E$1002,H$1)</f>
        <v>0</v>
      </c>
      <c r="I28" s="8">
        <f>SUMIFS('compens8-Import'!$H$4:$H$1002,'compens8-Import'!$M$4:$M$1002,$B28,'compens8-Import'!$E$4:$E$1002,I$1)</f>
        <v>0</v>
      </c>
      <c r="J28" s="8">
        <f>SUMIFS('compens8-Import'!$H$4:$H$1002,'compens8-Import'!$M$4:$M$1002,$B28,'compens8-Import'!$E$4:$E$1002,J$1)</f>
        <v>0</v>
      </c>
      <c r="K28" s="8">
        <f>SUMIFS('compens8-Import'!$H$4:$H$1002,'compens8-Import'!$M$4:$M$1002,$B28,'compens8-Import'!$E$4:$E$1002,K$1)</f>
        <v>29524</v>
      </c>
      <c r="L28" s="8">
        <f>SUMIFS('compens8-Import'!$H$4:$H$1002,'compens8-Import'!$M$4:$M$1002,$B28,'compens8-Import'!$E$4:$E$1002,L$1)</f>
        <v>130705</v>
      </c>
      <c r="M28" s="8">
        <f>SUMIFS('compens8-Import'!$H$4:$H$1002,'compens8-Import'!$M$4:$M$1002,$B28,'compens8-Import'!$E$4:$E$1002,M$1)</f>
        <v>0</v>
      </c>
      <c r="N28" s="8">
        <f>SUMIFS('compens8-Import'!$H$4:$H$1002,'compens8-Import'!$M$4:$M$1002,$B28,'compens8-Import'!$E$4:$E$1002,N$1)</f>
        <v>0</v>
      </c>
      <c r="O28" s="8">
        <f>SUMIFS('compens8-Import'!$H$4:$H$1002,'compens8-Import'!$M$4:$M$1002,$B28,'compens8-Import'!$E$4:$E$1002,O$1)</f>
        <v>0</v>
      </c>
      <c r="P28" s="8">
        <f>SUMIFS('compens8-Import'!$H$4:$H$1002,'compens8-Import'!$M$4:$M$1002,$B28,'compens8-Import'!$E$4:$E$1002,P$1)</f>
        <v>0</v>
      </c>
      <c r="Q28" s="8">
        <f>SUMIFS('compens8-Import'!$H$4:$H$1002,'compens8-Import'!$M$4:$M$1002,$B28,'compens8-Import'!$E$4:$E$1002,Q$1)</f>
        <v>0</v>
      </c>
      <c r="R28" s="8">
        <f>SUMIFS('compens8-Import'!$H$4:$H$1002,'compens8-Import'!$M$4:$M$1002,$B28,'compens8-Import'!$E$4:$E$1002,R$1)</f>
        <v>0</v>
      </c>
      <c r="S28" s="8">
        <f>SUMIFS('compens8-Import'!$H$4:$H$1002,'compens8-Import'!$M$4:$M$1002,$B28,'compens8-Import'!$E$4:$E$1002,S$1)</f>
        <v>0</v>
      </c>
      <c r="T28" s="8">
        <f>SUMIFS('compens8-Import'!$H$4:$H$1002,'compens8-Import'!$M$4:$M$1002,$B28,'compens8-Import'!$E$4:$E$1002,T$1)</f>
        <v>0</v>
      </c>
      <c r="U28" s="8">
        <f>SUMIFS('compens8-Import'!$H$4:$H$1002,'compens8-Import'!$M$4:$M$1002,$B28,'compens8-Import'!$E$4:$E$1002,U$1)</f>
        <v>3528</v>
      </c>
      <c r="V28" s="8">
        <f>SUMIFS('compens8-Import'!$H$4:$H$1002,'compens8-Import'!$M$4:$M$1002,$B28,'compens8-Import'!$E$4:$E$1002,V$1)</f>
        <v>0</v>
      </c>
      <c r="W28" s="8">
        <f>SUMIFS('compens8-Import'!$H$4:$H$1002,'compens8-Import'!$M$4:$M$1002,$B28,'compens8-Import'!$E$4:$E$1002,W$1)</f>
        <v>0</v>
      </c>
      <c r="X28" s="8">
        <f>SUMIFS('compens8-Import'!$H$4:$H$1002,'compens8-Import'!$M$4:$M$1002,$B28,'compens8-Import'!$E$4:$E$1002,X$1)</f>
        <v>0</v>
      </c>
      <c r="Y28" s="8">
        <f>SUMIFS('compens8-Import'!$H$4:$H$1002,'compens8-Import'!$M$4:$M$1002,$B28,'compens8-Import'!$E$4:$E$1002,Y$1)</f>
        <v>0</v>
      </c>
      <c r="Z28" s="8">
        <f>SUMIFS('compens8-Import'!$H$4:$H$1002,'compens8-Import'!$M$4:$M$1002,$B28,'compens8-Import'!$E$4:$E$1002,Z$1)</f>
        <v>4375</v>
      </c>
      <c r="AA28" s="8">
        <f>SUMIFS('compens8-Import'!$H$4:$H$1002,'compens8-Import'!$M$4:$M$1002,$B28,'compens8-Import'!$E$4:$E$1002,AA$1)</f>
        <v>0</v>
      </c>
      <c r="AB28" s="8">
        <f>SUMIFS('compens8-Import'!$H$4:$H$1002,'compens8-Import'!$M$4:$M$1002,$B28,'compens8-Import'!$E$4:$E$1002,AB$1)</f>
        <v>0</v>
      </c>
      <c r="AC28" s="8">
        <f>SUMIFS('compens8-Import'!$H$4:$H$1002,'compens8-Import'!$M$4:$M$1002,$B28,'compens8-Import'!$E$4:$E$1002,AC$1)</f>
        <v>0</v>
      </c>
      <c r="AD28" s="8">
        <f>SUMIFS('compens8-Import'!$H$4:$H$1002,'compens8-Import'!$M$4:$M$1002,$B28,'compens8-Import'!$E$4:$E$1002,AD$1)</f>
        <v>0</v>
      </c>
      <c r="AE28" s="8">
        <f>SUMIFS('compens8-Import'!$H$4:$H$1002,'compens8-Import'!$M$4:$M$1002,$B28,'compens8-Import'!$E$4:$E$1002,AE$1)</f>
        <v>3224</v>
      </c>
      <c r="AF28" s="8">
        <f>SUMIFS('compens8-Import'!$H$4:$H$1002,'compens8-Import'!$M$4:$M$1002,$B28,'compens8-Import'!$E$4:$E$1002,AF$1)</f>
        <v>0</v>
      </c>
      <c r="AG28" s="8">
        <f>SUMIFS('compens8-Import'!$H$4:$H$1002,'compens8-Import'!$M$4:$M$1002,$B28,'compens8-Import'!$E$4:$E$1002,AG$1)</f>
        <v>0</v>
      </c>
      <c r="AH28" s="8">
        <f>SUMIFS('compens8-Import'!$H$4:$H$1002,'compens8-Import'!$M$4:$M$1002,$B28,'compens8-Import'!$E$4:$E$1002,AH$1)</f>
        <v>0</v>
      </c>
      <c r="AI28" s="8">
        <f>SUMIFS('compens8-Import'!$H$4:$H$1002,'compens8-Import'!$M$4:$M$1002,$B28,'compens8-Import'!$E$4:$E$1002,AI$1)</f>
        <v>0</v>
      </c>
      <c r="AJ28" s="8">
        <f>SUMIFS('compens8-Import'!$H$4:$H$1002,'compens8-Import'!$M$4:$M$1002,$B28,'compens8-Import'!$E$4:$E$1002,AJ$1)</f>
        <v>0</v>
      </c>
      <c r="AK28" s="8">
        <f>SUMIFS('compens8-Import'!$H$4:$H$1002,'compens8-Import'!$M$4:$M$1002,$B28,'compens8-Import'!$E$4:$E$1002,AK$1)</f>
        <v>228380</v>
      </c>
      <c r="AL28" s="8">
        <f>SUMIFS('compens8-Import'!$H$4:$H$1002,'compens8-Import'!$M$4:$M$1002,$B28,'compens8-Import'!$E$4:$E$1002,AL$1)</f>
        <v>2054</v>
      </c>
      <c r="AM28" s="8">
        <f>SUMIFS('compens8-Import'!$H$4:$H$1002,'compens8-Import'!$M$4:$M$1002,$B28,'compens8-Import'!$E$4:$E$1002,AM$1)</f>
        <v>264921</v>
      </c>
      <c r="AN28" s="8">
        <f>SUMIFS('compens8-Import'!$H$4:$H$1002,'compens8-Import'!$M$4:$M$1002,$B28,'compens8-Import'!$E$4:$E$1002,AN$1)</f>
        <v>8191</v>
      </c>
      <c r="AO28" s="8">
        <f>SUMIFS('compens8-Import'!$H$4:$H$1002,'compens8-Import'!$M$4:$M$1002,$B28,'compens8-Import'!$E$4:$E$1002,AO$1)</f>
        <v>0</v>
      </c>
      <c r="AP28" s="8">
        <f>SUMIFS('compens8-Import'!$H$4:$H$1002,'compens8-Import'!$M$4:$M$1002,$B28,'compens8-Import'!$E$4:$E$1002,AP$1)</f>
        <v>8656</v>
      </c>
      <c r="AQ28" s="8">
        <f>SUMIFS('compens8-Import'!$H$4:$H$1002,'compens8-Import'!$M$4:$M$1002,$B28,'compens8-Import'!$E$4:$E$1002,AQ$1)</f>
        <v>0</v>
      </c>
      <c r="AR28" s="8">
        <f>SUMIFS('compens8-Import'!$H$4:$H$1002,'compens8-Import'!$M$4:$M$1002,$B28,'compens8-Import'!$E$4:$E$1002,AR$1)</f>
        <v>31919</v>
      </c>
      <c r="AS28" s="8">
        <f>SUMIFS('compens8-Import'!$H$4:$H$1002,'compens8-Import'!$M$4:$M$1002,$B28,'compens8-Import'!$E$4:$E$1002,AS$1)</f>
        <v>0</v>
      </c>
      <c r="AT28" s="8">
        <f>SUMIFS('compens8-Import'!$H$4:$H$1002,'compens8-Import'!$M$4:$M$1002,$B28,'compens8-Import'!$E$4:$E$1002,AT$1)</f>
        <v>0</v>
      </c>
      <c r="AU28" s="8">
        <f>SUMIFS('compens8-Import'!$H$4:$H$1002,'compens8-Import'!$M$4:$M$1002,$B28,'compens8-Import'!$E$4:$E$1002,AU$1)</f>
        <v>0</v>
      </c>
      <c r="AV28" s="8">
        <f>SUMIFS('compens8-Import'!$H$4:$H$1002,'compens8-Import'!$M$4:$M$1002,$B28,'compens8-Import'!$E$4:$E$1002,AV$1)</f>
        <v>0</v>
      </c>
      <c r="AW28" s="8">
        <f>SUMIFS('compens8-Import'!$H$4:$H$1002,'compens8-Import'!$M$4:$M$1002,$B28,'compens8-Import'!$E$4:$E$1002,AW$1)</f>
        <v>312336</v>
      </c>
      <c r="AX28" s="8">
        <f>SUMIFS('compens8-Import'!$H$4:$H$1002,'compens8-Import'!$M$4:$M$1002,$B28,'compens8-Import'!$E$4:$E$1002,AX$1)</f>
        <v>0</v>
      </c>
      <c r="AY28" s="8">
        <f>SUMIFS('compens8-Import'!$H$4:$H$1002,'compens8-Import'!$M$4:$M$1002,$B28,'compens8-Import'!$E$4:$E$1002,AY$1)</f>
        <v>0</v>
      </c>
      <c r="AZ28" s="8">
        <f>SUMIFS('compens8-Import'!$H$4:$H$1002,'compens8-Import'!$M$4:$M$1002,$B28,'compens8-Import'!$E$4:$E$1002,AZ$1)</f>
        <v>0</v>
      </c>
      <c r="BA28" s="8">
        <f>SUMIFS('compens8-Import'!$H$4:$H$1002,'compens8-Import'!$M$4:$M$1002,$B28,'compens8-Import'!$E$4:$E$1002,BA$1)</f>
        <v>0</v>
      </c>
      <c r="BB28" s="8">
        <f>SUMIFS('compens8-Import'!$H$4:$H$1002,'compens8-Import'!$M$4:$M$1002,$B28,'compens8-Import'!$E$4:$E$1002,BB$1)</f>
        <v>0</v>
      </c>
      <c r="BC28" s="8">
        <f>SUMIFS('compens8-Import'!$H$4:$H$1002,'compens8-Import'!$M$4:$M$1002,$B28,'compens8-Import'!$E$4:$E$1002,BC$1)</f>
        <v>2816</v>
      </c>
      <c r="BD28" s="8">
        <f>SUMIFS('compens8-Import'!$H$4:$H$1002,'compens8-Import'!$M$4:$M$1002,$B28,'compens8-Import'!$E$4:$E$1002,BD$1)</f>
        <v>0</v>
      </c>
      <c r="BE28" s="8">
        <f>SUMIFS('compens8-Import'!$H$4:$H$1002,'compens8-Import'!$M$4:$M$1002,$B28,'compens8-Import'!$E$4:$E$1002,BE$1)</f>
        <v>0</v>
      </c>
      <c r="BF28" s="8">
        <f>SUMIFS('compens8-Import'!$H$4:$H$1002,'compens8-Import'!$M$4:$M$1002,$B28,'compens8-Import'!$E$4:$E$1002,BF$1)</f>
        <v>0</v>
      </c>
      <c r="BG28" s="8">
        <f>SUMIFS('compens8-Import'!$H$4:$H$1002,'compens8-Import'!$M$4:$M$1002,$B28,'compens8-Import'!$E$4:$E$1002,BG$1)</f>
        <v>51054</v>
      </c>
      <c r="BH28" s="8">
        <f>SUMIFS('compens8-Import'!$H$4:$H$1002,'compens8-Import'!$M$4:$M$1002,$B28,'compens8-Import'!$E$4:$E$1002,BH$1)</f>
        <v>0</v>
      </c>
      <c r="BI28" s="8">
        <f>SUMIFS('compens8-Import'!$H$4:$H$1002,'compens8-Import'!$M$4:$M$1002,$B28,'compens8-Import'!$E$4:$E$1002,BI$1)</f>
        <v>0</v>
      </c>
      <c r="BJ28" s="8">
        <f>SUMIFS('compens8-Import'!$H$4:$H$1002,'compens8-Import'!$M$4:$M$1002,$B28,'compens8-Import'!$E$4:$E$1002,BJ$1)</f>
        <v>0</v>
      </c>
      <c r="BK28" s="8">
        <f>SUMIFS('compens8-Import'!$H$4:$H$1002,'compens8-Import'!$M$4:$M$1002,$B28,'compens8-Import'!$E$4:$E$1002,BK$1)</f>
        <v>122716</v>
      </c>
      <c r="BL28" s="8">
        <f>SUMIFS('compens8-Import'!$H$4:$H$1002,'compens8-Import'!$M$4:$M$1002,$B28,'compens8-Import'!$E$4:$E$1002,BL$1)</f>
        <v>0</v>
      </c>
      <c r="BM28" s="8">
        <f>SUMIFS('compens8-Import'!$H$4:$H$1002,'compens8-Import'!$M$4:$M$1002,$B28,'compens8-Import'!$E$4:$E$1002,BM$1)</f>
        <v>403426</v>
      </c>
      <c r="BN28" s="8">
        <f>SUMIFS('compens8-Import'!$H$4:$H$1002,'compens8-Import'!$M$4:$M$1002,$B28,'compens8-Import'!$E$4:$E$1002,BN$1)</f>
        <v>0</v>
      </c>
      <c r="BO28" s="8">
        <f>SUMIFS('compens8-Import'!$H$4:$H$1002,'compens8-Import'!$M$4:$M$1002,$B28,'compens8-Import'!$E$4:$E$1002,BO$1)</f>
        <v>0</v>
      </c>
      <c r="BP28" s="8">
        <f>SUMIFS('compens8-Import'!$H$4:$H$1002,'compens8-Import'!$M$4:$M$1002,$B28,'compens8-Import'!$E$4:$E$1002,BP$1)</f>
        <v>0</v>
      </c>
      <c r="BQ28" s="8">
        <f>SUMIFS('compens8-Import'!$H$4:$H$1002,'compens8-Import'!$M$4:$M$1002,$B28,'compens8-Import'!$E$4:$E$1002,BQ$1)</f>
        <v>0</v>
      </c>
      <c r="BR28" s="8">
        <f>SUMIFS('compens8-Import'!$H$4:$H$1002,'compens8-Import'!$M$4:$M$1002,$B28,'compens8-Import'!$E$4:$E$1002,BR$1)</f>
        <v>0</v>
      </c>
      <c r="BS28" s="8">
        <f>SUMIFS('compens8-Import'!$H$4:$H$1002,'compens8-Import'!$M$4:$M$1002,$B28,'compens8-Import'!$E$4:$E$1002,BS$1)</f>
        <v>0</v>
      </c>
      <c r="BT28" s="8">
        <f>SUMIFS('compens8-Import'!$H$4:$H$1002,'compens8-Import'!$M$4:$M$1002,$B28,'compens8-Import'!$E$4:$E$1002,BT$1)</f>
        <v>0</v>
      </c>
      <c r="BU28" s="8">
        <f>SUMIFS('compens8-Import'!$H$4:$H$1002,'compens8-Import'!$M$4:$M$1002,$B28,'compens8-Import'!$E$4:$E$1002,BU$1)</f>
        <v>0</v>
      </c>
      <c r="BV28" s="8">
        <f>SUMIFS('compens8-Import'!$H$4:$H$1002,'compens8-Import'!$M$4:$M$1002,$B28,'compens8-Import'!$E$4:$E$1002,BV$1)</f>
        <v>8096</v>
      </c>
      <c r="BW28" s="8">
        <f>SUMIFS('compens8-Import'!$H$4:$H$1002,'compens8-Import'!$M$4:$M$1002,$B28,'compens8-Import'!$E$4:$E$1002,BW$1)</f>
        <v>0</v>
      </c>
      <c r="BX28" s="8">
        <f>SUMIFS('compens8-Import'!$H$4:$H$1002,'compens8-Import'!$M$4:$M$1002,$B28,'compens8-Import'!$E$4:$E$1002,BX$1)</f>
        <v>0</v>
      </c>
      <c r="BY28" s="8">
        <f>SUMIFS('compens8-Import'!$H$4:$H$1002,'compens8-Import'!$M$4:$M$1002,$B28,'compens8-Import'!$E$4:$E$1002,BY$1)</f>
        <v>32659</v>
      </c>
      <c r="BZ28" s="8">
        <f>SUMIFS('compens8-Import'!$H$4:$H$1002,'compens8-Import'!$M$4:$M$1002,$B28,'compens8-Import'!$E$4:$E$1002,BZ$1)</f>
        <v>0</v>
      </c>
      <c r="CA28" s="8">
        <f>SUMIFS('compens8-Import'!$H$4:$H$1002,'compens8-Import'!$M$4:$M$1002,$B28,'compens8-Import'!$E$4:$E$1002,CA$1)</f>
        <v>0</v>
      </c>
      <c r="CB28" s="8">
        <f>SUMIFS('compens8-Import'!$H$4:$H$1002,'compens8-Import'!$M$4:$M$1002,$B28,'compens8-Import'!$E$4:$E$1002,CB$1)</f>
        <v>6877</v>
      </c>
      <c r="CC28" s="8">
        <f>SUMIFS('compens8-Import'!$H$4:$H$1002,'compens8-Import'!$M$4:$M$1002,$B28,'compens8-Import'!$E$4:$E$1002,CC$1)</f>
        <v>0</v>
      </c>
      <c r="CD28" s="8">
        <f>SUMIFS('compens8-Import'!$H$4:$H$1002,'compens8-Import'!$M$4:$M$1002,$B28,'compens8-Import'!$E$4:$E$1002,CD$1)</f>
        <v>59254</v>
      </c>
      <c r="CE28" s="8">
        <f>SUMIFS('compens8-Import'!$H$4:$H$1002,'compens8-Import'!$M$4:$M$1002,$B28,'compens8-Import'!$E$4:$E$1002,CE$1)</f>
        <v>0</v>
      </c>
      <c r="CF28" s="8">
        <f>SUMIFS('compens8-Import'!$H$4:$H$1002,'compens8-Import'!$M$4:$M$1002,$B28,'compens8-Import'!$E$4:$E$1002,CF$1)</f>
        <v>0</v>
      </c>
      <c r="CG28" s="8">
        <f>SUMIFS('compens8-Import'!$H$4:$H$1002,'compens8-Import'!$M$4:$M$1002,$B28,'compens8-Import'!$E$4:$E$1002,CG$1)</f>
        <v>8552</v>
      </c>
      <c r="CH28" s="8">
        <f>SUMIFS('compens8-Import'!$H$4:$H$1002,'compens8-Import'!$M$4:$M$1002,$B28,'compens8-Import'!$E$4:$E$1002,CH$1)</f>
        <v>2723</v>
      </c>
      <c r="CI28" s="8">
        <f>SUMIFS('compens8-Import'!$H$4:$H$1002,'compens8-Import'!$M$4:$M$1002,$B28,'compens8-Import'!$E$4:$E$1002,CI$1)</f>
        <v>25990</v>
      </c>
      <c r="CJ28" s="8">
        <f>SUMIFS('compens8-Import'!$H$4:$H$1002,'compens8-Import'!$M$4:$M$1002,$B28,'compens8-Import'!$E$4:$E$1002,CJ$1)</f>
        <v>0</v>
      </c>
      <c r="CK28" s="8">
        <f>SUMIFS('compens8-Import'!$H$4:$H$1002,'compens8-Import'!$M$4:$M$1002,$B28,'compens8-Import'!$E$4:$E$1002,CK$1)</f>
        <v>0</v>
      </c>
      <c r="CL28" s="8">
        <f>SUMIFS('compens8-Import'!$H$4:$H$1002,'compens8-Import'!$M$4:$M$1002,$B28,'compens8-Import'!$E$4:$E$1002,CL$1)</f>
        <v>0</v>
      </c>
      <c r="CM28" s="8">
        <f>SUMIFS('compens8-Import'!$H$4:$H$1002,'compens8-Import'!$M$4:$M$1002,$B28,'compens8-Import'!$E$4:$E$1002,CM$1)</f>
        <v>0</v>
      </c>
      <c r="CN28" s="8">
        <f>SUMIFS('compens8-Import'!$H$4:$H$1002,'compens8-Import'!$M$4:$M$1002,$B28,'compens8-Import'!$E$4:$E$1002,CN$1)</f>
        <v>0</v>
      </c>
    </row>
    <row r="29" spans="1:92" x14ac:dyDescent="0.25">
      <c r="A29" s="2" t="s">
        <v>112</v>
      </c>
      <c r="B29" s="2" t="str">
        <f>_xlfn.XLOOKUP(A29,'Correspondances pays'!$A$4:$A$200,'Correspondances pays'!$B$4:$B$200)</f>
        <v>Viet Nam</v>
      </c>
      <c r="C29" s="44">
        <f>AutoConsommation!F28</f>
        <v>500622</v>
      </c>
      <c r="D29" s="8">
        <f t="shared" si="0"/>
        <v>500622</v>
      </c>
      <c r="E29" s="8">
        <f>SUMIFS('compens8-Import'!$H$4:$H$1002,'compens8-Import'!$M$4:$M$1002,$B29,'compens8-Import'!$E$4:$E$1002,E$1)</f>
        <v>0</v>
      </c>
      <c r="F29" s="8">
        <f>SUMIFS('compens8-Import'!$H$4:$H$1002,'compens8-Import'!$M$4:$M$1002,$B29,'compens8-Import'!$E$4:$E$1002,F$1)</f>
        <v>0</v>
      </c>
      <c r="G29" s="8">
        <f>SUMIFS('compens8-Import'!$H$4:$H$1002,'compens8-Import'!$M$4:$M$1002,$B29,'compens8-Import'!$E$4:$E$1002,G$1)</f>
        <v>0</v>
      </c>
      <c r="H29" s="8">
        <f>SUMIFS('compens8-Import'!$H$4:$H$1002,'compens8-Import'!$M$4:$M$1002,$B29,'compens8-Import'!$E$4:$E$1002,H$1)</f>
        <v>0</v>
      </c>
      <c r="I29" s="8">
        <f>SUMIFS('compens8-Import'!$H$4:$H$1002,'compens8-Import'!$M$4:$M$1002,$B29,'compens8-Import'!$E$4:$E$1002,I$1)</f>
        <v>92203</v>
      </c>
      <c r="J29" s="8">
        <f>SUMIFS('compens8-Import'!$H$4:$H$1002,'compens8-Import'!$M$4:$M$1002,$B29,'compens8-Import'!$E$4:$E$1002,J$1)</f>
        <v>579</v>
      </c>
      <c r="K29" s="8">
        <f>SUMIFS('compens8-Import'!$H$4:$H$1002,'compens8-Import'!$M$4:$M$1002,$B29,'compens8-Import'!$E$4:$E$1002,K$1)</f>
        <v>0</v>
      </c>
      <c r="L29" s="8">
        <f>SUMIFS('compens8-Import'!$H$4:$H$1002,'compens8-Import'!$M$4:$M$1002,$B29,'compens8-Import'!$E$4:$E$1002,L$1)</f>
        <v>0</v>
      </c>
      <c r="M29" s="8">
        <f>SUMIFS('compens8-Import'!$H$4:$H$1002,'compens8-Import'!$M$4:$M$1002,$B29,'compens8-Import'!$E$4:$E$1002,M$1)</f>
        <v>0</v>
      </c>
      <c r="N29" s="8">
        <f>SUMIFS('compens8-Import'!$H$4:$H$1002,'compens8-Import'!$M$4:$M$1002,$B29,'compens8-Import'!$E$4:$E$1002,N$1)</f>
        <v>0</v>
      </c>
      <c r="O29" s="8">
        <f>SUMIFS('compens8-Import'!$H$4:$H$1002,'compens8-Import'!$M$4:$M$1002,$B29,'compens8-Import'!$E$4:$E$1002,O$1)</f>
        <v>0</v>
      </c>
      <c r="P29" s="8">
        <f>SUMIFS('compens8-Import'!$H$4:$H$1002,'compens8-Import'!$M$4:$M$1002,$B29,'compens8-Import'!$E$4:$E$1002,P$1)</f>
        <v>0</v>
      </c>
      <c r="Q29" s="8">
        <f>SUMIFS('compens8-Import'!$H$4:$H$1002,'compens8-Import'!$M$4:$M$1002,$B29,'compens8-Import'!$E$4:$E$1002,Q$1)</f>
        <v>110</v>
      </c>
      <c r="R29" s="8">
        <f>SUMIFS('compens8-Import'!$H$4:$H$1002,'compens8-Import'!$M$4:$M$1002,$B29,'compens8-Import'!$E$4:$E$1002,R$1)</f>
        <v>0</v>
      </c>
      <c r="S29" s="8">
        <f>SUMIFS('compens8-Import'!$H$4:$H$1002,'compens8-Import'!$M$4:$M$1002,$B29,'compens8-Import'!$E$4:$E$1002,S$1)</f>
        <v>734</v>
      </c>
      <c r="T29" s="8">
        <f>SUMIFS('compens8-Import'!$H$4:$H$1002,'compens8-Import'!$M$4:$M$1002,$B29,'compens8-Import'!$E$4:$E$1002,T$1)</f>
        <v>0</v>
      </c>
      <c r="U29" s="8">
        <f>SUMIFS('compens8-Import'!$H$4:$H$1002,'compens8-Import'!$M$4:$M$1002,$B29,'compens8-Import'!$E$4:$E$1002,U$1)</f>
        <v>0</v>
      </c>
      <c r="V29" s="8">
        <f>SUMIFS('compens8-Import'!$H$4:$H$1002,'compens8-Import'!$M$4:$M$1002,$B29,'compens8-Import'!$E$4:$E$1002,V$1)</f>
        <v>9922</v>
      </c>
      <c r="W29" s="8">
        <f>SUMIFS('compens8-Import'!$H$4:$H$1002,'compens8-Import'!$M$4:$M$1002,$B29,'compens8-Import'!$E$4:$E$1002,W$1)</f>
        <v>0</v>
      </c>
      <c r="X29" s="8">
        <f>SUMIFS('compens8-Import'!$H$4:$H$1002,'compens8-Import'!$M$4:$M$1002,$B29,'compens8-Import'!$E$4:$E$1002,X$1)</f>
        <v>0</v>
      </c>
      <c r="Y29" s="8">
        <f>SUMIFS('compens8-Import'!$H$4:$H$1002,'compens8-Import'!$M$4:$M$1002,$B29,'compens8-Import'!$E$4:$E$1002,Y$1)</f>
        <v>0</v>
      </c>
      <c r="Z29" s="8">
        <f>SUMIFS('compens8-Import'!$H$4:$H$1002,'compens8-Import'!$M$4:$M$1002,$B29,'compens8-Import'!$E$4:$E$1002,Z$1)</f>
        <v>0</v>
      </c>
      <c r="AA29" s="8">
        <f>SUMIFS('compens8-Import'!$H$4:$H$1002,'compens8-Import'!$M$4:$M$1002,$B29,'compens8-Import'!$E$4:$E$1002,AA$1)</f>
        <v>0</v>
      </c>
      <c r="AB29" s="8">
        <f>SUMIFS('compens8-Import'!$H$4:$H$1002,'compens8-Import'!$M$4:$M$1002,$B29,'compens8-Import'!$E$4:$E$1002,AB$1)</f>
        <v>0</v>
      </c>
      <c r="AC29" s="8">
        <f>SUMIFS('compens8-Import'!$H$4:$H$1002,'compens8-Import'!$M$4:$M$1002,$B29,'compens8-Import'!$E$4:$E$1002,AC$1)</f>
        <v>0</v>
      </c>
      <c r="AD29" s="8">
        <f>SUMIFS('compens8-Import'!$H$4:$H$1002,'compens8-Import'!$M$4:$M$1002,$B29,'compens8-Import'!$E$4:$E$1002,AD$1)</f>
        <v>0</v>
      </c>
      <c r="AE29" s="8">
        <f>SUMIFS('compens8-Import'!$H$4:$H$1002,'compens8-Import'!$M$4:$M$1002,$B29,'compens8-Import'!$E$4:$E$1002,AE$1)</f>
        <v>0</v>
      </c>
      <c r="AF29" s="8">
        <f>SUMIFS('compens8-Import'!$H$4:$H$1002,'compens8-Import'!$M$4:$M$1002,$B29,'compens8-Import'!$E$4:$E$1002,AF$1)</f>
        <v>0</v>
      </c>
      <c r="AG29" s="8">
        <f>SUMIFS('compens8-Import'!$H$4:$H$1002,'compens8-Import'!$M$4:$M$1002,$B29,'compens8-Import'!$E$4:$E$1002,AG$1)</f>
        <v>0</v>
      </c>
      <c r="AH29" s="8">
        <f>SUMIFS('compens8-Import'!$H$4:$H$1002,'compens8-Import'!$M$4:$M$1002,$B29,'compens8-Import'!$E$4:$E$1002,AH$1)</f>
        <v>0</v>
      </c>
      <c r="AI29" s="8">
        <f>SUMIFS('compens8-Import'!$H$4:$H$1002,'compens8-Import'!$M$4:$M$1002,$B29,'compens8-Import'!$E$4:$E$1002,AI$1)</f>
        <v>0</v>
      </c>
      <c r="AJ29" s="8">
        <f>SUMIFS('compens8-Import'!$H$4:$H$1002,'compens8-Import'!$M$4:$M$1002,$B29,'compens8-Import'!$E$4:$E$1002,AJ$1)</f>
        <v>0</v>
      </c>
      <c r="AK29" s="8">
        <f>SUMIFS('compens8-Import'!$H$4:$H$1002,'compens8-Import'!$M$4:$M$1002,$B29,'compens8-Import'!$E$4:$E$1002,AK$1)</f>
        <v>105029</v>
      </c>
      <c r="AL29" s="8">
        <f>SUMIFS('compens8-Import'!$H$4:$H$1002,'compens8-Import'!$M$4:$M$1002,$B29,'compens8-Import'!$E$4:$E$1002,AL$1)</f>
        <v>18875</v>
      </c>
      <c r="AM29" s="8">
        <f>SUMIFS('compens8-Import'!$H$4:$H$1002,'compens8-Import'!$M$4:$M$1002,$B29,'compens8-Import'!$E$4:$E$1002,AM$1)</f>
        <v>0</v>
      </c>
      <c r="AN29" s="8">
        <f>SUMIFS('compens8-Import'!$H$4:$H$1002,'compens8-Import'!$M$4:$M$1002,$B29,'compens8-Import'!$E$4:$E$1002,AN$1)</f>
        <v>0</v>
      </c>
      <c r="AO29" s="8">
        <f>SUMIFS('compens8-Import'!$H$4:$H$1002,'compens8-Import'!$M$4:$M$1002,$B29,'compens8-Import'!$E$4:$E$1002,AO$1)</f>
        <v>0</v>
      </c>
      <c r="AP29" s="8">
        <f>SUMIFS('compens8-Import'!$H$4:$H$1002,'compens8-Import'!$M$4:$M$1002,$B29,'compens8-Import'!$E$4:$E$1002,AP$1)</f>
        <v>412</v>
      </c>
      <c r="AQ29" s="8">
        <f>SUMIFS('compens8-Import'!$H$4:$H$1002,'compens8-Import'!$M$4:$M$1002,$B29,'compens8-Import'!$E$4:$E$1002,AQ$1)</f>
        <v>414</v>
      </c>
      <c r="AR29" s="8">
        <f>SUMIFS('compens8-Import'!$H$4:$H$1002,'compens8-Import'!$M$4:$M$1002,$B29,'compens8-Import'!$E$4:$E$1002,AR$1)</f>
        <v>0</v>
      </c>
      <c r="AS29" s="8">
        <f>SUMIFS('compens8-Import'!$H$4:$H$1002,'compens8-Import'!$M$4:$M$1002,$B29,'compens8-Import'!$E$4:$E$1002,AS$1)</f>
        <v>61635</v>
      </c>
      <c r="AT29" s="8">
        <f>SUMIFS('compens8-Import'!$H$4:$H$1002,'compens8-Import'!$M$4:$M$1002,$B29,'compens8-Import'!$E$4:$E$1002,AT$1)</f>
        <v>0</v>
      </c>
      <c r="AU29" s="8">
        <f>SUMIFS('compens8-Import'!$H$4:$H$1002,'compens8-Import'!$M$4:$M$1002,$B29,'compens8-Import'!$E$4:$E$1002,AU$1)</f>
        <v>0</v>
      </c>
      <c r="AV29" s="8">
        <f>SUMIFS('compens8-Import'!$H$4:$H$1002,'compens8-Import'!$M$4:$M$1002,$B29,'compens8-Import'!$E$4:$E$1002,AV$1)</f>
        <v>0</v>
      </c>
      <c r="AW29" s="8">
        <f>SUMIFS('compens8-Import'!$H$4:$H$1002,'compens8-Import'!$M$4:$M$1002,$B29,'compens8-Import'!$E$4:$E$1002,AW$1)</f>
        <v>118527</v>
      </c>
      <c r="AX29" s="8">
        <f>SUMIFS('compens8-Import'!$H$4:$H$1002,'compens8-Import'!$M$4:$M$1002,$B29,'compens8-Import'!$E$4:$E$1002,AX$1)</f>
        <v>0</v>
      </c>
      <c r="AY29" s="8">
        <f>SUMIFS('compens8-Import'!$H$4:$H$1002,'compens8-Import'!$M$4:$M$1002,$B29,'compens8-Import'!$E$4:$E$1002,AY$1)</f>
        <v>0</v>
      </c>
      <c r="AZ29" s="8">
        <f>SUMIFS('compens8-Import'!$H$4:$H$1002,'compens8-Import'!$M$4:$M$1002,$B29,'compens8-Import'!$E$4:$E$1002,AZ$1)</f>
        <v>0</v>
      </c>
      <c r="BA29" s="8">
        <f>SUMIFS('compens8-Import'!$H$4:$H$1002,'compens8-Import'!$M$4:$M$1002,$B29,'compens8-Import'!$E$4:$E$1002,BA$1)</f>
        <v>0</v>
      </c>
      <c r="BB29" s="8">
        <f>SUMIFS('compens8-Import'!$H$4:$H$1002,'compens8-Import'!$M$4:$M$1002,$B29,'compens8-Import'!$E$4:$E$1002,BB$1)</f>
        <v>0</v>
      </c>
      <c r="BC29" s="8">
        <f>SUMIFS('compens8-Import'!$H$4:$H$1002,'compens8-Import'!$M$4:$M$1002,$B29,'compens8-Import'!$E$4:$E$1002,BC$1)</f>
        <v>0</v>
      </c>
      <c r="BD29" s="8">
        <f>SUMIFS('compens8-Import'!$H$4:$H$1002,'compens8-Import'!$M$4:$M$1002,$B29,'compens8-Import'!$E$4:$E$1002,BD$1)</f>
        <v>543</v>
      </c>
      <c r="BE29" s="8">
        <f>SUMIFS('compens8-Import'!$H$4:$H$1002,'compens8-Import'!$M$4:$M$1002,$B29,'compens8-Import'!$E$4:$E$1002,BE$1)</f>
        <v>308</v>
      </c>
      <c r="BF29" s="8">
        <f>SUMIFS('compens8-Import'!$H$4:$H$1002,'compens8-Import'!$M$4:$M$1002,$B29,'compens8-Import'!$E$4:$E$1002,BF$1)</f>
        <v>0</v>
      </c>
      <c r="BG29" s="8">
        <f>SUMIFS('compens8-Import'!$H$4:$H$1002,'compens8-Import'!$M$4:$M$1002,$B29,'compens8-Import'!$E$4:$E$1002,BG$1)</f>
        <v>0</v>
      </c>
      <c r="BH29" s="8">
        <f>SUMIFS('compens8-Import'!$H$4:$H$1002,'compens8-Import'!$M$4:$M$1002,$B29,'compens8-Import'!$E$4:$E$1002,BH$1)</f>
        <v>0</v>
      </c>
      <c r="BI29" s="8">
        <f>SUMIFS('compens8-Import'!$H$4:$H$1002,'compens8-Import'!$M$4:$M$1002,$B29,'compens8-Import'!$E$4:$E$1002,BI$1)</f>
        <v>0</v>
      </c>
      <c r="BJ29" s="8">
        <f>SUMIFS('compens8-Import'!$H$4:$H$1002,'compens8-Import'!$M$4:$M$1002,$B29,'compens8-Import'!$E$4:$E$1002,BJ$1)</f>
        <v>0</v>
      </c>
      <c r="BK29" s="8">
        <f>SUMIFS('compens8-Import'!$H$4:$H$1002,'compens8-Import'!$M$4:$M$1002,$B29,'compens8-Import'!$E$4:$E$1002,BK$1)</f>
        <v>8690</v>
      </c>
      <c r="BL29" s="8">
        <f>SUMIFS('compens8-Import'!$H$4:$H$1002,'compens8-Import'!$M$4:$M$1002,$B29,'compens8-Import'!$E$4:$E$1002,BL$1)</f>
        <v>0</v>
      </c>
      <c r="BM29" s="8">
        <f>SUMIFS('compens8-Import'!$H$4:$H$1002,'compens8-Import'!$M$4:$M$1002,$B29,'compens8-Import'!$E$4:$E$1002,BM$1)</f>
        <v>11347</v>
      </c>
      <c r="BN29" s="8">
        <f>SUMIFS('compens8-Import'!$H$4:$H$1002,'compens8-Import'!$M$4:$M$1002,$B29,'compens8-Import'!$E$4:$E$1002,BN$1)</f>
        <v>14115</v>
      </c>
      <c r="BO29" s="8">
        <f>SUMIFS('compens8-Import'!$H$4:$H$1002,'compens8-Import'!$M$4:$M$1002,$B29,'compens8-Import'!$E$4:$E$1002,BO$1)</f>
        <v>0</v>
      </c>
      <c r="BP29" s="8">
        <f>SUMIFS('compens8-Import'!$H$4:$H$1002,'compens8-Import'!$M$4:$M$1002,$B29,'compens8-Import'!$E$4:$E$1002,BP$1)</f>
        <v>871</v>
      </c>
      <c r="BQ29" s="8">
        <f>SUMIFS('compens8-Import'!$H$4:$H$1002,'compens8-Import'!$M$4:$M$1002,$B29,'compens8-Import'!$E$4:$E$1002,BQ$1)</f>
        <v>0</v>
      </c>
      <c r="BR29" s="8">
        <f>SUMIFS('compens8-Import'!$H$4:$H$1002,'compens8-Import'!$M$4:$M$1002,$B29,'compens8-Import'!$E$4:$E$1002,BR$1)</f>
        <v>0</v>
      </c>
      <c r="BS29" s="8">
        <f>SUMIFS('compens8-Import'!$H$4:$H$1002,'compens8-Import'!$M$4:$M$1002,$B29,'compens8-Import'!$E$4:$E$1002,BS$1)</f>
        <v>4201</v>
      </c>
      <c r="BT29" s="8">
        <f>SUMIFS('compens8-Import'!$H$4:$H$1002,'compens8-Import'!$M$4:$M$1002,$B29,'compens8-Import'!$E$4:$E$1002,BT$1)</f>
        <v>3800</v>
      </c>
      <c r="BU29" s="8">
        <f>SUMIFS('compens8-Import'!$H$4:$H$1002,'compens8-Import'!$M$4:$M$1002,$B29,'compens8-Import'!$E$4:$E$1002,BU$1)</f>
        <v>0</v>
      </c>
      <c r="BV29" s="8">
        <f>SUMIFS('compens8-Import'!$H$4:$H$1002,'compens8-Import'!$M$4:$M$1002,$B29,'compens8-Import'!$E$4:$E$1002,BV$1)</f>
        <v>325</v>
      </c>
      <c r="BW29" s="8">
        <f>SUMIFS('compens8-Import'!$H$4:$H$1002,'compens8-Import'!$M$4:$M$1002,$B29,'compens8-Import'!$E$4:$E$1002,BW$1)</f>
        <v>0</v>
      </c>
      <c r="BX29" s="8">
        <f>SUMIFS('compens8-Import'!$H$4:$H$1002,'compens8-Import'!$M$4:$M$1002,$B29,'compens8-Import'!$E$4:$E$1002,BX$1)</f>
        <v>20146</v>
      </c>
      <c r="BY29" s="8">
        <f>SUMIFS('compens8-Import'!$H$4:$H$1002,'compens8-Import'!$M$4:$M$1002,$B29,'compens8-Import'!$E$4:$E$1002,BY$1)</f>
        <v>0</v>
      </c>
      <c r="BZ29" s="8">
        <f>SUMIFS('compens8-Import'!$H$4:$H$1002,'compens8-Import'!$M$4:$M$1002,$B29,'compens8-Import'!$E$4:$E$1002,BZ$1)</f>
        <v>15938</v>
      </c>
      <c r="CA29" s="8">
        <f>SUMIFS('compens8-Import'!$H$4:$H$1002,'compens8-Import'!$M$4:$M$1002,$B29,'compens8-Import'!$E$4:$E$1002,CA$1)</f>
        <v>0</v>
      </c>
      <c r="CB29" s="8">
        <f>SUMIFS('compens8-Import'!$H$4:$H$1002,'compens8-Import'!$M$4:$M$1002,$B29,'compens8-Import'!$E$4:$E$1002,CB$1)</f>
        <v>0</v>
      </c>
      <c r="CC29" s="8">
        <f>SUMIFS('compens8-Import'!$H$4:$H$1002,'compens8-Import'!$M$4:$M$1002,$B29,'compens8-Import'!$E$4:$E$1002,CC$1)</f>
        <v>0</v>
      </c>
      <c r="CD29" s="8">
        <f>SUMIFS('compens8-Import'!$H$4:$H$1002,'compens8-Import'!$M$4:$M$1002,$B29,'compens8-Import'!$E$4:$E$1002,CD$1)</f>
        <v>11832</v>
      </c>
      <c r="CE29" s="8">
        <f>SUMIFS('compens8-Import'!$H$4:$H$1002,'compens8-Import'!$M$4:$M$1002,$B29,'compens8-Import'!$E$4:$E$1002,CE$1)</f>
        <v>0</v>
      </c>
      <c r="CF29" s="8">
        <f>SUMIFS('compens8-Import'!$H$4:$H$1002,'compens8-Import'!$M$4:$M$1002,$B29,'compens8-Import'!$E$4:$E$1002,CF$1)</f>
        <v>66</v>
      </c>
      <c r="CG29" s="8">
        <f>SUMIFS('compens8-Import'!$H$4:$H$1002,'compens8-Import'!$M$4:$M$1002,$B29,'compens8-Import'!$E$4:$E$1002,CG$1)</f>
        <v>0</v>
      </c>
      <c r="CH29" s="8">
        <f>SUMIFS('compens8-Import'!$H$4:$H$1002,'compens8-Import'!$M$4:$M$1002,$B29,'compens8-Import'!$E$4:$E$1002,CH$1)</f>
        <v>0</v>
      </c>
      <c r="CI29" s="8">
        <f>SUMIFS('compens8-Import'!$H$4:$H$1002,'compens8-Import'!$M$4:$M$1002,$B29,'compens8-Import'!$E$4:$E$1002,CI$1)</f>
        <v>0</v>
      </c>
      <c r="CJ29" s="8">
        <f>SUMIFS('compens8-Import'!$H$4:$H$1002,'compens8-Import'!$M$4:$M$1002,$B29,'compens8-Import'!$E$4:$E$1002,CJ$1)</f>
        <v>0</v>
      </c>
      <c r="CK29" s="8">
        <f>SUMIFS('compens8-Import'!$H$4:$H$1002,'compens8-Import'!$M$4:$M$1002,$B29,'compens8-Import'!$E$4:$E$1002,CK$1)</f>
        <v>0</v>
      </c>
      <c r="CL29" s="8">
        <f>SUMIFS('compens8-Import'!$H$4:$H$1002,'compens8-Import'!$M$4:$M$1002,$B29,'compens8-Import'!$E$4:$E$1002,CL$1)</f>
        <v>0</v>
      </c>
      <c r="CM29" s="8">
        <f>SUMIFS('compens8-Import'!$H$4:$H$1002,'compens8-Import'!$M$4:$M$1002,$B29,'compens8-Import'!$E$4:$E$1002,CM$1)</f>
        <v>0</v>
      </c>
      <c r="CN29" s="8">
        <f>SUMIFS('compens8-Import'!$H$4:$H$1002,'compens8-Import'!$M$4:$M$1002,$B29,'compens8-Import'!$E$4:$E$1002,CN$1)</f>
        <v>0</v>
      </c>
    </row>
    <row r="30" spans="1:92" x14ac:dyDescent="0.25">
      <c r="A30" s="2" t="s">
        <v>79</v>
      </c>
      <c r="B30" s="2" t="str">
        <f>_xlfn.XLOOKUP(A30,'Correspondances pays'!$A$4:$A$200,'Correspondances pays'!$B$4:$B$200)</f>
        <v>Norway</v>
      </c>
      <c r="C30" s="44">
        <f>AutoConsommation!F29</f>
        <v>226031</v>
      </c>
      <c r="D30" s="8">
        <f t="shared" si="0"/>
        <v>226031</v>
      </c>
      <c r="E30" s="8">
        <f>SUMIFS('compens8-Import'!$H$4:$H$1002,'compens8-Import'!$M$4:$M$1002,$B30,'compens8-Import'!$E$4:$E$1002,E$1)</f>
        <v>0</v>
      </c>
      <c r="F30" s="8">
        <f>SUMIFS('compens8-Import'!$H$4:$H$1002,'compens8-Import'!$M$4:$M$1002,$B30,'compens8-Import'!$E$4:$E$1002,F$1)</f>
        <v>0</v>
      </c>
      <c r="G30" s="8">
        <f>SUMIFS('compens8-Import'!$H$4:$H$1002,'compens8-Import'!$M$4:$M$1002,$B30,'compens8-Import'!$E$4:$E$1002,G$1)</f>
        <v>0</v>
      </c>
      <c r="H30" s="8">
        <f>SUMIFS('compens8-Import'!$H$4:$H$1002,'compens8-Import'!$M$4:$M$1002,$B30,'compens8-Import'!$E$4:$E$1002,H$1)</f>
        <v>0</v>
      </c>
      <c r="I30" s="8">
        <f>SUMIFS('compens8-Import'!$H$4:$H$1002,'compens8-Import'!$M$4:$M$1002,$B30,'compens8-Import'!$E$4:$E$1002,I$1)</f>
        <v>1979</v>
      </c>
      <c r="J30" s="8">
        <f>SUMIFS('compens8-Import'!$H$4:$H$1002,'compens8-Import'!$M$4:$M$1002,$B30,'compens8-Import'!$E$4:$E$1002,J$1)</f>
        <v>1188</v>
      </c>
      <c r="K30" s="8">
        <f>SUMIFS('compens8-Import'!$H$4:$H$1002,'compens8-Import'!$M$4:$M$1002,$B30,'compens8-Import'!$E$4:$E$1002,K$1)</f>
        <v>0</v>
      </c>
      <c r="L30" s="8">
        <f>SUMIFS('compens8-Import'!$H$4:$H$1002,'compens8-Import'!$M$4:$M$1002,$B30,'compens8-Import'!$E$4:$E$1002,L$1)</f>
        <v>7783</v>
      </c>
      <c r="M30" s="8">
        <f>SUMIFS('compens8-Import'!$H$4:$H$1002,'compens8-Import'!$M$4:$M$1002,$B30,'compens8-Import'!$E$4:$E$1002,M$1)</f>
        <v>0</v>
      </c>
      <c r="N30" s="8">
        <f>SUMIFS('compens8-Import'!$H$4:$H$1002,'compens8-Import'!$M$4:$M$1002,$B30,'compens8-Import'!$E$4:$E$1002,N$1)</f>
        <v>0</v>
      </c>
      <c r="O30" s="8">
        <f>SUMIFS('compens8-Import'!$H$4:$H$1002,'compens8-Import'!$M$4:$M$1002,$B30,'compens8-Import'!$E$4:$E$1002,O$1)</f>
        <v>0</v>
      </c>
      <c r="P30" s="8">
        <f>SUMIFS('compens8-Import'!$H$4:$H$1002,'compens8-Import'!$M$4:$M$1002,$B30,'compens8-Import'!$E$4:$E$1002,P$1)</f>
        <v>0</v>
      </c>
      <c r="Q30" s="8">
        <f>SUMIFS('compens8-Import'!$H$4:$H$1002,'compens8-Import'!$M$4:$M$1002,$B30,'compens8-Import'!$E$4:$E$1002,Q$1)</f>
        <v>0</v>
      </c>
      <c r="R30" s="8">
        <f>SUMIFS('compens8-Import'!$H$4:$H$1002,'compens8-Import'!$M$4:$M$1002,$B30,'compens8-Import'!$E$4:$E$1002,R$1)</f>
        <v>0</v>
      </c>
      <c r="S30" s="8">
        <f>SUMIFS('compens8-Import'!$H$4:$H$1002,'compens8-Import'!$M$4:$M$1002,$B30,'compens8-Import'!$E$4:$E$1002,S$1)</f>
        <v>0</v>
      </c>
      <c r="T30" s="8">
        <f>SUMIFS('compens8-Import'!$H$4:$H$1002,'compens8-Import'!$M$4:$M$1002,$B30,'compens8-Import'!$E$4:$E$1002,T$1)</f>
        <v>0</v>
      </c>
      <c r="U30" s="8">
        <f>SUMIFS('compens8-Import'!$H$4:$H$1002,'compens8-Import'!$M$4:$M$1002,$B30,'compens8-Import'!$E$4:$E$1002,U$1)</f>
        <v>0</v>
      </c>
      <c r="V30" s="8">
        <f>SUMIFS('compens8-Import'!$H$4:$H$1002,'compens8-Import'!$M$4:$M$1002,$B30,'compens8-Import'!$E$4:$E$1002,V$1)</f>
        <v>1614</v>
      </c>
      <c r="W30" s="8">
        <f>SUMIFS('compens8-Import'!$H$4:$H$1002,'compens8-Import'!$M$4:$M$1002,$B30,'compens8-Import'!$E$4:$E$1002,W$1)</f>
        <v>0</v>
      </c>
      <c r="X30" s="8">
        <f>SUMIFS('compens8-Import'!$H$4:$H$1002,'compens8-Import'!$M$4:$M$1002,$B30,'compens8-Import'!$E$4:$E$1002,X$1)</f>
        <v>0</v>
      </c>
      <c r="Y30" s="8">
        <f>SUMIFS('compens8-Import'!$H$4:$H$1002,'compens8-Import'!$M$4:$M$1002,$B30,'compens8-Import'!$E$4:$E$1002,Y$1)</f>
        <v>27</v>
      </c>
      <c r="Z30" s="8">
        <f>SUMIFS('compens8-Import'!$H$4:$H$1002,'compens8-Import'!$M$4:$M$1002,$B30,'compens8-Import'!$E$4:$E$1002,Z$1)</f>
        <v>0</v>
      </c>
      <c r="AA30" s="8">
        <f>SUMIFS('compens8-Import'!$H$4:$H$1002,'compens8-Import'!$M$4:$M$1002,$B30,'compens8-Import'!$E$4:$E$1002,AA$1)</f>
        <v>1076</v>
      </c>
      <c r="AB30" s="8">
        <f>SUMIFS('compens8-Import'!$H$4:$H$1002,'compens8-Import'!$M$4:$M$1002,$B30,'compens8-Import'!$E$4:$E$1002,AB$1)</f>
        <v>0</v>
      </c>
      <c r="AC30" s="8">
        <f>SUMIFS('compens8-Import'!$H$4:$H$1002,'compens8-Import'!$M$4:$M$1002,$B30,'compens8-Import'!$E$4:$E$1002,AC$1)</f>
        <v>90</v>
      </c>
      <c r="AD30" s="8">
        <f>SUMIFS('compens8-Import'!$H$4:$H$1002,'compens8-Import'!$M$4:$M$1002,$B30,'compens8-Import'!$E$4:$E$1002,AD$1)</f>
        <v>0</v>
      </c>
      <c r="AE30" s="8">
        <f>SUMIFS('compens8-Import'!$H$4:$H$1002,'compens8-Import'!$M$4:$M$1002,$B30,'compens8-Import'!$E$4:$E$1002,AE$1)</f>
        <v>675</v>
      </c>
      <c r="AF30" s="8">
        <f>SUMIFS('compens8-Import'!$H$4:$H$1002,'compens8-Import'!$M$4:$M$1002,$B30,'compens8-Import'!$E$4:$E$1002,AF$1)</f>
        <v>0</v>
      </c>
      <c r="AG30" s="8">
        <f>SUMIFS('compens8-Import'!$H$4:$H$1002,'compens8-Import'!$M$4:$M$1002,$B30,'compens8-Import'!$E$4:$E$1002,AG$1)</f>
        <v>0</v>
      </c>
      <c r="AH30" s="8">
        <f>SUMIFS('compens8-Import'!$H$4:$H$1002,'compens8-Import'!$M$4:$M$1002,$B30,'compens8-Import'!$E$4:$E$1002,AH$1)</f>
        <v>0</v>
      </c>
      <c r="AI30" s="8">
        <f>SUMIFS('compens8-Import'!$H$4:$H$1002,'compens8-Import'!$M$4:$M$1002,$B30,'compens8-Import'!$E$4:$E$1002,AI$1)</f>
        <v>0</v>
      </c>
      <c r="AJ30" s="8">
        <f>SUMIFS('compens8-Import'!$H$4:$H$1002,'compens8-Import'!$M$4:$M$1002,$B30,'compens8-Import'!$E$4:$E$1002,AJ$1)</f>
        <v>647</v>
      </c>
      <c r="AK30" s="8">
        <f>SUMIFS('compens8-Import'!$H$4:$H$1002,'compens8-Import'!$M$4:$M$1002,$B30,'compens8-Import'!$E$4:$E$1002,AK$1)</f>
        <v>10680</v>
      </c>
      <c r="AL30" s="8">
        <f>SUMIFS('compens8-Import'!$H$4:$H$1002,'compens8-Import'!$M$4:$M$1002,$B30,'compens8-Import'!$E$4:$E$1002,AL$1)</f>
        <v>0</v>
      </c>
      <c r="AM30" s="8">
        <f>SUMIFS('compens8-Import'!$H$4:$H$1002,'compens8-Import'!$M$4:$M$1002,$B30,'compens8-Import'!$E$4:$E$1002,AM$1)</f>
        <v>0</v>
      </c>
      <c r="AN30" s="8">
        <f>SUMIFS('compens8-Import'!$H$4:$H$1002,'compens8-Import'!$M$4:$M$1002,$B30,'compens8-Import'!$E$4:$E$1002,AN$1)</f>
        <v>0</v>
      </c>
      <c r="AO30" s="8">
        <f>SUMIFS('compens8-Import'!$H$4:$H$1002,'compens8-Import'!$M$4:$M$1002,$B30,'compens8-Import'!$E$4:$E$1002,AO$1)</f>
        <v>0</v>
      </c>
      <c r="AP30" s="8">
        <f>SUMIFS('compens8-Import'!$H$4:$H$1002,'compens8-Import'!$M$4:$M$1002,$B30,'compens8-Import'!$E$4:$E$1002,AP$1)</f>
        <v>71</v>
      </c>
      <c r="AQ30" s="8">
        <f>SUMIFS('compens8-Import'!$H$4:$H$1002,'compens8-Import'!$M$4:$M$1002,$B30,'compens8-Import'!$E$4:$E$1002,AQ$1)</f>
        <v>0</v>
      </c>
      <c r="AR30" s="8">
        <f>SUMIFS('compens8-Import'!$H$4:$H$1002,'compens8-Import'!$M$4:$M$1002,$B30,'compens8-Import'!$E$4:$E$1002,AR$1)</f>
        <v>7686</v>
      </c>
      <c r="AS30" s="8">
        <f>SUMIFS('compens8-Import'!$H$4:$H$1002,'compens8-Import'!$M$4:$M$1002,$B30,'compens8-Import'!$E$4:$E$1002,AS$1)</f>
        <v>0</v>
      </c>
      <c r="AT30" s="8">
        <f>SUMIFS('compens8-Import'!$H$4:$H$1002,'compens8-Import'!$M$4:$M$1002,$B30,'compens8-Import'!$E$4:$E$1002,AT$1)</f>
        <v>0</v>
      </c>
      <c r="AU30" s="8">
        <f>SUMIFS('compens8-Import'!$H$4:$H$1002,'compens8-Import'!$M$4:$M$1002,$B30,'compens8-Import'!$E$4:$E$1002,AU$1)</f>
        <v>0</v>
      </c>
      <c r="AV30" s="8">
        <f>SUMIFS('compens8-Import'!$H$4:$H$1002,'compens8-Import'!$M$4:$M$1002,$B30,'compens8-Import'!$E$4:$E$1002,AV$1)</f>
        <v>0</v>
      </c>
      <c r="AW30" s="8">
        <f>SUMIFS('compens8-Import'!$H$4:$H$1002,'compens8-Import'!$M$4:$M$1002,$B30,'compens8-Import'!$E$4:$E$1002,AW$1)</f>
        <v>2192</v>
      </c>
      <c r="AX30" s="8">
        <f>SUMIFS('compens8-Import'!$H$4:$H$1002,'compens8-Import'!$M$4:$M$1002,$B30,'compens8-Import'!$E$4:$E$1002,AX$1)</f>
        <v>0</v>
      </c>
      <c r="AY30" s="8">
        <f>SUMIFS('compens8-Import'!$H$4:$H$1002,'compens8-Import'!$M$4:$M$1002,$B30,'compens8-Import'!$E$4:$E$1002,AY$1)</f>
        <v>0</v>
      </c>
      <c r="AZ30" s="8">
        <f>SUMIFS('compens8-Import'!$H$4:$H$1002,'compens8-Import'!$M$4:$M$1002,$B30,'compens8-Import'!$E$4:$E$1002,AZ$1)</f>
        <v>0</v>
      </c>
      <c r="BA30" s="8">
        <f>SUMIFS('compens8-Import'!$H$4:$H$1002,'compens8-Import'!$M$4:$M$1002,$B30,'compens8-Import'!$E$4:$E$1002,BA$1)</f>
        <v>0</v>
      </c>
      <c r="BB30" s="8">
        <f>SUMIFS('compens8-Import'!$H$4:$H$1002,'compens8-Import'!$M$4:$M$1002,$B30,'compens8-Import'!$E$4:$E$1002,BB$1)</f>
        <v>0</v>
      </c>
      <c r="BC30" s="8">
        <f>SUMIFS('compens8-Import'!$H$4:$H$1002,'compens8-Import'!$M$4:$M$1002,$B30,'compens8-Import'!$E$4:$E$1002,BC$1)</f>
        <v>4397</v>
      </c>
      <c r="BD30" s="8">
        <f>SUMIFS('compens8-Import'!$H$4:$H$1002,'compens8-Import'!$M$4:$M$1002,$B30,'compens8-Import'!$E$4:$E$1002,BD$1)</f>
        <v>0</v>
      </c>
      <c r="BE30" s="8">
        <f>SUMIFS('compens8-Import'!$H$4:$H$1002,'compens8-Import'!$M$4:$M$1002,$B30,'compens8-Import'!$E$4:$E$1002,BE$1)</f>
        <v>0</v>
      </c>
      <c r="BF30" s="8">
        <f>SUMIFS('compens8-Import'!$H$4:$H$1002,'compens8-Import'!$M$4:$M$1002,$B30,'compens8-Import'!$E$4:$E$1002,BF$1)</f>
        <v>0</v>
      </c>
      <c r="BG30" s="8">
        <f>SUMIFS('compens8-Import'!$H$4:$H$1002,'compens8-Import'!$M$4:$M$1002,$B30,'compens8-Import'!$E$4:$E$1002,BG$1)</f>
        <v>4959</v>
      </c>
      <c r="BH30" s="8">
        <f>SUMIFS('compens8-Import'!$H$4:$H$1002,'compens8-Import'!$M$4:$M$1002,$B30,'compens8-Import'!$E$4:$E$1002,BH$1)</f>
        <v>0</v>
      </c>
      <c r="BI30" s="8">
        <f>SUMIFS('compens8-Import'!$H$4:$H$1002,'compens8-Import'!$M$4:$M$1002,$B30,'compens8-Import'!$E$4:$E$1002,BI$1)</f>
        <v>822</v>
      </c>
      <c r="BJ30" s="8">
        <f>SUMIFS('compens8-Import'!$H$4:$H$1002,'compens8-Import'!$M$4:$M$1002,$B30,'compens8-Import'!$E$4:$E$1002,BJ$1)</f>
        <v>0</v>
      </c>
      <c r="BK30" s="8">
        <f>SUMIFS('compens8-Import'!$H$4:$H$1002,'compens8-Import'!$M$4:$M$1002,$B30,'compens8-Import'!$E$4:$E$1002,BK$1)</f>
        <v>0</v>
      </c>
      <c r="BL30" s="8">
        <f>SUMIFS('compens8-Import'!$H$4:$H$1002,'compens8-Import'!$M$4:$M$1002,$B30,'compens8-Import'!$E$4:$E$1002,BL$1)</f>
        <v>0</v>
      </c>
      <c r="BM30" s="8">
        <f>SUMIFS('compens8-Import'!$H$4:$H$1002,'compens8-Import'!$M$4:$M$1002,$B30,'compens8-Import'!$E$4:$E$1002,BM$1)</f>
        <v>130680</v>
      </c>
      <c r="BN30" s="8">
        <f>SUMIFS('compens8-Import'!$H$4:$H$1002,'compens8-Import'!$M$4:$M$1002,$B30,'compens8-Import'!$E$4:$E$1002,BN$1)</f>
        <v>0</v>
      </c>
      <c r="BO30" s="8">
        <f>SUMIFS('compens8-Import'!$H$4:$H$1002,'compens8-Import'!$M$4:$M$1002,$B30,'compens8-Import'!$E$4:$E$1002,BO$1)</f>
        <v>0</v>
      </c>
      <c r="BP30" s="8">
        <f>SUMIFS('compens8-Import'!$H$4:$H$1002,'compens8-Import'!$M$4:$M$1002,$B30,'compens8-Import'!$E$4:$E$1002,BP$1)</f>
        <v>4896</v>
      </c>
      <c r="BQ30" s="8">
        <f>SUMIFS('compens8-Import'!$H$4:$H$1002,'compens8-Import'!$M$4:$M$1002,$B30,'compens8-Import'!$E$4:$E$1002,BQ$1)</f>
        <v>0</v>
      </c>
      <c r="BR30" s="8">
        <f>SUMIFS('compens8-Import'!$H$4:$H$1002,'compens8-Import'!$M$4:$M$1002,$B30,'compens8-Import'!$E$4:$E$1002,BR$1)</f>
        <v>0</v>
      </c>
      <c r="BS30" s="8">
        <f>SUMIFS('compens8-Import'!$H$4:$H$1002,'compens8-Import'!$M$4:$M$1002,$B30,'compens8-Import'!$E$4:$E$1002,BS$1)</f>
        <v>10656</v>
      </c>
      <c r="BT30" s="8">
        <f>SUMIFS('compens8-Import'!$H$4:$H$1002,'compens8-Import'!$M$4:$M$1002,$B30,'compens8-Import'!$E$4:$E$1002,BT$1)</f>
        <v>304</v>
      </c>
      <c r="BU30" s="8">
        <f>SUMIFS('compens8-Import'!$H$4:$H$1002,'compens8-Import'!$M$4:$M$1002,$B30,'compens8-Import'!$E$4:$E$1002,BU$1)</f>
        <v>0</v>
      </c>
      <c r="BV30" s="8">
        <f>SUMIFS('compens8-Import'!$H$4:$H$1002,'compens8-Import'!$M$4:$M$1002,$B30,'compens8-Import'!$E$4:$E$1002,BV$1)</f>
        <v>6759</v>
      </c>
      <c r="BW30" s="8">
        <f>SUMIFS('compens8-Import'!$H$4:$H$1002,'compens8-Import'!$M$4:$M$1002,$B30,'compens8-Import'!$E$4:$E$1002,BW$1)</f>
        <v>25</v>
      </c>
      <c r="BX30" s="8">
        <f>SUMIFS('compens8-Import'!$H$4:$H$1002,'compens8-Import'!$M$4:$M$1002,$B30,'compens8-Import'!$E$4:$E$1002,BX$1)</f>
        <v>0</v>
      </c>
      <c r="BY30" s="8">
        <f>SUMIFS('compens8-Import'!$H$4:$H$1002,'compens8-Import'!$M$4:$M$1002,$B30,'compens8-Import'!$E$4:$E$1002,BY$1)</f>
        <v>0</v>
      </c>
      <c r="BZ30" s="8">
        <f>SUMIFS('compens8-Import'!$H$4:$H$1002,'compens8-Import'!$M$4:$M$1002,$B30,'compens8-Import'!$E$4:$E$1002,BZ$1)</f>
        <v>0</v>
      </c>
      <c r="CA30" s="8">
        <f>SUMIFS('compens8-Import'!$H$4:$H$1002,'compens8-Import'!$M$4:$M$1002,$B30,'compens8-Import'!$E$4:$E$1002,CA$1)</f>
        <v>0</v>
      </c>
      <c r="CB30" s="8">
        <f>SUMIFS('compens8-Import'!$H$4:$H$1002,'compens8-Import'!$M$4:$M$1002,$B30,'compens8-Import'!$E$4:$E$1002,CB$1)</f>
        <v>0</v>
      </c>
      <c r="CC30" s="8">
        <f>SUMIFS('compens8-Import'!$H$4:$H$1002,'compens8-Import'!$M$4:$M$1002,$B30,'compens8-Import'!$E$4:$E$1002,CC$1)</f>
        <v>0</v>
      </c>
      <c r="CD30" s="8">
        <f>SUMIFS('compens8-Import'!$H$4:$H$1002,'compens8-Import'!$M$4:$M$1002,$B30,'compens8-Import'!$E$4:$E$1002,CD$1)</f>
        <v>25367</v>
      </c>
      <c r="CE30" s="8">
        <f>SUMIFS('compens8-Import'!$H$4:$H$1002,'compens8-Import'!$M$4:$M$1002,$B30,'compens8-Import'!$E$4:$E$1002,CE$1)</f>
        <v>1458</v>
      </c>
      <c r="CF30" s="8">
        <f>SUMIFS('compens8-Import'!$H$4:$H$1002,'compens8-Import'!$M$4:$M$1002,$B30,'compens8-Import'!$E$4:$E$1002,CF$1)</f>
        <v>0</v>
      </c>
      <c r="CG30" s="8">
        <f>SUMIFS('compens8-Import'!$H$4:$H$1002,'compens8-Import'!$M$4:$M$1002,$B30,'compens8-Import'!$E$4:$E$1002,CG$1)</f>
        <v>0</v>
      </c>
      <c r="CH30" s="8">
        <f>SUMIFS('compens8-Import'!$H$4:$H$1002,'compens8-Import'!$M$4:$M$1002,$B30,'compens8-Import'!$E$4:$E$1002,CH$1)</f>
        <v>0</v>
      </c>
      <c r="CI30" s="8">
        <f>SUMIFS('compens8-Import'!$H$4:$H$1002,'compens8-Import'!$M$4:$M$1002,$B30,'compens8-Import'!$E$4:$E$1002,CI$1)</f>
        <v>0</v>
      </c>
      <c r="CJ30" s="8">
        <f>SUMIFS('compens8-Import'!$H$4:$H$1002,'compens8-Import'!$M$4:$M$1002,$B30,'compens8-Import'!$E$4:$E$1002,CJ$1)</f>
        <v>0</v>
      </c>
      <c r="CK30" s="8">
        <f>SUMIFS('compens8-Import'!$H$4:$H$1002,'compens8-Import'!$M$4:$M$1002,$B30,'compens8-Import'!$E$4:$E$1002,CK$1)</f>
        <v>0</v>
      </c>
      <c r="CL30" s="8">
        <f>SUMIFS('compens8-Import'!$H$4:$H$1002,'compens8-Import'!$M$4:$M$1002,$B30,'compens8-Import'!$E$4:$E$1002,CL$1)</f>
        <v>0</v>
      </c>
      <c r="CM30" s="8">
        <f>SUMIFS('compens8-Import'!$H$4:$H$1002,'compens8-Import'!$M$4:$M$1002,$B30,'compens8-Import'!$E$4:$E$1002,CM$1)</f>
        <v>0</v>
      </c>
      <c r="CN30" s="8">
        <f>SUMIFS('compens8-Import'!$H$4:$H$1002,'compens8-Import'!$M$4:$M$1002,$B30,'compens8-Import'!$E$4:$E$1002,CN$1)</f>
        <v>0</v>
      </c>
    </row>
    <row r="31" spans="1:92" x14ac:dyDescent="0.25">
      <c r="A31" s="2" t="s">
        <v>16</v>
      </c>
      <c r="B31" s="2" t="str">
        <f>_xlfn.XLOOKUP(A31,'Correspondances pays'!$A$4:$A$200,'Correspondances pays'!$B$4:$B$200)</f>
        <v>Canada</v>
      </c>
      <c r="C31" s="44">
        <f>AutoConsommation!F30</f>
        <v>59721</v>
      </c>
      <c r="D31" s="8">
        <f t="shared" si="0"/>
        <v>59721</v>
      </c>
      <c r="E31" s="8">
        <f>SUMIFS('compens8-Import'!$H$4:$H$1002,'compens8-Import'!$M$4:$M$1002,$B31,'compens8-Import'!$E$4:$E$1002,E$1)</f>
        <v>0</v>
      </c>
      <c r="F31" s="8">
        <f>SUMIFS('compens8-Import'!$H$4:$H$1002,'compens8-Import'!$M$4:$M$1002,$B31,'compens8-Import'!$E$4:$E$1002,F$1)</f>
        <v>0</v>
      </c>
      <c r="G31" s="8">
        <f>SUMIFS('compens8-Import'!$H$4:$H$1002,'compens8-Import'!$M$4:$M$1002,$B31,'compens8-Import'!$E$4:$E$1002,G$1)</f>
        <v>0</v>
      </c>
      <c r="H31" s="8">
        <f>SUMIFS('compens8-Import'!$H$4:$H$1002,'compens8-Import'!$M$4:$M$1002,$B31,'compens8-Import'!$E$4:$E$1002,H$1)</f>
        <v>0</v>
      </c>
      <c r="I31" s="8">
        <f>SUMIFS('compens8-Import'!$H$4:$H$1002,'compens8-Import'!$M$4:$M$1002,$B31,'compens8-Import'!$E$4:$E$1002,I$1)</f>
        <v>5397</v>
      </c>
      <c r="J31" s="8">
        <f>SUMIFS('compens8-Import'!$H$4:$H$1002,'compens8-Import'!$M$4:$M$1002,$B31,'compens8-Import'!$E$4:$E$1002,J$1)</f>
        <v>0</v>
      </c>
      <c r="K31" s="8">
        <f>SUMIFS('compens8-Import'!$H$4:$H$1002,'compens8-Import'!$M$4:$M$1002,$B31,'compens8-Import'!$E$4:$E$1002,K$1)</f>
        <v>380</v>
      </c>
      <c r="L31" s="8">
        <f>SUMIFS('compens8-Import'!$H$4:$H$1002,'compens8-Import'!$M$4:$M$1002,$B31,'compens8-Import'!$E$4:$E$1002,L$1)</f>
        <v>5968</v>
      </c>
      <c r="M31" s="8">
        <f>SUMIFS('compens8-Import'!$H$4:$H$1002,'compens8-Import'!$M$4:$M$1002,$B31,'compens8-Import'!$E$4:$E$1002,M$1)</f>
        <v>0</v>
      </c>
      <c r="N31" s="8">
        <f>SUMIFS('compens8-Import'!$H$4:$H$1002,'compens8-Import'!$M$4:$M$1002,$B31,'compens8-Import'!$E$4:$E$1002,N$1)</f>
        <v>0</v>
      </c>
      <c r="O31" s="8">
        <f>SUMIFS('compens8-Import'!$H$4:$H$1002,'compens8-Import'!$M$4:$M$1002,$B31,'compens8-Import'!$E$4:$E$1002,O$1)</f>
        <v>19</v>
      </c>
      <c r="P31" s="8">
        <f>SUMIFS('compens8-Import'!$H$4:$H$1002,'compens8-Import'!$M$4:$M$1002,$B31,'compens8-Import'!$E$4:$E$1002,P$1)</f>
        <v>0</v>
      </c>
      <c r="Q31" s="8">
        <f>SUMIFS('compens8-Import'!$H$4:$H$1002,'compens8-Import'!$M$4:$M$1002,$B31,'compens8-Import'!$E$4:$E$1002,Q$1)</f>
        <v>0</v>
      </c>
      <c r="R31" s="8">
        <f>SUMIFS('compens8-Import'!$H$4:$H$1002,'compens8-Import'!$M$4:$M$1002,$B31,'compens8-Import'!$E$4:$E$1002,R$1)</f>
        <v>0</v>
      </c>
      <c r="S31" s="8">
        <f>SUMIFS('compens8-Import'!$H$4:$H$1002,'compens8-Import'!$M$4:$M$1002,$B31,'compens8-Import'!$E$4:$E$1002,S$1)</f>
        <v>0</v>
      </c>
      <c r="T31" s="8">
        <f>SUMIFS('compens8-Import'!$H$4:$H$1002,'compens8-Import'!$M$4:$M$1002,$B31,'compens8-Import'!$E$4:$E$1002,T$1)</f>
        <v>0</v>
      </c>
      <c r="U31" s="8">
        <f>SUMIFS('compens8-Import'!$H$4:$H$1002,'compens8-Import'!$M$4:$M$1002,$B31,'compens8-Import'!$E$4:$E$1002,U$1)</f>
        <v>2987</v>
      </c>
      <c r="V31" s="8">
        <f>SUMIFS('compens8-Import'!$H$4:$H$1002,'compens8-Import'!$M$4:$M$1002,$B31,'compens8-Import'!$E$4:$E$1002,V$1)</f>
        <v>448</v>
      </c>
      <c r="W31" s="8">
        <f>SUMIFS('compens8-Import'!$H$4:$H$1002,'compens8-Import'!$M$4:$M$1002,$B31,'compens8-Import'!$E$4:$E$1002,W$1)</f>
        <v>0</v>
      </c>
      <c r="X31" s="8">
        <f>SUMIFS('compens8-Import'!$H$4:$H$1002,'compens8-Import'!$M$4:$M$1002,$B31,'compens8-Import'!$E$4:$E$1002,X$1)</f>
        <v>0</v>
      </c>
      <c r="Y31" s="8">
        <f>SUMIFS('compens8-Import'!$H$4:$H$1002,'compens8-Import'!$M$4:$M$1002,$B31,'compens8-Import'!$E$4:$E$1002,Y$1)</f>
        <v>0</v>
      </c>
      <c r="Z31" s="8">
        <f>SUMIFS('compens8-Import'!$H$4:$H$1002,'compens8-Import'!$M$4:$M$1002,$B31,'compens8-Import'!$E$4:$E$1002,Z$1)</f>
        <v>0</v>
      </c>
      <c r="AA31" s="8">
        <f>SUMIFS('compens8-Import'!$H$4:$H$1002,'compens8-Import'!$M$4:$M$1002,$B31,'compens8-Import'!$E$4:$E$1002,AA$1)</f>
        <v>0</v>
      </c>
      <c r="AB31" s="8">
        <f>SUMIFS('compens8-Import'!$H$4:$H$1002,'compens8-Import'!$M$4:$M$1002,$B31,'compens8-Import'!$E$4:$E$1002,AB$1)</f>
        <v>0</v>
      </c>
      <c r="AC31" s="8">
        <f>SUMIFS('compens8-Import'!$H$4:$H$1002,'compens8-Import'!$M$4:$M$1002,$B31,'compens8-Import'!$E$4:$E$1002,AC$1)</f>
        <v>18</v>
      </c>
      <c r="AD31" s="8">
        <f>SUMIFS('compens8-Import'!$H$4:$H$1002,'compens8-Import'!$M$4:$M$1002,$B31,'compens8-Import'!$E$4:$E$1002,AD$1)</f>
        <v>14</v>
      </c>
      <c r="AE31" s="8">
        <f>SUMIFS('compens8-Import'!$H$4:$H$1002,'compens8-Import'!$M$4:$M$1002,$B31,'compens8-Import'!$E$4:$E$1002,AE$1)</f>
        <v>335</v>
      </c>
      <c r="AF31" s="8">
        <f>SUMIFS('compens8-Import'!$H$4:$H$1002,'compens8-Import'!$M$4:$M$1002,$B31,'compens8-Import'!$E$4:$E$1002,AF$1)</f>
        <v>0</v>
      </c>
      <c r="AG31" s="8">
        <f>SUMIFS('compens8-Import'!$H$4:$H$1002,'compens8-Import'!$M$4:$M$1002,$B31,'compens8-Import'!$E$4:$E$1002,AG$1)</f>
        <v>0</v>
      </c>
      <c r="AH31" s="8">
        <f>SUMIFS('compens8-Import'!$H$4:$H$1002,'compens8-Import'!$M$4:$M$1002,$B31,'compens8-Import'!$E$4:$E$1002,AH$1)</f>
        <v>0</v>
      </c>
      <c r="AI31" s="8">
        <f>SUMIFS('compens8-Import'!$H$4:$H$1002,'compens8-Import'!$M$4:$M$1002,$B31,'compens8-Import'!$E$4:$E$1002,AI$1)</f>
        <v>0</v>
      </c>
      <c r="AJ31" s="8">
        <f>SUMIFS('compens8-Import'!$H$4:$H$1002,'compens8-Import'!$M$4:$M$1002,$B31,'compens8-Import'!$E$4:$E$1002,AJ$1)</f>
        <v>0</v>
      </c>
      <c r="AK31" s="8">
        <f>SUMIFS('compens8-Import'!$H$4:$H$1002,'compens8-Import'!$M$4:$M$1002,$B31,'compens8-Import'!$E$4:$E$1002,AK$1)</f>
        <v>19252</v>
      </c>
      <c r="AL31" s="8">
        <f>SUMIFS('compens8-Import'!$H$4:$H$1002,'compens8-Import'!$M$4:$M$1002,$B31,'compens8-Import'!$E$4:$E$1002,AL$1)</f>
        <v>0</v>
      </c>
      <c r="AM31" s="8">
        <f>SUMIFS('compens8-Import'!$H$4:$H$1002,'compens8-Import'!$M$4:$M$1002,$B31,'compens8-Import'!$E$4:$E$1002,AM$1)</f>
        <v>0</v>
      </c>
      <c r="AN31" s="8">
        <f>SUMIFS('compens8-Import'!$H$4:$H$1002,'compens8-Import'!$M$4:$M$1002,$B31,'compens8-Import'!$E$4:$E$1002,AN$1)</f>
        <v>0</v>
      </c>
      <c r="AO31" s="8">
        <f>SUMIFS('compens8-Import'!$H$4:$H$1002,'compens8-Import'!$M$4:$M$1002,$B31,'compens8-Import'!$E$4:$E$1002,AO$1)</f>
        <v>0</v>
      </c>
      <c r="AP31" s="8">
        <f>SUMIFS('compens8-Import'!$H$4:$H$1002,'compens8-Import'!$M$4:$M$1002,$B31,'compens8-Import'!$E$4:$E$1002,AP$1)</f>
        <v>124</v>
      </c>
      <c r="AQ31" s="8">
        <f>SUMIFS('compens8-Import'!$H$4:$H$1002,'compens8-Import'!$M$4:$M$1002,$B31,'compens8-Import'!$E$4:$E$1002,AQ$1)</f>
        <v>0</v>
      </c>
      <c r="AR31" s="8">
        <f>SUMIFS('compens8-Import'!$H$4:$H$1002,'compens8-Import'!$M$4:$M$1002,$B31,'compens8-Import'!$E$4:$E$1002,AR$1)</f>
        <v>0</v>
      </c>
      <c r="AS31" s="8">
        <f>SUMIFS('compens8-Import'!$H$4:$H$1002,'compens8-Import'!$M$4:$M$1002,$B31,'compens8-Import'!$E$4:$E$1002,AS$1)</f>
        <v>0</v>
      </c>
      <c r="AT31" s="8">
        <f>SUMIFS('compens8-Import'!$H$4:$H$1002,'compens8-Import'!$M$4:$M$1002,$B31,'compens8-Import'!$E$4:$E$1002,AT$1)</f>
        <v>0</v>
      </c>
      <c r="AU31" s="8">
        <f>SUMIFS('compens8-Import'!$H$4:$H$1002,'compens8-Import'!$M$4:$M$1002,$B31,'compens8-Import'!$E$4:$E$1002,AU$1)</f>
        <v>0</v>
      </c>
      <c r="AV31" s="8">
        <f>SUMIFS('compens8-Import'!$H$4:$H$1002,'compens8-Import'!$M$4:$M$1002,$B31,'compens8-Import'!$E$4:$E$1002,AV$1)</f>
        <v>0</v>
      </c>
      <c r="AW31" s="8">
        <f>SUMIFS('compens8-Import'!$H$4:$H$1002,'compens8-Import'!$M$4:$M$1002,$B31,'compens8-Import'!$E$4:$E$1002,AW$1)</f>
        <v>0</v>
      </c>
      <c r="AX31" s="8">
        <f>SUMIFS('compens8-Import'!$H$4:$H$1002,'compens8-Import'!$M$4:$M$1002,$B31,'compens8-Import'!$E$4:$E$1002,AX$1)</f>
        <v>0</v>
      </c>
      <c r="AY31" s="8">
        <f>SUMIFS('compens8-Import'!$H$4:$H$1002,'compens8-Import'!$M$4:$M$1002,$B31,'compens8-Import'!$E$4:$E$1002,AY$1)</f>
        <v>0</v>
      </c>
      <c r="AZ31" s="8">
        <f>SUMIFS('compens8-Import'!$H$4:$H$1002,'compens8-Import'!$M$4:$M$1002,$B31,'compens8-Import'!$E$4:$E$1002,AZ$1)</f>
        <v>0</v>
      </c>
      <c r="BA31" s="8">
        <f>SUMIFS('compens8-Import'!$H$4:$H$1002,'compens8-Import'!$M$4:$M$1002,$B31,'compens8-Import'!$E$4:$E$1002,BA$1)</f>
        <v>0</v>
      </c>
      <c r="BB31" s="8">
        <f>SUMIFS('compens8-Import'!$H$4:$H$1002,'compens8-Import'!$M$4:$M$1002,$B31,'compens8-Import'!$E$4:$E$1002,BB$1)</f>
        <v>0</v>
      </c>
      <c r="BC31" s="8">
        <f>SUMIFS('compens8-Import'!$H$4:$H$1002,'compens8-Import'!$M$4:$M$1002,$B31,'compens8-Import'!$E$4:$E$1002,BC$1)</f>
        <v>443</v>
      </c>
      <c r="BD31" s="8">
        <f>SUMIFS('compens8-Import'!$H$4:$H$1002,'compens8-Import'!$M$4:$M$1002,$B31,'compens8-Import'!$E$4:$E$1002,BD$1)</f>
        <v>355</v>
      </c>
      <c r="BE31" s="8">
        <f>SUMIFS('compens8-Import'!$H$4:$H$1002,'compens8-Import'!$M$4:$M$1002,$B31,'compens8-Import'!$E$4:$E$1002,BE$1)</f>
        <v>0</v>
      </c>
      <c r="BF31" s="8">
        <f>SUMIFS('compens8-Import'!$H$4:$H$1002,'compens8-Import'!$M$4:$M$1002,$B31,'compens8-Import'!$E$4:$E$1002,BF$1)</f>
        <v>0</v>
      </c>
      <c r="BG31" s="8">
        <f>SUMIFS('compens8-Import'!$H$4:$H$1002,'compens8-Import'!$M$4:$M$1002,$B31,'compens8-Import'!$E$4:$E$1002,BG$1)</f>
        <v>0</v>
      </c>
      <c r="BH31" s="8">
        <f>SUMIFS('compens8-Import'!$H$4:$H$1002,'compens8-Import'!$M$4:$M$1002,$B31,'compens8-Import'!$E$4:$E$1002,BH$1)</f>
        <v>0</v>
      </c>
      <c r="BI31" s="8">
        <f>SUMIFS('compens8-Import'!$H$4:$H$1002,'compens8-Import'!$M$4:$M$1002,$B31,'compens8-Import'!$E$4:$E$1002,BI$1)</f>
        <v>0</v>
      </c>
      <c r="BJ31" s="8">
        <f>SUMIFS('compens8-Import'!$H$4:$H$1002,'compens8-Import'!$M$4:$M$1002,$B31,'compens8-Import'!$E$4:$E$1002,BJ$1)</f>
        <v>0</v>
      </c>
      <c r="BK31" s="8">
        <f>SUMIFS('compens8-Import'!$H$4:$H$1002,'compens8-Import'!$M$4:$M$1002,$B31,'compens8-Import'!$E$4:$E$1002,BK$1)</f>
        <v>9219</v>
      </c>
      <c r="BL31" s="8">
        <f>SUMIFS('compens8-Import'!$H$4:$H$1002,'compens8-Import'!$M$4:$M$1002,$B31,'compens8-Import'!$E$4:$E$1002,BL$1)</f>
        <v>0</v>
      </c>
      <c r="BM31" s="8">
        <f>SUMIFS('compens8-Import'!$H$4:$H$1002,'compens8-Import'!$M$4:$M$1002,$B31,'compens8-Import'!$E$4:$E$1002,BM$1)</f>
        <v>0</v>
      </c>
      <c r="BN31" s="8">
        <f>SUMIFS('compens8-Import'!$H$4:$H$1002,'compens8-Import'!$M$4:$M$1002,$B31,'compens8-Import'!$E$4:$E$1002,BN$1)</f>
        <v>198</v>
      </c>
      <c r="BO31" s="8">
        <f>SUMIFS('compens8-Import'!$H$4:$H$1002,'compens8-Import'!$M$4:$M$1002,$B31,'compens8-Import'!$E$4:$E$1002,BO$1)</f>
        <v>39</v>
      </c>
      <c r="BP31" s="8">
        <f>SUMIFS('compens8-Import'!$H$4:$H$1002,'compens8-Import'!$M$4:$M$1002,$B31,'compens8-Import'!$E$4:$E$1002,BP$1)</f>
        <v>0</v>
      </c>
      <c r="BQ31" s="8">
        <f>SUMIFS('compens8-Import'!$H$4:$H$1002,'compens8-Import'!$M$4:$M$1002,$B31,'compens8-Import'!$E$4:$E$1002,BQ$1)</f>
        <v>0</v>
      </c>
      <c r="BR31" s="8">
        <f>SUMIFS('compens8-Import'!$H$4:$H$1002,'compens8-Import'!$M$4:$M$1002,$B31,'compens8-Import'!$E$4:$E$1002,BR$1)</f>
        <v>0</v>
      </c>
      <c r="BS31" s="8">
        <f>SUMIFS('compens8-Import'!$H$4:$H$1002,'compens8-Import'!$M$4:$M$1002,$B31,'compens8-Import'!$E$4:$E$1002,BS$1)</f>
        <v>0</v>
      </c>
      <c r="BT31" s="8">
        <f>SUMIFS('compens8-Import'!$H$4:$H$1002,'compens8-Import'!$M$4:$M$1002,$B31,'compens8-Import'!$E$4:$E$1002,BT$1)</f>
        <v>241</v>
      </c>
      <c r="BU31" s="8">
        <f>SUMIFS('compens8-Import'!$H$4:$H$1002,'compens8-Import'!$M$4:$M$1002,$B31,'compens8-Import'!$E$4:$E$1002,BU$1)</f>
        <v>0</v>
      </c>
      <c r="BV31" s="8">
        <f>SUMIFS('compens8-Import'!$H$4:$H$1002,'compens8-Import'!$M$4:$M$1002,$B31,'compens8-Import'!$E$4:$E$1002,BV$1)</f>
        <v>0</v>
      </c>
      <c r="BW31" s="8">
        <f>SUMIFS('compens8-Import'!$H$4:$H$1002,'compens8-Import'!$M$4:$M$1002,$B31,'compens8-Import'!$E$4:$E$1002,BW$1)</f>
        <v>0</v>
      </c>
      <c r="BX31" s="8">
        <f>SUMIFS('compens8-Import'!$H$4:$H$1002,'compens8-Import'!$M$4:$M$1002,$B31,'compens8-Import'!$E$4:$E$1002,BX$1)</f>
        <v>0</v>
      </c>
      <c r="BY31" s="8">
        <f>SUMIFS('compens8-Import'!$H$4:$H$1002,'compens8-Import'!$M$4:$M$1002,$B31,'compens8-Import'!$E$4:$E$1002,BY$1)</f>
        <v>0</v>
      </c>
      <c r="BZ31" s="8">
        <f>SUMIFS('compens8-Import'!$H$4:$H$1002,'compens8-Import'!$M$4:$M$1002,$B31,'compens8-Import'!$E$4:$E$1002,BZ$1)</f>
        <v>0</v>
      </c>
      <c r="CA31" s="8">
        <f>SUMIFS('compens8-Import'!$H$4:$H$1002,'compens8-Import'!$M$4:$M$1002,$B31,'compens8-Import'!$E$4:$E$1002,CA$1)</f>
        <v>0</v>
      </c>
      <c r="CB31" s="8">
        <f>SUMIFS('compens8-Import'!$H$4:$H$1002,'compens8-Import'!$M$4:$M$1002,$B31,'compens8-Import'!$E$4:$E$1002,CB$1)</f>
        <v>0</v>
      </c>
      <c r="CC31" s="8">
        <f>SUMIFS('compens8-Import'!$H$4:$H$1002,'compens8-Import'!$M$4:$M$1002,$B31,'compens8-Import'!$E$4:$E$1002,CC$1)</f>
        <v>0</v>
      </c>
      <c r="CD31" s="8">
        <f>SUMIFS('compens8-Import'!$H$4:$H$1002,'compens8-Import'!$M$4:$M$1002,$B31,'compens8-Import'!$E$4:$E$1002,CD$1)</f>
        <v>9743</v>
      </c>
      <c r="CE31" s="8">
        <f>SUMIFS('compens8-Import'!$H$4:$H$1002,'compens8-Import'!$M$4:$M$1002,$B31,'compens8-Import'!$E$4:$E$1002,CE$1)</f>
        <v>39</v>
      </c>
      <c r="CF31" s="8">
        <f>SUMIFS('compens8-Import'!$H$4:$H$1002,'compens8-Import'!$M$4:$M$1002,$B31,'compens8-Import'!$E$4:$E$1002,CF$1)</f>
        <v>0</v>
      </c>
      <c r="CG31" s="8">
        <f>SUMIFS('compens8-Import'!$H$4:$H$1002,'compens8-Import'!$M$4:$M$1002,$B31,'compens8-Import'!$E$4:$E$1002,CG$1)</f>
        <v>0</v>
      </c>
      <c r="CH31" s="8">
        <f>SUMIFS('compens8-Import'!$H$4:$H$1002,'compens8-Import'!$M$4:$M$1002,$B31,'compens8-Import'!$E$4:$E$1002,CH$1)</f>
        <v>0</v>
      </c>
      <c r="CI31" s="8">
        <f>SUMIFS('compens8-Import'!$H$4:$H$1002,'compens8-Import'!$M$4:$M$1002,$B31,'compens8-Import'!$E$4:$E$1002,CI$1)</f>
        <v>0</v>
      </c>
      <c r="CJ31" s="8">
        <f>SUMIFS('compens8-Import'!$H$4:$H$1002,'compens8-Import'!$M$4:$M$1002,$B31,'compens8-Import'!$E$4:$E$1002,CJ$1)</f>
        <v>0</v>
      </c>
      <c r="CK31" s="8">
        <f>SUMIFS('compens8-Import'!$H$4:$H$1002,'compens8-Import'!$M$4:$M$1002,$B31,'compens8-Import'!$E$4:$E$1002,CK$1)</f>
        <v>1977</v>
      </c>
      <c r="CL31" s="8">
        <f>SUMIFS('compens8-Import'!$H$4:$H$1002,'compens8-Import'!$M$4:$M$1002,$B31,'compens8-Import'!$E$4:$E$1002,CL$1)</f>
        <v>2280</v>
      </c>
      <c r="CM31" s="8">
        <f>SUMIFS('compens8-Import'!$H$4:$H$1002,'compens8-Import'!$M$4:$M$1002,$B31,'compens8-Import'!$E$4:$E$1002,CM$1)</f>
        <v>225</v>
      </c>
      <c r="CN31" s="8">
        <f>SUMIFS('compens8-Import'!$H$4:$H$1002,'compens8-Import'!$M$4:$M$1002,$B31,'compens8-Import'!$E$4:$E$1002,CN$1)</f>
        <v>20</v>
      </c>
    </row>
    <row r="32" spans="1:92" x14ac:dyDescent="0.25">
      <c r="A32" s="2" t="s">
        <v>75</v>
      </c>
      <c r="B32" s="2" t="str">
        <f>_xlfn.XLOOKUP(A32,'Correspondances pays'!$A$4:$A$200,'Correspondances pays'!$B$4:$B$200)</f>
        <v>Netherlands</v>
      </c>
      <c r="C32" s="44">
        <f>AutoConsommation!F31</f>
        <v>764858</v>
      </c>
      <c r="D32" s="8">
        <f t="shared" si="0"/>
        <v>764858</v>
      </c>
      <c r="E32" s="8">
        <f>SUMIFS('compens8-Import'!$H$4:$H$1002,'compens8-Import'!$M$4:$M$1002,$B32,'compens8-Import'!$E$4:$E$1002,E$1)</f>
        <v>0</v>
      </c>
      <c r="F32" s="8">
        <f>SUMIFS('compens8-Import'!$H$4:$H$1002,'compens8-Import'!$M$4:$M$1002,$B32,'compens8-Import'!$E$4:$E$1002,F$1)</f>
        <v>0</v>
      </c>
      <c r="G32" s="8">
        <f>SUMIFS('compens8-Import'!$H$4:$H$1002,'compens8-Import'!$M$4:$M$1002,$B32,'compens8-Import'!$E$4:$E$1002,G$1)</f>
        <v>0</v>
      </c>
      <c r="H32" s="8">
        <f>SUMIFS('compens8-Import'!$H$4:$H$1002,'compens8-Import'!$M$4:$M$1002,$B32,'compens8-Import'!$E$4:$E$1002,H$1)</f>
        <v>0</v>
      </c>
      <c r="I32" s="8">
        <f>SUMIFS('compens8-Import'!$H$4:$H$1002,'compens8-Import'!$M$4:$M$1002,$B32,'compens8-Import'!$E$4:$E$1002,I$1)</f>
        <v>3786</v>
      </c>
      <c r="J32" s="8">
        <f>SUMIFS('compens8-Import'!$H$4:$H$1002,'compens8-Import'!$M$4:$M$1002,$B32,'compens8-Import'!$E$4:$E$1002,J$1)</f>
        <v>4204</v>
      </c>
      <c r="K32" s="8">
        <f>SUMIFS('compens8-Import'!$H$4:$H$1002,'compens8-Import'!$M$4:$M$1002,$B32,'compens8-Import'!$E$4:$E$1002,K$1)</f>
        <v>0</v>
      </c>
      <c r="L32" s="8">
        <f>SUMIFS('compens8-Import'!$H$4:$H$1002,'compens8-Import'!$M$4:$M$1002,$B32,'compens8-Import'!$E$4:$E$1002,L$1)</f>
        <v>56549</v>
      </c>
      <c r="M32" s="8">
        <f>SUMIFS('compens8-Import'!$H$4:$H$1002,'compens8-Import'!$M$4:$M$1002,$B32,'compens8-Import'!$E$4:$E$1002,M$1)</f>
        <v>0</v>
      </c>
      <c r="N32" s="8">
        <f>SUMIFS('compens8-Import'!$H$4:$H$1002,'compens8-Import'!$M$4:$M$1002,$B32,'compens8-Import'!$E$4:$E$1002,N$1)</f>
        <v>0</v>
      </c>
      <c r="O32" s="8">
        <f>SUMIFS('compens8-Import'!$H$4:$H$1002,'compens8-Import'!$M$4:$M$1002,$B32,'compens8-Import'!$E$4:$E$1002,O$1)</f>
        <v>20123</v>
      </c>
      <c r="P32" s="8">
        <f>SUMIFS('compens8-Import'!$H$4:$H$1002,'compens8-Import'!$M$4:$M$1002,$B32,'compens8-Import'!$E$4:$E$1002,P$1)</f>
        <v>0</v>
      </c>
      <c r="Q32" s="8">
        <f>SUMIFS('compens8-Import'!$H$4:$H$1002,'compens8-Import'!$M$4:$M$1002,$B32,'compens8-Import'!$E$4:$E$1002,Q$1)</f>
        <v>8399</v>
      </c>
      <c r="R32" s="8">
        <f>SUMIFS('compens8-Import'!$H$4:$H$1002,'compens8-Import'!$M$4:$M$1002,$B32,'compens8-Import'!$E$4:$E$1002,R$1)</f>
        <v>0</v>
      </c>
      <c r="S32" s="8">
        <f>SUMIFS('compens8-Import'!$H$4:$H$1002,'compens8-Import'!$M$4:$M$1002,$B32,'compens8-Import'!$E$4:$E$1002,S$1)</f>
        <v>0</v>
      </c>
      <c r="T32" s="8">
        <f>SUMIFS('compens8-Import'!$H$4:$H$1002,'compens8-Import'!$M$4:$M$1002,$B32,'compens8-Import'!$E$4:$E$1002,T$1)</f>
        <v>0</v>
      </c>
      <c r="U32" s="8">
        <f>SUMIFS('compens8-Import'!$H$4:$H$1002,'compens8-Import'!$M$4:$M$1002,$B32,'compens8-Import'!$E$4:$E$1002,U$1)</f>
        <v>138576</v>
      </c>
      <c r="V32" s="8">
        <f>SUMIFS('compens8-Import'!$H$4:$H$1002,'compens8-Import'!$M$4:$M$1002,$B32,'compens8-Import'!$E$4:$E$1002,V$1)</f>
        <v>0</v>
      </c>
      <c r="W32" s="8">
        <f>SUMIFS('compens8-Import'!$H$4:$H$1002,'compens8-Import'!$M$4:$M$1002,$B32,'compens8-Import'!$E$4:$E$1002,W$1)</f>
        <v>0</v>
      </c>
      <c r="X32" s="8">
        <f>SUMIFS('compens8-Import'!$H$4:$H$1002,'compens8-Import'!$M$4:$M$1002,$B32,'compens8-Import'!$E$4:$E$1002,X$1)</f>
        <v>0</v>
      </c>
      <c r="Y32" s="8">
        <f>SUMIFS('compens8-Import'!$H$4:$H$1002,'compens8-Import'!$M$4:$M$1002,$B32,'compens8-Import'!$E$4:$E$1002,Y$1)</f>
        <v>0</v>
      </c>
      <c r="Z32" s="8">
        <f>SUMIFS('compens8-Import'!$H$4:$H$1002,'compens8-Import'!$M$4:$M$1002,$B32,'compens8-Import'!$E$4:$E$1002,Z$1)</f>
        <v>0</v>
      </c>
      <c r="AA32" s="8">
        <f>SUMIFS('compens8-Import'!$H$4:$H$1002,'compens8-Import'!$M$4:$M$1002,$B32,'compens8-Import'!$E$4:$E$1002,AA$1)</f>
        <v>0</v>
      </c>
      <c r="AB32" s="8">
        <f>SUMIFS('compens8-Import'!$H$4:$H$1002,'compens8-Import'!$M$4:$M$1002,$B32,'compens8-Import'!$E$4:$E$1002,AB$1)</f>
        <v>0</v>
      </c>
      <c r="AC32" s="8">
        <f>SUMIFS('compens8-Import'!$H$4:$H$1002,'compens8-Import'!$M$4:$M$1002,$B32,'compens8-Import'!$E$4:$E$1002,AC$1)</f>
        <v>18267</v>
      </c>
      <c r="AD32" s="8">
        <f>SUMIFS('compens8-Import'!$H$4:$H$1002,'compens8-Import'!$M$4:$M$1002,$B32,'compens8-Import'!$E$4:$E$1002,AD$1)</f>
        <v>0</v>
      </c>
      <c r="AE32" s="8">
        <f>SUMIFS('compens8-Import'!$H$4:$H$1002,'compens8-Import'!$M$4:$M$1002,$B32,'compens8-Import'!$E$4:$E$1002,AE$1)</f>
        <v>28823</v>
      </c>
      <c r="AF32" s="8">
        <f>SUMIFS('compens8-Import'!$H$4:$H$1002,'compens8-Import'!$M$4:$M$1002,$B32,'compens8-Import'!$E$4:$E$1002,AF$1)</f>
        <v>10602</v>
      </c>
      <c r="AG32" s="8">
        <f>SUMIFS('compens8-Import'!$H$4:$H$1002,'compens8-Import'!$M$4:$M$1002,$B32,'compens8-Import'!$E$4:$E$1002,AG$1)</f>
        <v>0</v>
      </c>
      <c r="AH32" s="8">
        <f>SUMIFS('compens8-Import'!$H$4:$H$1002,'compens8-Import'!$M$4:$M$1002,$B32,'compens8-Import'!$E$4:$E$1002,AH$1)</f>
        <v>0</v>
      </c>
      <c r="AI32" s="8">
        <f>SUMIFS('compens8-Import'!$H$4:$H$1002,'compens8-Import'!$M$4:$M$1002,$B32,'compens8-Import'!$E$4:$E$1002,AI$1)</f>
        <v>0</v>
      </c>
      <c r="AJ32" s="8">
        <f>SUMIFS('compens8-Import'!$H$4:$H$1002,'compens8-Import'!$M$4:$M$1002,$B32,'compens8-Import'!$E$4:$E$1002,AJ$1)</f>
        <v>0</v>
      </c>
      <c r="AK32" s="8">
        <f>SUMIFS('compens8-Import'!$H$4:$H$1002,'compens8-Import'!$M$4:$M$1002,$B32,'compens8-Import'!$E$4:$E$1002,AK$1)</f>
        <v>15241</v>
      </c>
      <c r="AL32" s="8">
        <f>SUMIFS('compens8-Import'!$H$4:$H$1002,'compens8-Import'!$M$4:$M$1002,$B32,'compens8-Import'!$E$4:$E$1002,AL$1)</f>
        <v>4986</v>
      </c>
      <c r="AM32" s="8">
        <f>SUMIFS('compens8-Import'!$H$4:$H$1002,'compens8-Import'!$M$4:$M$1002,$B32,'compens8-Import'!$E$4:$E$1002,AM$1)</f>
        <v>0</v>
      </c>
      <c r="AN32" s="8">
        <f>SUMIFS('compens8-Import'!$H$4:$H$1002,'compens8-Import'!$M$4:$M$1002,$B32,'compens8-Import'!$E$4:$E$1002,AN$1)</f>
        <v>0</v>
      </c>
      <c r="AO32" s="8">
        <f>SUMIFS('compens8-Import'!$H$4:$H$1002,'compens8-Import'!$M$4:$M$1002,$B32,'compens8-Import'!$E$4:$E$1002,AO$1)</f>
        <v>0</v>
      </c>
      <c r="AP32" s="8">
        <f>SUMIFS('compens8-Import'!$H$4:$H$1002,'compens8-Import'!$M$4:$M$1002,$B32,'compens8-Import'!$E$4:$E$1002,AP$1)</f>
        <v>4315</v>
      </c>
      <c r="AQ32" s="8">
        <f>SUMIFS('compens8-Import'!$H$4:$H$1002,'compens8-Import'!$M$4:$M$1002,$B32,'compens8-Import'!$E$4:$E$1002,AQ$1)</f>
        <v>0</v>
      </c>
      <c r="AR32" s="8">
        <f>SUMIFS('compens8-Import'!$H$4:$H$1002,'compens8-Import'!$M$4:$M$1002,$B32,'compens8-Import'!$E$4:$E$1002,AR$1)</f>
        <v>0</v>
      </c>
      <c r="AS32" s="8">
        <f>SUMIFS('compens8-Import'!$H$4:$H$1002,'compens8-Import'!$M$4:$M$1002,$B32,'compens8-Import'!$E$4:$E$1002,AS$1)</f>
        <v>0</v>
      </c>
      <c r="AT32" s="8">
        <f>SUMIFS('compens8-Import'!$H$4:$H$1002,'compens8-Import'!$M$4:$M$1002,$B32,'compens8-Import'!$E$4:$E$1002,AT$1)</f>
        <v>0</v>
      </c>
      <c r="AU32" s="8">
        <f>SUMIFS('compens8-Import'!$H$4:$H$1002,'compens8-Import'!$M$4:$M$1002,$B32,'compens8-Import'!$E$4:$E$1002,AU$1)</f>
        <v>0</v>
      </c>
      <c r="AV32" s="8">
        <f>SUMIFS('compens8-Import'!$H$4:$H$1002,'compens8-Import'!$M$4:$M$1002,$B32,'compens8-Import'!$E$4:$E$1002,AV$1)</f>
        <v>0</v>
      </c>
      <c r="AW32" s="8">
        <f>SUMIFS('compens8-Import'!$H$4:$H$1002,'compens8-Import'!$M$4:$M$1002,$B32,'compens8-Import'!$E$4:$E$1002,AW$1)</f>
        <v>13683</v>
      </c>
      <c r="AX32" s="8">
        <f>SUMIFS('compens8-Import'!$H$4:$H$1002,'compens8-Import'!$M$4:$M$1002,$B32,'compens8-Import'!$E$4:$E$1002,AX$1)</f>
        <v>0</v>
      </c>
      <c r="AY32" s="8">
        <f>SUMIFS('compens8-Import'!$H$4:$H$1002,'compens8-Import'!$M$4:$M$1002,$B32,'compens8-Import'!$E$4:$E$1002,AY$1)</f>
        <v>0</v>
      </c>
      <c r="AZ32" s="8">
        <f>SUMIFS('compens8-Import'!$H$4:$H$1002,'compens8-Import'!$M$4:$M$1002,$B32,'compens8-Import'!$E$4:$E$1002,AZ$1)</f>
        <v>0</v>
      </c>
      <c r="BA32" s="8">
        <f>SUMIFS('compens8-Import'!$H$4:$H$1002,'compens8-Import'!$M$4:$M$1002,$B32,'compens8-Import'!$E$4:$E$1002,BA$1)</f>
        <v>85559</v>
      </c>
      <c r="BB32" s="8">
        <f>SUMIFS('compens8-Import'!$H$4:$H$1002,'compens8-Import'!$M$4:$M$1002,$B32,'compens8-Import'!$E$4:$E$1002,BB$1)</f>
        <v>0</v>
      </c>
      <c r="BC32" s="8">
        <f>SUMIFS('compens8-Import'!$H$4:$H$1002,'compens8-Import'!$M$4:$M$1002,$B32,'compens8-Import'!$E$4:$E$1002,BC$1)</f>
        <v>0</v>
      </c>
      <c r="BD32" s="8">
        <f>SUMIFS('compens8-Import'!$H$4:$H$1002,'compens8-Import'!$M$4:$M$1002,$B32,'compens8-Import'!$E$4:$E$1002,BD$1)</f>
        <v>0</v>
      </c>
      <c r="BE32" s="8">
        <f>SUMIFS('compens8-Import'!$H$4:$H$1002,'compens8-Import'!$M$4:$M$1002,$B32,'compens8-Import'!$E$4:$E$1002,BE$1)</f>
        <v>0</v>
      </c>
      <c r="BF32" s="8">
        <f>SUMIFS('compens8-Import'!$H$4:$H$1002,'compens8-Import'!$M$4:$M$1002,$B32,'compens8-Import'!$E$4:$E$1002,BF$1)</f>
        <v>235708</v>
      </c>
      <c r="BG32" s="8">
        <f>SUMIFS('compens8-Import'!$H$4:$H$1002,'compens8-Import'!$M$4:$M$1002,$B32,'compens8-Import'!$E$4:$E$1002,BG$1)</f>
        <v>3662</v>
      </c>
      <c r="BH32" s="8">
        <f>SUMIFS('compens8-Import'!$H$4:$H$1002,'compens8-Import'!$M$4:$M$1002,$B32,'compens8-Import'!$E$4:$E$1002,BH$1)</f>
        <v>0</v>
      </c>
      <c r="BI32" s="8">
        <f>SUMIFS('compens8-Import'!$H$4:$H$1002,'compens8-Import'!$M$4:$M$1002,$B32,'compens8-Import'!$E$4:$E$1002,BI$1)</f>
        <v>0</v>
      </c>
      <c r="BJ32" s="8">
        <f>SUMIFS('compens8-Import'!$H$4:$H$1002,'compens8-Import'!$M$4:$M$1002,$B32,'compens8-Import'!$E$4:$E$1002,BJ$1)</f>
        <v>0</v>
      </c>
      <c r="BK32" s="8">
        <f>SUMIFS('compens8-Import'!$H$4:$H$1002,'compens8-Import'!$M$4:$M$1002,$B32,'compens8-Import'!$E$4:$E$1002,BK$1)</f>
        <v>7051</v>
      </c>
      <c r="BL32" s="8">
        <f>SUMIFS('compens8-Import'!$H$4:$H$1002,'compens8-Import'!$M$4:$M$1002,$B32,'compens8-Import'!$E$4:$E$1002,BL$1)</f>
        <v>0</v>
      </c>
      <c r="BM32" s="8">
        <f>SUMIFS('compens8-Import'!$H$4:$H$1002,'compens8-Import'!$M$4:$M$1002,$B32,'compens8-Import'!$E$4:$E$1002,BM$1)</f>
        <v>0</v>
      </c>
      <c r="BN32" s="8">
        <f>SUMIFS('compens8-Import'!$H$4:$H$1002,'compens8-Import'!$M$4:$M$1002,$B32,'compens8-Import'!$E$4:$E$1002,BN$1)</f>
        <v>0</v>
      </c>
      <c r="BO32" s="8">
        <f>SUMIFS('compens8-Import'!$H$4:$H$1002,'compens8-Import'!$M$4:$M$1002,$B32,'compens8-Import'!$E$4:$E$1002,BO$1)</f>
        <v>0</v>
      </c>
      <c r="BP32" s="8">
        <f>SUMIFS('compens8-Import'!$H$4:$H$1002,'compens8-Import'!$M$4:$M$1002,$B32,'compens8-Import'!$E$4:$E$1002,BP$1)</f>
        <v>0</v>
      </c>
      <c r="BQ32" s="8">
        <f>SUMIFS('compens8-Import'!$H$4:$H$1002,'compens8-Import'!$M$4:$M$1002,$B32,'compens8-Import'!$E$4:$E$1002,BQ$1)</f>
        <v>0</v>
      </c>
      <c r="BR32" s="8">
        <f>SUMIFS('compens8-Import'!$H$4:$H$1002,'compens8-Import'!$M$4:$M$1002,$B32,'compens8-Import'!$E$4:$E$1002,BR$1)</f>
        <v>0</v>
      </c>
      <c r="BS32" s="8">
        <f>SUMIFS('compens8-Import'!$H$4:$H$1002,'compens8-Import'!$M$4:$M$1002,$B32,'compens8-Import'!$E$4:$E$1002,BS$1)</f>
        <v>46167</v>
      </c>
      <c r="BT32" s="8">
        <f>SUMIFS('compens8-Import'!$H$4:$H$1002,'compens8-Import'!$M$4:$M$1002,$B32,'compens8-Import'!$E$4:$E$1002,BT$1)</f>
        <v>6122</v>
      </c>
      <c r="BU32" s="8">
        <f>SUMIFS('compens8-Import'!$H$4:$H$1002,'compens8-Import'!$M$4:$M$1002,$B32,'compens8-Import'!$E$4:$E$1002,BU$1)</f>
        <v>0</v>
      </c>
      <c r="BV32" s="8">
        <f>SUMIFS('compens8-Import'!$H$4:$H$1002,'compens8-Import'!$M$4:$M$1002,$B32,'compens8-Import'!$E$4:$E$1002,BV$1)</f>
        <v>7827</v>
      </c>
      <c r="BW32" s="8">
        <f>SUMIFS('compens8-Import'!$H$4:$H$1002,'compens8-Import'!$M$4:$M$1002,$B32,'compens8-Import'!$E$4:$E$1002,BW$1)</f>
        <v>0</v>
      </c>
      <c r="BX32" s="8">
        <f>SUMIFS('compens8-Import'!$H$4:$H$1002,'compens8-Import'!$M$4:$M$1002,$B32,'compens8-Import'!$E$4:$E$1002,BX$1)</f>
        <v>0</v>
      </c>
      <c r="BY32" s="8">
        <f>SUMIFS('compens8-Import'!$H$4:$H$1002,'compens8-Import'!$M$4:$M$1002,$B32,'compens8-Import'!$E$4:$E$1002,BY$1)</f>
        <v>0</v>
      </c>
      <c r="BZ32" s="8">
        <f>SUMIFS('compens8-Import'!$H$4:$H$1002,'compens8-Import'!$M$4:$M$1002,$B32,'compens8-Import'!$E$4:$E$1002,BZ$1)</f>
        <v>0</v>
      </c>
      <c r="CA32" s="8">
        <f>SUMIFS('compens8-Import'!$H$4:$H$1002,'compens8-Import'!$M$4:$M$1002,$B32,'compens8-Import'!$E$4:$E$1002,CA$1)</f>
        <v>0</v>
      </c>
      <c r="CB32" s="8">
        <f>SUMIFS('compens8-Import'!$H$4:$H$1002,'compens8-Import'!$M$4:$M$1002,$B32,'compens8-Import'!$E$4:$E$1002,CB$1)</f>
        <v>0</v>
      </c>
      <c r="CC32" s="8">
        <f>SUMIFS('compens8-Import'!$H$4:$H$1002,'compens8-Import'!$M$4:$M$1002,$B32,'compens8-Import'!$E$4:$E$1002,CC$1)</f>
        <v>0</v>
      </c>
      <c r="CD32" s="8">
        <f>SUMIFS('compens8-Import'!$H$4:$H$1002,'compens8-Import'!$M$4:$M$1002,$B32,'compens8-Import'!$E$4:$E$1002,CD$1)</f>
        <v>39416</v>
      </c>
      <c r="CE32" s="8">
        <f>SUMIFS('compens8-Import'!$H$4:$H$1002,'compens8-Import'!$M$4:$M$1002,$B32,'compens8-Import'!$E$4:$E$1002,CE$1)</f>
        <v>3110</v>
      </c>
      <c r="CF32" s="8">
        <f>SUMIFS('compens8-Import'!$H$4:$H$1002,'compens8-Import'!$M$4:$M$1002,$B32,'compens8-Import'!$E$4:$E$1002,CF$1)</f>
        <v>2682</v>
      </c>
      <c r="CG32" s="8">
        <f>SUMIFS('compens8-Import'!$H$4:$H$1002,'compens8-Import'!$M$4:$M$1002,$B32,'compens8-Import'!$E$4:$E$1002,CG$1)</f>
        <v>0</v>
      </c>
      <c r="CH32" s="8">
        <f>SUMIFS('compens8-Import'!$H$4:$H$1002,'compens8-Import'!$M$4:$M$1002,$B32,'compens8-Import'!$E$4:$E$1002,CH$1)</f>
        <v>0</v>
      </c>
      <c r="CI32" s="8">
        <f>SUMIFS('compens8-Import'!$H$4:$H$1002,'compens8-Import'!$M$4:$M$1002,$B32,'compens8-Import'!$E$4:$E$1002,CI$1)</f>
        <v>0</v>
      </c>
      <c r="CJ32" s="8">
        <f>SUMIFS('compens8-Import'!$H$4:$H$1002,'compens8-Import'!$M$4:$M$1002,$B32,'compens8-Import'!$E$4:$E$1002,CJ$1)</f>
        <v>0</v>
      </c>
      <c r="CK32" s="8">
        <f>SUMIFS('compens8-Import'!$H$4:$H$1002,'compens8-Import'!$M$4:$M$1002,$B32,'compens8-Import'!$E$4:$E$1002,CK$1)</f>
        <v>0</v>
      </c>
      <c r="CL32" s="8">
        <f>SUMIFS('compens8-Import'!$H$4:$H$1002,'compens8-Import'!$M$4:$M$1002,$B32,'compens8-Import'!$E$4:$E$1002,CL$1)</f>
        <v>0</v>
      </c>
      <c r="CM32" s="8">
        <f>SUMIFS('compens8-Import'!$H$4:$H$1002,'compens8-Import'!$M$4:$M$1002,$B32,'compens8-Import'!$E$4:$E$1002,CM$1)</f>
        <v>0</v>
      </c>
      <c r="CN32" s="8">
        <f>SUMIFS('compens8-Import'!$H$4:$H$1002,'compens8-Import'!$M$4:$M$1002,$B32,'compens8-Import'!$E$4:$E$1002,CN$1)</f>
        <v>0</v>
      </c>
    </row>
    <row r="33" spans="1:92" x14ac:dyDescent="0.25">
      <c r="A33" s="2" t="s">
        <v>197</v>
      </c>
      <c r="B33" s="2" t="e">
        <f>_xlfn.XLOOKUP(A33,'Correspondances pays'!$A$4:$A$200,'Correspondances pays'!$B$4:$B$200)</f>
        <v>#N/A</v>
      </c>
      <c r="C33" s="44">
        <f>AutoConsommation!F32</f>
        <v>0</v>
      </c>
      <c r="D33" s="8">
        <f t="shared" si="0"/>
        <v>0</v>
      </c>
      <c r="E33" s="8">
        <f>SUMIFS('compens8-Import'!$H$4:$H$1002,'compens8-Import'!$M$4:$M$1002,$B33,'compens8-Import'!$E$4:$E$1002,E$1)</f>
        <v>0</v>
      </c>
      <c r="F33" s="8">
        <f>SUMIFS('compens8-Import'!$H$4:$H$1002,'compens8-Import'!$M$4:$M$1002,$B33,'compens8-Import'!$E$4:$E$1002,F$1)</f>
        <v>0</v>
      </c>
      <c r="G33" s="8">
        <f>SUMIFS('compens8-Import'!$H$4:$H$1002,'compens8-Import'!$M$4:$M$1002,$B33,'compens8-Import'!$E$4:$E$1002,G$1)</f>
        <v>0</v>
      </c>
      <c r="H33" s="8">
        <f>SUMIFS('compens8-Import'!$H$4:$H$1002,'compens8-Import'!$M$4:$M$1002,$B33,'compens8-Import'!$E$4:$E$1002,H$1)</f>
        <v>0</v>
      </c>
      <c r="I33" s="8">
        <f>SUMIFS('compens8-Import'!$H$4:$H$1002,'compens8-Import'!$M$4:$M$1002,$B33,'compens8-Import'!$E$4:$E$1002,I$1)</f>
        <v>0</v>
      </c>
      <c r="J33" s="8">
        <f>SUMIFS('compens8-Import'!$H$4:$H$1002,'compens8-Import'!$M$4:$M$1002,$B33,'compens8-Import'!$E$4:$E$1002,J$1)</f>
        <v>0</v>
      </c>
      <c r="K33" s="8">
        <f>SUMIFS('compens8-Import'!$H$4:$H$1002,'compens8-Import'!$M$4:$M$1002,$B33,'compens8-Import'!$E$4:$E$1002,K$1)</f>
        <v>0</v>
      </c>
      <c r="L33" s="8">
        <f>SUMIFS('compens8-Import'!$H$4:$H$1002,'compens8-Import'!$M$4:$M$1002,$B33,'compens8-Import'!$E$4:$E$1002,L$1)</f>
        <v>0</v>
      </c>
      <c r="M33" s="8">
        <f>SUMIFS('compens8-Import'!$H$4:$H$1002,'compens8-Import'!$M$4:$M$1002,$B33,'compens8-Import'!$E$4:$E$1002,M$1)</f>
        <v>0</v>
      </c>
      <c r="N33" s="8">
        <f>SUMIFS('compens8-Import'!$H$4:$H$1002,'compens8-Import'!$M$4:$M$1002,$B33,'compens8-Import'!$E$4:$E$1002,N$1)</f>
        <v>0</v>
      </c>
      <c r="O33" s="8">
        <f>SUMIFS('compens8-Import'!$H$4:$H$1002,'compens8-Import'!$M$4:$M$1002,$B33,'compens8-Import'!$E$4:$E$1002,O$1)</f>
        <v>0</v>
      </c>
      <c r="P33" s="8">
        <f>SUMIFS('compens8-Import'!$H$4:$H$1002,'compens8-Import'!$M$4:$M$1002,$B33,'compens8-Import'!$E$4:$E$1002,P$1)</f>
        <v>0</v>
      </c>
      <c r="Q33" s="8">
        <f>SUMIFS('compens8-Import'!$H$4:$H$1002,'compens8-Import'!$M$4:$M$1002,$B33,'compens8-Import'!$E$4:$E$1002,Q$1)</f>
        <v>0</v>
      </c>
      <c r="R33" s="8">
        <f>SUMIFS('compens8-Import'!$H$4:$H$1002,'compens8-Import'!$M$4:$M$1002,$B33,'compens8-Import'!$E$4:$E$1002,R$1)</f>
        <v>0</v>
      </c>
      <c r="S33" s="8">
        <f>SUMIFS('compens8-Import'!$H$4:$H$1002,'compens8-Import'!$M$4:$M$1002,$B33,'compens8-Import'!$E$4:$E$1002,S$1)</f>
        <v>0</v>
      </c>
      <c r="T33" s="8">
        <f>SUMIFS('compens8-Import'!$H$4:$H$1002,'compens8-Import'!$M$4:$M$1002,$B33,'compens8-Import'!$E$4:$E$1002,T$1)</f>
        <v>0</v>
      </c>
      <c r="U33" s="8">
        <f>SUMIFS('compens8-Import'!$H$4:$H$1002,'compens8-Import'!$M$4:$M$1002,$B33,'compens8-Import'!$E$4:$E$1002,U$1)</f>
        <v>0</v>
      </c>
      <c r="V33" s="8">
        <f>SUMIFS('compens8-Import'!$H$4:$H$1002,'compens8-Import'!$M$4:$M$1002,$B33,'compens8-Import'!$E$4:$E$1002,V$1)</f>
        <v>0</v>
      </c>
      <c r="W33" s="8">
        <f>SUMIFS('compens8-Import'!$H$4:$H$1002,'compens8-Import'!$M$4:$M$1002,$B33,'compens8-Import'!$E$4:$E$1002,W$1)</f>
        <v>0</v>
      </c>
      <c r="X33" s="8">
        <f>SUMIFS('compens8-Import'!$H$4:$H$1002,'compens8-Import'!$M$4:$M$1002,$B33,'compens8-Import'!$E$4:$E$1002,X$1)</f>
        <v>0</v>
      </c>
      <c r="Y33" s="8">
        <f>SUMIFS('compens8-Import'!$H$4:$H$1002,'compens8-Import'!$M$4:$M$1002,$B33,'compens8-Import'!$E$4:$E$1002,Y$1)</f>
        <v>0</v>
      </c>
      <c r="Z33" s="8">
        <f>SUMIFS('compens8-Import'!$H$4:$H$1002,'compens8-Import'!$M$4:$M$1002,$B33,'compens8-Import'!$E$4:$E$1002,Z$1)</f>
        <v>0</v>
      </c>
      <c r="AA33" s="8">
        <f>SUMIFS('compens8-Import'!$H$4:$H$1002,'compens8-Import'!$M$4:$M$1002,$B33,'compens8-Import'!$E$4:$E$1002,AA$1)</f>
        <v>0</v>
      </c>
      <c r="AB33" s="8">
        <f>SUMIFS('compens8-Import'!$H$4:$H$1002,'compens8-Import'!$M$4:$M$1002,$B33,'compens8-Import'!$E$4:$E$1002,AB$1)</f>
        <v>0</v>
      </c>
      <c r="AC33" s="8">
        <f>SUMIFS('compens8-Import'!$H$4:$H$1002,'compens8-Import'!$M$4:$M$1002,$B33,'compens8-Import'!$E$4:$E$1002,AC$1)</f>
        <v>0</v>
      </c>
      <c r="AD33" s="8">
        <f>SUMIFS('compens8-Import'!$H$4:$H$1002,'compens8-Import'!$M$4:$M$1002,$B33,'compens8-Import'!$E$4:$E$1002,AD$1)</f>
        <v>0</v>
      </c>
      <c r="AE33" s="8">
        <f>SUMIFS('compens8-Import'!$H$4:$H$1002,'compens8-Import'!$M$4:$M$1002,$B33,'compens8-Import'!$E$4:$E$1002,AE$1)</f>
        <v>0</v>
      </c>
      <c r="AF33" s="8">
        <f>SUMIFS('compens8-Import'!$H$4:$H$1002,'compens8-Import'!$M$4:$M$1002,$B33,'compens8-Import'!$E$4:$E$1002,AF$1)</f>
        <v>0</v>
      </c>
      <c r="AG33" s="8">
        <f>SUMIFS('compens8-Import'!$H$4:$H$1002,'compens8-Import'!$M$4:$M$1002,$B33,'compens8-Import'!$E$4:$E$1002,AG$1)</f>
        <v>0</v>
      </c>
      <c r="AH33" s="8">
        <f>SUMIFS('compens8-Import'!$H$4:$H$1002,'compens8-Import'!$M$4:$M$1002,$B33,'compens8-Import'!$E$4:$E$1002,AH$1)</f>
        <v>0</v>
      </c>
      <c r="AI33" s="8">
        <f>SUMIFS('compens8-Import'!$H$4:$H$1002,'compens8-Import'!$M$4:$M$1002,$B33,'compens8-Import'!$E$4:$E$1002,AI$1)</f>
        <v>0</v>
      </c>
      <c r="AJ33" s="8">
        <f>SUMIFS('compens8-Import'!$H$4:$H$1002,'compens8-Import'!$M$4:$M$1002,$B33,'compens8-Import'!$E$4:$E$1002,AJ$1)</f>
        <v>0</v>
      </c>
      <c r="AK33" s="8">
        <f>SUMIFS('compens8-Import'!$H$4:$H$1002,'compens8-Import'!$M$4:$M$1002,$B33,'compens8-Import'!$E$4:$E$1002,AK$1)</f>
        <v>0</v>
      </c>
      <c r="AL33" s="8">
        <f>SUMIFS('compens8-Import'!$H$4:$H$1002,'compens8-Import'!$M$4:$M$1002,$B33,'compens8-Import'!$E$4:$E$1002,AL$1)</f>
        <v>0</v>
      </c>
      <c r="AM33" s="8">
        <f>SUMIFS('compens8-Import'!$H$4:$H$1002,'compens8-Import'!$M$4:$M$1002,$B33,'compens8-Import'!$E$4:$E$1002,AM$1)</f>
        <v>0</v>
      </c>
      <c r="AN33" s="8">
        <f>SUMIFS('compens8-Import'!$H$4:$H$1002,'compens8-Import'!$M$4:$M$1002,$B33,'compens8-Import'!$E$4:$E$1002,AN$1)</f>
        <v>0</v>
      </c>
      <c r="AO33" s="8">
        <f>SUMIFS('compens8-Import'!$H$4:$H$1002,'compens8-Import'!$M$4:$M$1002,$B33,'compens8-Import'!$E$4:$E$1002,AO$1)</f>
        <v>0</v>
      </c>
      <c r="AP33" s="8">
        <f>SUMIFS('compens8-Import'!$H$4:$H$1002,'compens8-Import'!$M$4:$M$1002,$B33,'compens8-Import'!$E$4:$E$1002,AP$1)</f>
        <v>0</v>
      </c>
      <c r="AQ33" s="8">
        <f>SUMIFS('compens8-Import'!$H$4:$H$1002,'compens8-Import'!$M$4:$M$1002,$B33,'compens8-Import'!$E$4:$E$1002,AQ$1)</f>
        <v>0</v>
      </c>
      <c r="AR33" s="8">
        <f>SUMIFS('compens8-Import'!$H$4:$H$1002,'compens8-Import'!$M$4:$M$1002,$B33,'compens8-Import'!$E$4:$E$1002,AR$1)</f>
        <v>0</v>
      </c>
      <c r="AS33" s="8">
        <f>SUMIFS('compens8-Import'!$H$4:$H$1002,'compens8-Import'!$M$4:$M$1002,$B33,'compens8-Import'!$E$4:$E$1002,AS$1)</f>
        <v>0</v>
      </c>
      <c r="AT33" s="8">
        <f>SUMIFS('compens8-Import'!$H$4:$H$1002,'compens8-Import'!$M$4:$M$1002,$B33,'compens8-Import'!$E$4:$E$1002,AT$1)</f>
        <v>0</v>
      </c>
      <c r="AU33" s="8">
        <f>SUMIFS('compens8-Import'!$H$4:$H$1002,'compens8-Import'!$M$4:$M$1002,$B33,'compens8-Import'!$E$4:$E$1002,AU$1)</f>
        <v>0</v>
      </c>
      <c r="AV33" s="8">
        <f>SUMIFS('compens8-Import'!$H$4:$H$1002,'compens8-Import'!$M$4:$M$1002,$B33,'compens8-Import'!$E$4:$E$1002,AV$1)</f>
        <v>0</v>
      </c>
      <c r="AW33" s="8">
        <f>SUMIFS('compens8-Import'!$H$4:$H$1002,'compens8-Import'!$M$4:$M$1002,$B33,'compens8-Import'!$E$4:$E$1002,AW$1)</f>
        <v>0</v>
      </c>
      <c r="AX33" s="8">
        <f>SUMIFS('compens8-Import'!$H$4:$H$1002,'compens8-Import'!$M$4:$M$1002,$B33,'compens8-Import'!$E$4:$E$1002,AX$1)</f>
        <v>0</v>
      </c>
      <c r="AY33" s="8">
        <f>SUMIFS('compens8-Import'!$H$4:$H$1002,'compens8-Import'!$M$4:$M$1002,$B33,'compens8-Import'!$E$4:$E$1002,AY$1)</f>
        <v>0</v>
      </c>
      <c r="AZ33" s="8">
        <f>SUMIFS('compens8-Import'!$H$4:$H$1002,'compens8-Import'!$M$4:$M$1002,$B33,'compens8-Import'!$E$4:$E$1002,AZ$1)</f>
        <v>0</v>
      </c>
      <c r="BA33" s="8">
        <f>SUMIFS('compens8-Import'!$H$4:$H$1002,'compens8-Import'!$M$4:$M$1002,$B33,'compens8-Import'!$E$4:$E$1002,BA$1)</f>
        <v>0</v>
      </c>
      <c r="BB33" s="8">
        <f>SUMIFS('compens8-Import'!$H$4:$H$1002,'compens8-Import'!$M$4:$M$1002,$B33,'compens8-Import'!$E$4:$E$1002,BB$1)</f>
        <v>0</v>
      </c>
      <c r="BC33" s="8">
        <f>SUMIFS('compens8-Import'!$H$4:$H$1002,'compens8-Import'!$M$4:$M$1002,$B33,'compens8-Import'!$E$4:$E$1002,BC$1)</f>
        <v>0</v>
      </c>
      <c r="BD33" s="8">
        <f>SUMIFS('compens8-Import'!$H$4:$H$1002,'compens8-Import'!$M$4:$M$1002,$B33,'compens8-Import'!$E$4:$E$1002,BD$1)</f>
        <v>0</v>
      </c>
      <c r="BE33" s="8">
        <f>SUMIFS('compens8-Import'!$H$4:$H$1002,'compens8-Import'!$M$4:$M$1002,$B33,'compens8-Import'!$E$4:$E$1002,BE$1)</f>
        <v>0</v>
      </c>
      <c r="BF33" s="8">
        <f>SUMIFS('compens8-Import'!$H$4:$H$1002,'compens8-Import'!$M$4:$M$1002,$B33,'compens8-Import'!$E$4:$E$1002,BF$1)</f>
        <v>0</v>
      </c>
      <c r="BG33" s="8">
        <f>SUMIFS('compens8-Import'!$H$4:$H$1002,'compens8-Import'!$M$4:$M$1002,$B33,'compens8-Import'!$E$4:$E$1002,BG$1)</f>
        <v>0</v>
      </c>
      <c r="BH33" s="8">
        <f>SUMIFS('compens8-Import'!$H$4:$H$1002,'compens8-Import'!$M$4:$M$1002,$B33,'compens8-Import'!$E$4:$E$1002,BH$1)</f>
        <v>0</v>
      </c>
      <c r="BI33" s="8">
        <f>SUMIFS('compens8-Import'!$H$4:$H$1002,'compens8-Import'!$M$4:$M$1002,$B33,'compens8-Import'!$E$4:$E$1002,BI$1)</f>
        <v>0</v>
      </c>
      <c r="BJ33" s="8">
        <f>SUMIFS('compens8-Import'!$H$4:$H$1002,'compens8-Import'!$M$4:$M$1002,$B33,'compens8-Import'!$E$4:$E$1002,BJ$1)</f>
        <v>0</v>
      </c>
      <c r="BK33" s="8">
        <f>SUMIFS('compens8-Import'!$H$4:$H$1002,'compens8-Import'!$M$4:$M$1002,$B33,'compens8-Import'!$E$4:$E$1002,BK$1)</f>
        <v>0</v>
      </c>
      <c r="BL33" s="8">
        <f>SUMIFS('compens8-Import'!$H$4:$H$1002,'compens8-Import'!$M$4:$M$1002,$B33,'compens8-Import'!$E$4:$E$1002,BL$1)</f>
        <v>0</v>
      </c>
      <c r="BM33" s="8">
        <f>SUMIFS('compens8-Import'!$H$4:$H$1002,'compens8-Import'!$M$4:$M$1002,$B33,'compens8-Import'!$E$4:$E$1002,BM$1)</f>
        <v>0</v>
      </c>
      <c r="BN33" s="8">
        <f>SUMIFS('compens8-Import'!$H$4:$H$1002,'compens8-Import'!$M$4:$M$1002,$B33,'compens8-Import'!$E$4:$E$1002,BN$1)</f>
        <v>0</v>
      </c>
      <c r="BO33" s="8">
        <f>SUMIFS('compens8-Import'!$H$4:$H$1002,'compens8-Import'!$M$4:$M$1002,$B33,'compens8-Import'!$E$4:$E$1002,BO$1)</f>
        <v>0</v>
      </c>
      <c r="BP33" s="8">
        <f>SUMIFS('compens8-Import'!$H$4:$H$1002,'compens8-Import'!$M$4:$M$1002,$B33,'compens8-Import'!$E$4:$E$1002,BP$1)</f>
        <v>0</v>
      </c>
      <c r="BQ33" s="8">
        <f>SUMIFS('compens8-Import'!$H$4:$H$1002,'compens8-Import'!$M$4:$M$1002,$B33,'compens8-Import'!$E$4:$E$1002,BQ$1)</f>
        <v>0</v>
      </c>
      <c r="BR33" s="8">
        <f>SUMIFS('compens8-Import'!$H$4:$H$1002,'compens8-Import'!$M$4:$M$1002,$B33,'compens8-Import'!$E$4:$E$1002,BR$1)</f>
        <v>0</v>
      </c>
      <c r="BS33" s="8">
        <f>SUMIFS('compens8-Import'!$H$4:$H$1002,'compens8-Import'!$M$4:$M$1002,$B33,'compens8-Import'!$E$4:$E$1002,BS$1)</f>
        <v>0</v>
      </c>
      <c r="BT33" s="8">
        <f>SUMIFS('compens8-Import'!$H$4:$H$1002,'compens8-Import'!$M$4:$M$1002,$B33,'compens8-Import'!$E$4:$E$1002,BT$1)</f>
        <v>0</v>
      </c>
      <c r="BU33" s="8">
        <f>SUMIFS('compens8-Import'!$H$4:$H$1002,'compens8-Import'!$M$4:$M$1002,$B33,'compens8-Import'!$E$4:$E$1002,BU$1)</f>
        <v>0</v>
      </c>
      <c r="BV33" s="8">
        <f>SUMIFS('compens8-Import'!$H$4:$H$1002,'compens8-Import'!$M$4:$M$1002,$B33,'compens8-Import'!$E$4:$E$1002,BV$1)</f>
        <v>0</v>
      </c>
      <c r="BW33" s="8">
        <f>SUMIFS('compens8-Import'!$H$4:$H$1002,'compens8-Import'!$M$4:$M$1002,$B33,'compens8-Import'!$E$4:$E$1002,BW$1)</f>
        <v>0</v>
      </c>
      <c r="BX33" s="8">
        <f>SUMIFS('compens8-Import'!$H$4:$H$1002,'compens8-Import'!$M$4:$M$1002,$B33,'compens8-Import'!$E$4:$E$1002,BX$1)</f>
        <v>0</v>
      </c>
      <c r="BY33" s="8">
        <f>SUMIFS('compens8-Import'!$H$4:$H$1002,'compens8-Import'!$M$4:$M$1002,$B33,'compens8-Import'!$E$4:$E$1002,BY$1)</f>
        <v>0</v>
      </c>
      <c r="BZ33" s="8">
        <f>SUMIFS('compens8-Import'!$H$4:$H$1002,'compens8-Import'!$M$4:$M$1002,$B33,'compens8-Import'!$E$4:$E$1002,BZ$1)</f>
        <v>0</v>
      </c>
      <c r="CA33" s="8">
        <f>SUMIFS('compens8-Import'!$H$4:$H$1002,'compens8-Import'!$M$4:$M$1002,$B33,'compens8-Import'!$E$4:$E$1002,CA$1)</f>
        <v>0</v>
      </c>
      <c r="CB33" s="8">
        <f>SUMIFS('compens8-Import'!$H$4:$H$1002,'compens8-Import'!$M$4:$M$1002,$B33,'compens8-Import'!$E$4:$E$1002,CB$1)</f>
        <v>0</v>
      </c>
      <c r="CC33" s="8">
        <f>SUMIFS('compens8-Import'!$H$4:$H$1002,'compens8-Import'!$M$4:$M$1002,$B33,'compens8-Import'!$E$4:$E$1002,CC$1)</f>
        <v>0</v>
      </c>
      <c r="CD33" s="8">
        <f>SUMIFS('compens8-Import'!$H$4:$H$1002,'compens8-Import'!$M$4:$M$1002,$B33,'compens8-Import'!$E$4:$E$1002,CD$1)</f>
        <v>0</v>
      </c>
      <c r="CE33" s="8">
        <f>SUMIFS('compens8-Import'!$H$4:$H$1002,'compens8-Import'!$M$4:$M$1002,$B33,'compens8-Import'!$E$4:$E$1002,CE$1)</f>
        <v>0</v>
      </c>
      <c r="CF33" s="8">
        <f>SUMIFS('compens8-Import'!$H$4:$H$1002,'compens8-Import'!$M$4:$M$1002,$B33,'compens8-Import'!$E$4:$E$1002,CF$1)</f>
        <v>0</v>
      </c>
      <c r="CG33" s="8">
        <f>SUMIFS('compens8-Import'!$H$4:$H$1002,'compens8-Import'!$M$4:$M$1002,$B33,'compens8-Import'!$E$4:$E$1002,CG$1)</f>
        <v>0</v>
      </c>
      <c r="CH33" s="8">
        <f>SUMIFS('compens8-Import'!$H$4:$H$1002,'compens8-Import'!$M$4:$M$1002,$B33,'compens8-Import'!$E$4:$E$1002,CH$1)</f>
        <v>0</v>
      </c>
      <c r="CI33" s="8">
        <f>SUMIFS('compens8-Import'!$H$4:$H$1002,'compens8-Import'!$M$4:$M$1002,$B33,'compens8-Import'!$E$4:$E$1002,CI$1)</f>
        <v>0</v>
      </c>
      <c r="CJ33" s="8">
        <f>SUMIFS('compens8-Import'!$H$4:$H$1002,'compens8-Import'!$M$4:$M$1002,$B33,'compens8-Import'!$E$4:$E$1002,CJ$1)</f>
        <v>0</v>
      </c>
      <c r="CK33" s="8">
        <f>SUMIFS('compens8-Import'!$H$4:$H$1002,'compens8-Import'!$M$4:$M$1002,$B33,'compens8-Import'!$E$4:$E$1002,CK$1)</f>
        <v>0</v>
      </c>
      <c r="CL33" s="8">
        <f>SUMIFS('compens8-Import'!$H$4:$H$1002,'compens8-Import'!$M$4:$M$1002,$B33,'compens8-Import'!$E$4:$E$1002,CL$1)</f>
        <v>0</v>
      </c>
      <c r="CM33" s="8">
        <f>SUMIFS('compens8-Import'!$H$4:$H$1002,'compens8-Import'!$M$4:$M$1002,$B33,'compens8-Import'!$E$4:$E$1002,CM$1)</f>
        <v>0</v>
      </c>
      <c r="CN33" s="8">
        <f>SUMIFS('compens8-Import'!$H$4:$H$1002,'compens8-Import'!$M$4:$M$1002,$B33,'compens8-Import'!$E$4:$E$1002,CN$1)</f>
        <v>0</v>
      </c>
    </row>
    <row r="34" spans="1:92" x14ac:dyDescent="0.25">
      <c r="A34" s="2" t="s">
        <v>198</v>
      </c>
      <c r="B34" s="2" t="e">
        <f>_xlfn.XLOOKUP(A34,'Correspondances pays'!$A$4:$A$200,'Correspondances pays'!$B$4:$B$200)</f>
        <v>#N/A</v>
      </c>
      <c r="C34" s="44">
        <f>AutoConsommation!F33</f>
        <v>0</v>
      </c>
      <c r="D34" s="8">
        <f t="shared" si="0"/>
        <v>0</v>
      </c>
      <c r="E34" s="8">
        <f>SUMIFS('compens8-Import'!$H$4:$H$1002,'compens8-Import'!$M$4:$M$1002,$B34,'compens8-Import'!$E$4:$E$1002,E$1)</f>
        <v>0</v>
      </c>
      <c r="F34" s="8">
        <f>SUMIFS('compens8-Import'!$H$4:$H$1002,'compens8-Import'!$M$4:$M$1002,$B34,'compens8-Import'!$E$4:$E$1002,F$1)</f>
        <v>0</v>
      </c>
      <c r="G34" s="8">
        <f>SUMIFS('compens8-Import'!$H$4:$H$1002,'compens8-Import'!$M$4:$M$1002,$B34,'compens8-Import'!$E$4:$E$1002,G$1)</f>
        <v>0</v>
      </c>
      <c r="H34" s="8">
        <f>SUMIFS('compens8-Import'!$H$4:$H$1002,'compens8-Import'!$M$4:$M$1002,$B34,'compens8-Import'!$E$4:$E$1002,H$1)</f>
        <v>0</v>
      </c>
      <c r="I34" s="8">
        <f>SUMIFS('compens8-Import'!$H$4:$H$1002,'compens8-Import'!$M$4:$M$1002,$B34,'compens8-Import'!$E$4:$E$1002,I$1)</f>
        <v>0</v>
      </c>
      <c r="J34" s="8">
        <f>SUMIFS('compens8-Import'!$H$4:$H$1002,'compens8-Import'!$M$4:$M$1002,$B34,'compens8-Import'!$E$4:$E$1002,J$1)</f>
        <v>0</v>
      </c>
      <c r="K34" s="8">
        <f>SUMIFS('compens8-Import'!$H$4:$H$1002,'compens8-Import'!$M$4:$M$1002,$B34,'compens8-Import'!$E$4:$E$1002,K$1)</f>
        <v>0</v>
      </c>
      <c r="L34" s="8">
        <f>SUMIFS('compens8-Import'!$H$4:$H$1002,'compens8-Import'!$M$4:$M$1002,$B34,'compens8-Import'!$E$4:$E$1002,L$1)</f>
        <v>0</v>
      </c>
      <c r="M34" s="8">
        <f>SUMIFS('compens8-Import'!$H$4:$H$1002,'compens8-Import'!$M$4:$M$1002,$B34,'compens8-Import'!$E$4:$E$1002,M$1)</f>
        <v>0</v>
      </c>
      <c r="N34" s="8">
        <f>SUMIFS('compens8-Import'!$H$4:$H$1002,'compens8-Import'!$M$4:$M$1002,$B34,'compens8-Import'!$E$4:$E$1002,N$1)</f>
        <v>0</v>
      </c>
      <c r="O34" s="8">
        <f>SUMIFS('compens8-Import'!$H$4:$H$1002,'compens8-Import'!$M$4:$M$1002,$B34,'compens8-Import'!$E$4:$E$1002,O$1)</f>
        <v>0</v>
      </c>
      <c r="P34" s="8">
        <f>SUMIFS('compens8-Import'!$H$4:$H$1002,'compens8-Import'!$M$4:$M$1002,$B34,'compens8-Import'!$E$4:$E$1002,P$1)</f>
        <v>0</v>
      </c>
      <c r="Q34" s="8">
        <f>SUMIFS('compens8-Import'!$H$4:$H$1002,'compens8-Import'!$M$4:$M$1002,$B34,'compens8-Import'!$E$4:$E$1002,Q$1)</f>
        <v>0</v>
      </c>
      <c r="R34" s="8">
        <f>SUMIFS('compens8-Import'!$H$4:$H$1002,'compens8-Import'!$M$4:$M$1002,$B34,'compens8-Import'!$E$4:$E$1002,R$1)</f>
        <v>0</v>
      </c>
      <c r="S34" s="8">
        <f>SUMIFS('compens8-Import'!$H$4:$H$1002,'compens8-Import'!$M$4:$M$1002,$B34,'compens8-Import'!$E$4:$E$1002,S$1)</f>
        <v>0</v>
      </c>
      <c r="T34" s="8">
        <f>SUMIFS('compens8-Import'!$H$4:$H$1002,'compens8-Import'!$M$4:$M$1002,$B34,'compens8-Import'!$E$4:$E$1002,T$1)</f>
        <v>0</v>
      </c>
      <c r="U34" s="8">
        <f>SUMIFS('compens8-Import'!$H$4:$H$1002,'compens8-Import'!$M$4:$M$1002,$B34,'compens8-Import'!$E$4:$E$1002,U$1)</f>
        <v>0</v>
      </c>
      <c r="V34" s="8">
        <f>SUMIFS('compens8-Import'!$H$4:$H$1002,'compens8-Import'!$M$4:$M$1002,$B34,'compens8-Import'!$E$4:$E$1002,V$1)</f>
        <v>0</v>
      </c>
      <c r="W34" s="8">
        <f>SUMIFS('compens8-Import'!$H$4:$H$1002,'compens8-Import'!$M$4:$M$1002,$B34,'compens8-Import'!$E$4:$E$1002,W$1)</f>
        <v>0</v>
      </c>
      <c r="X34" s="8">
        <f>SUMIFS('compens8-Import'!$H$4:$H$1002,'compens8-Import'!$M$4:$M$1002,$B34,'compens8-Import'!$E$4:$E$1002,X$1)</f>
        <v>0</v>
      </c>
      <c r="Y34" s="8">
        <f>SUMIFS('compens8-Import'!$H$4:$H$1002,'compens8-Import'!$M$4:$M$1002,$B34,'compens8-Import'!$E$4:$E$1002,Y$1)</f>
        <v>0</v>
      </c>
      <c r="Z34" s="8">
        <f>SUMIFS('compens8-Import'!$H$4:$H$1002,'compens8-Import'!$M$4:$M$1002,$B34,'compens8-Import'!$E$4:$E$1002,Z$1)</f>
        <v>0</v>
      </c>
      <c r="AA34" s="8">
        <f>SUMIFS('compens8-Import'!$H$4:$H$1002,'compens8-Import'!$M$4:$M$1002,$B34,'compens8-Import'!$E$4:$E$1002,AA$1)</f>
        <v>0</v>
      </c>
      <c r="AB34" s="8">
        <f>SUMIFS('compens8-Import'!$H$4:$H$1002,'compens8-Import'!$M$4:$M$1002,$B34,'compens8-Import'!$E$4:$E$1002,AB$1)</f>
        <v>0</v>
      </c>
      <c r="AC34" s="8">
        <f>SUMIFS('compens8-Import'!$H$4:$H$1002,'compens8-Import'!$M$4:$M$1002,$B34,'compens8-Import'!$E$4:$E$1002,AC$1)</f>
        <v>0</v>
      </c>
      <c r="AD34" s="8">
        <f>SUMIFS('compens8-Import'!$H$4:$H$1002,'compens8-Import'!$M$4:$M$1002,$B34,'compens8-Import'!$E$4:$E$1002,AD$1)</f>
        <v>0</v>
      </c>
      <c r="AE34" s="8">
        <f>SUMIFS('compens8-Import'!$H$4:$H$1002,'compens8-Import'!$M$4:$M$1002,$B34,'compens8-Import'!$E$4:$E$1002,AE$1)</f>
        <v>0</v>
      </c>
      <c r="AF34" s="8">
        <f>SUMIFS('compens8-Import'!$H$4:$H$1002,'compens8-Import'!$M$4:$M$1002,$B34,'compens8-Import'!$E$4:$E$1002,AF$1)</f>
        <v>0</v>
      </c>
      <c r="AG34" s="8">
        <f>SUMIFS('compens8-Import'!$H$4:$H$1002,'compens8-Import'!$M$4:$M$1002,$B34,'compens8-Import'!$E$4:$E$1002,AG$1)</f>
        <v>0</v>
      </c>
      <c r="AH34" s="8">
        <f>SUMIFS('compens8-Import'!$H$4:$H$1002,'compens8-Import'!$M$4:$M$1002,$B34,'compens8-Import'!$E$4:$E$1002,AH$1)</f>
        <v>0</v>
      </c>
      <c r="AI34" s="8">
        <f>SUMIFS('compens8-Import'!$H$4:$H$1002,'compens8-Import'!$M$4:$M$1002,$B34,'compens8-Import'!$E$4:$E$1002,AI$1)</f>
        <v>0</v>
      </c>
      <c r="AJ34" s="8">
        <f>SUMIFS('compens8-Import'!$H$4:$H$1002,'compens8-Import'!$M$4:$M$1002,$B34,'compens8-Import'!$E$4:$E$1002,AJ$1)</f>
        <v>0</v>
      </c>
      <c r="AK34" s="8">
        <f>SUMIFS('compens8-Import'!$H$4:$H$1002,'compens8-Import'!$M$4:$M$1002,$B34,'compens8-Import'!$E$4:$E$1002,AK$1)</f>
        <v>0</v>
      </c>
      <c r="AL34" s="8">
        <f>SUMIFS('compens8-Import'!$H$4:$H$1002,'compens8-Import'!$M$4:$M$1002,$B34,'compens8-Import'!$E$4:$E$1002,AL$1)</f>
        <v>0</v>
      </c>
      <c r="AM34" s="8">
        <f>SUMIFS('compens8-Import'!$H$4:$H$1002,'compens8-Import'!$M$4:$M$1002,$B34,'compens8-Import'!$E$4:$E$1002,AM$1)</f>
        <v>0</v>
      </c>
      <c r="AN34" s="8">
        <f>SUMIFS('compens8-Import'!$H$4:$H$1002,'compens8-Import'!$M$4:$M$1002,$B34,'compens8-Import'!$E$4:$E$1002,AN$1)</f>
        <v>0</v>
      </c>
      <c r="AO34" s="8">
        <f>SUMIFS('compens8-Import'!$H$4:$H$1002,'compens8-Import'!$M$4:$M$1002,$B34,'compens8-Import'!$E$4:$E$1002,AO$1)</f>
        <v>0</v>
      </c>
      <c r="AP34" s="8">
        <f>SUMIFS('compens8-Import'!$H$4:$H$1002,'compens8-Import'!$M$4:$M$1002,$B34,'compens8-Import'!$E$4:$E$1002,AP$1)</f>
        <v>0</v>
      </c>
      <c r="AQ34" s="8">
        <f>SUMIFS('compens8-Import'!$H$4:$H$1002,'compens8-Import'!$M$4:$M$1002,$B34,'compens8-Import'!$E$4:$E$1002,AQ$1)</f>
        <v>0</v>
      </c>
      <c r="AR34" s="8">
        <f>SUMIFS('compens8-Import'!$H$4:$H$1002,'compens8-Import'!$M$4:$M$1002,$B34,'compens8-Import'!$E$4:$E$1002,AR$1)</f>
        <v>0</v>
      </c>
      <c r="AS34" s="8">
        <f>SUMIFS('compens8-Import'!$H$4:$H$1002,'compens8-Import'!$M$4:$M$1002,$B34,'compens8-Import'!$E$4:$E$1002,AS$1)</f>
        <v>0</v>
      </c>
      <c r="AT34" s="8">
        <f>SUMIFS('compens8-Import'!$H$4:$H$1002,'compens8-Import'!$M$4:$M$1002,$B34,'compens8-Import'!$E$4:$E$1002,AT$1)</f>
        <v>0</v>
      </c>
      <c r="AU34" s="8">
        <f>SUMIFS('compens8-Import'!$H$4:$H$1002,'compens8-Import'!$M$4:$M$1002,$B34,'compens8-Import'!$E$4:$E$1002,AU$1)</f>
        <v>0</v>
      </c>
      <c r="AV34" s="8">
        <f>SUMIFS('compens8-Import'!$H$4:$H$1002,'compens8-Import'!$M$4:$M$1002,$B34,'compens8-Import'!$E$4:$E$1002,AV$1)</f>
        <v>0</v>
      </c>
      <c r="AW34" s="8">
        <f>SUMIFS('compens8-Import'!$H$4:$H$1002,'compens8-Import'!$M$4:$M$1002,$B34,'compens8-Import'!$E$4:$E$1002,AW$1)</f>
        <v>0</v>
      </c>
      <c r="AX34" s="8">
        <f>SUMIFS('compens8-Import'!$H$4:$H$1002,'compens8-Import'!$M$4:$M$1002,$B34,'compens8-Import'!$E$4:$E$1002,AX$1)</f>
        <v>0</v>
      </c>
      <c r="AY34" s="8">
        <f>SUMIFS('compens8-Import'!$H$4:$H$1002,'compens8-Import'!$M$4:$M$1002,$B34,'compens8-Import'!$E$4:$E$1002,AY$1)</f>
        <v>0</v>
      </c>
      <c r="AZ34" s="8">
        <f>SUMIFS('compens8-Import'!$H$4:$H$1002,'compens8-Import'!$M$4:$M$1002,$B34,'compens8-Import'!$E$4:$E$1002,AZ$1)</f>
        <v>0</v>
      </c>
      <c r="BA34" s="8">
        <f>SUMIFS('compens8-Import'!$H$4:$H$1002,'compens8-Import'!$M$4:$M$1002,$B34,'compens8-Import'!$E$4:$E$1002,BA$1)</f>
        <v>0</v>
      </c>
      <c r="BB34" s="8">
        <f>SUMIFS('compens8-Import'!$H$4:$H$1002,'compens8-Import'!$M$4:$M$1002,$B34,'compens8-Import'!$E$4:$E$1002,BB$1)</f>
        <v>0</v>
      </c>
      <c r="BC34" s="8">
        <f>SUMIFS('compens8-Import'!$H$4:$H$1002,'compens8-Import'!$M$4:$M$1002,$B34,'compens8-Import'!$E$4:$E$1002,BC$1)</f>
        <v>0</v>
      </c>
      <c r="BD34" s="8">
        <f>SUMIFS('compens8-Import'!$H$4:$H$1002,'compens8-Import'!$M$4:$M$1002,$B34,'compens8-Import'!$E$4:$E$1002,BD$1)</f>
        <v>0</v>
      </c>
      <c r="BE34" s="8">
        <f>SUMIFS('compens8-Import'!$H$4:$H$1002,'compens8-Import'!$M$4:$M$1002,$B34,'compens8-Import'!$E$4:$E$1002,BE$1)</f>
        <v>0</v>
      </c>
      <c r="BF34" s="8">
        <f>SUMIFS('compens8-Import'!$H$4:$H$1002,'compens8-Import'!$M$4:$M$1002,$B34,'compens8-Import'!$E$4:$E$1002,BF$1)</f>
        <v>0</v>
      </c>
      <c r="BG34" s="8">
        <f>SUMIFS('compens8-Import'!$H$4:$H$1002,'compens8-Import'!$M$4:$M$1002,$B34,'compens8-Import'!$E$4:$E$1002,BG$1)</f>
        <v>0</v>
      </c>
      <c r="BH34" s="8">
        <f>SUMIFS('compens8-Import'!$H$4:$H$1002,'compens8-Import'!$M$4:$M$1002,$B34,'compens8-Import'!$E$4:$E$1002,BH$1)</f>
        <v>0</v>
      </c>
      <c r="BI34" s="8">
        <f>SUMIFS('compens8-Import'!$H$4:$H$1002,'compens8-Import'!$M$4:$M$1002,$B34,'compens8-Import'!$E$4:$E$1002,BI$1)</f>
        <v>0</v>
      </c>
      <c r="BJ34" s="8">
        <f>SUMIFS('compens8-Import'!$H$4:$H$1002,'compens8-Import'!$M$4:$M$1002,$B34,'compens8-Import'!$E$4:$E$1002,BJ$1)</f>
        <v>0</v>
      </c>
      <c r="BK34" s="8">
        <f>SUMIFS('compens8-Import'!$H$4:$H$1002,'compens8-Import'!$M$4:$M$1002,$B34,'compens8-Import'!$E$4:$E$1002,BK$1)</f>
        <v>0</v>
      </c>
      <c r="BL34" s="8">
        <f>SUMIFS('compens8-Import'!$H$4:$H$1002,'compens8-Import'!$M$4:$M$1002,$B34,'compens8-Import'!$E$4:$E$1002,BL$1)</f>
        <v>0</v>
      </c>
      <c r="BM34" s="8">
        <f>SUMIFS('compens8-Import'!$H$4:$H$1002,'compens8-Import'!$M$4:$M$1002,$B34,'compens8-Import'!$E$4:$E$1002,BM$1)</f>
        <v>0</v>
      </c>
      <c r="BN34" s="8">
        <f>SUMIFS('compens8-Import'!$H$4:$H$1002,'compens8-Import'!$M$4:$M$1002,$B34,'compens8-Import'!$E$4:$E$1002,BN$1)</f>
        <v>0</v>
      </c>
      <c r="BO34" s="8">
        <f>SUMIFS('compens8-Import'!$H$4:$H$1002,'compens8-Import'!$M$4:$M$1002,$B34,'compens8-Import'!$E$4:$E$1002,BO$1)</f>
        <v>0</v>
      </c>
      <c r="BP34" s="8">
        <f>SUMIFS('compens8-Import'!$H$4:$H$1002,'compens8-Import'!$M$4:$M$1002,$B34,'compens8-Import'!$E$4:$E$1002,BP$1)</f>
        <v>0</v>
      </c>
      <c r="BQ34" s="8">
        <f>SUMIFS('compens8-Import'!$H$4:$H$1002,'compens8-Import'!$M$4:$M$1002,$B34,'compens8-Import'!$E$4:$E$1002,BQ$1)</f>
        <v>0</v>
      </c>
      <c r="BR34" s="8">
        <f>SUMIFS('compens8-Import'!$H$4:$H$1002,'compens8-Import'!$M$4:$M$1002,$B34,'compens8-Import'!$E$4:$E$1002,BR$1)</f>
        <v>0</v>
      </c>
      <c r="BS34" s="8">
        <f>SUMIFS('compens8-Import'!$H$4:$H$1002,'compens8-Import'!$M$4:$M$1002,$B34,'compens8-Import'!$E$4:$E$1002,BS$1)</f>
        <v>0</v>
      </c>
      <c r="BT34" s="8">
        <f>SUMIFS('compens8-Import'!$H$4:$H$1002,'compens8-Import'!$M$4:$M$1002,$B34,'compens8-Import'!$E$4:$E$1002,BT$1)</f>
        <v>0</v>
      </c>
      <c r="BU34" s="8">
        <f>SUMIFS('compens8-Import'!$H$4:$H$1002,'compens8-Import'!$M$4:$M$1002,$B34,'compens8-Import'!$E$4:$E$1002,BU$1)</f>
        <v>0</v>
      </c>
      <c r="BV34" s="8">
        <f>SUMIFS('compens8-Import'!$H$4:$H$1002,'compens8-Import'!$M$4:$M$1002,$B34,'compens8-Import'!$E$4:$E$1002,BV$1)</f>
        <v>0</v>
      </c>
      <c r="BW34" s="8">
        <f>SUMIFS('compens8-Import'!$H$4:$H$1002,'compens8-Import'!$M$4:$M$1002,$B34,'compens8-Import'!$E$4:$E$1002,BW$1)</f>
        <v>0</v>
      </c>
      <c r="BX34" s="8">
        <f>SUMIFS('compens8-Import'!$H$4:$H$1002,'compens8-Import'!$M$4:$M$1002,$B34,'compens8-Import'!$E$4:$E$1002,BX$1)</f>
        <v>0</v>
      </c>
      <c r="BY34" s="8">
        <f>SUMIFS('compens8-Import'!$H$4:$H$1002,'compens8-Import'!$M$4:$M$1002,$B34,'compens8-Import'!$E$4:$E$1002,BY$1)</f>
        <v>0</v>
      </c>
      <c r="BZ34" s="8">
        <f>SUMIFS('compens8-Import'!$H$4:$H$1002,'compens8-Import'!$M$4:$M$1002,$B34,'compens8-Import'!$E$4:$E$1002,BZ$1)</f>
        <v>0</v>
      </c>
      <c r="CA34" s="8">
        <f>SUMIFS('compens8-Import'!$H$4:$H$1002,'compens8-Import'!$M$4:$M$1002,$B34,'compens8-Import'!$E$4:$E$1002,CA$1)</f>
        <v>0</v>
      </c>
      <c r="CB34" s="8">
        <f>SUMIFS('compens8-Import'!$H$4:$H$1002,'compens8-Import'!$M$4:$M$1002,$B34,'compens8-Import'!$E$4:$E$1002,CB$1)</f>
        <v>0</v>
      </c>
      <c r="CC34" s="8">
        <f>SUMIFS('compens8-Import'!$H$4:$H$1002,'compens8-Import'!$M$4:$M$1002,$B34,'compens8-Import'!$E$4:$E$1002,CC$1)</f>
        <v>0</v>
      </c>
      <c r="CD34" s="8">
        <f>SUMIFS('compens8-Import'!$H$4:$H$1002,'compens8-Import'!$M$4:$M$1002,$B34,'compens8-Import'!$E$4:$E$1002,CD$1)</f>
        <v>0</v>
      </c>
      <c r="CE34" s="8">
        <f>SUMIFS('compens8-Import'!$H$4:$H$1002,'compens8-Import'!$M$4:$M$1002,$B34,'compens8-Import'!$E$4:$E$1002,CE$1)</f>
        <v>0</v>
      </c>
      <c r="CF34" s="8">
        <f>SUMIFS('compens8-Import'!$H$4:$H$1002,'compens8-Import'!$M$4:$M$1002,$B34,'compens8-Import'!$E$4:$E$1002,CF$1)</f>
        <v>0</v>
      </c>
      <c r="CG34" s="8">
        <f>SUMIFS('compens8-Import'!$H$4:$H$1002,'compens8-Import'!$M$4:$M$1002,$B34,'compens8-Import'!$E$4:$E$1002,CG$1)</f>
        <v>0</v>
      </c>
      <c r="CH34" s="8">
        <f>SUMIFS('compens8-Import'!$H$4:$H$1002,'compens8-Import'!$M$4:$M$1002,$B34,'compens8-Import'!$E$4:$E$1002,CH$1)</f>
        <v>0</v>
      </c>
      <c r="CI34" s="8">
        <f>SUMIFS('compens8-Import'!$H$4:$H$1002,'compens8-Import'!$M$4:$M$1002,$B34,'compens8-Import'!$E$4:$E$1002,CI$1)</f>
        <v>0</v>
      </c>
      <c r="CJ34" s="8">
        <f>SUMIFS('compens8-Import'!$H$4:$H$1002,'compens8-Import'!$M$4:$M$1002,$B34,'compens8-Import'!$E$4:$E$1002,CJ$1)</f>
        <v>0</v>
      </c>
      <c r="CK34" s="8">
        <f>SUMIFS('compens8-Import'!$H$4:$H$1002,'compens8-Import'!$M$4:$M$1002,$B34,'compens8-Import'!$E$4:$E$1002,CK$1)</f>
        <v>0</v>
      </c>
      <c r="CL34" s="8">
        <f>SUMIFS('compens8-Import'!$H$4:$H$1002,'compens8-Import'!$M$4:$M$1002,$B34,'compens8-Import'!$E$4:$E$1002,CL$1)</f>
        <v>0</v>
      </c>
      <c r="CM34" s="8">
        <f>SUMIFS('compens8-Import'!$H$4:$H$1002,'compens8-Import'!$M$4:$M$1002,$B34,'compens8-Import'!$E$4:$E$1002,CM$1)</f>
        <v>0</v>
      </c>
      <c r="CN34" s="8">
        <f>SUMIFS('compens8-Import'!$H$4:$H$1002,'compens8-Import'!$M$4:$M$1002,$B34,'compens8-Import'!$E$4:$E$1002,CN$1)</f>
        <v>0</v>
      </c>
    </row>
    <row r="35" spans="1:92" x14ac:dyDescent="0.25">
      <c r="A35" s="2" t="s">
        <v>199</v>
      </c>
      <c r="B35" s="2" t="e">
        <f>_xlfn.XLOOKUP(A35,'Correspondances pays'!$A$4:$A$200,'Correspondances pays'!$B$4:$B$200)</f>
        <v>#N/A</v>
      </c>
      <c r="C35" s="44">
        <f>AutoConsommation!F34</f>
        <v>0</v>
      </c>
      <c r="D35" s="8">
        <f t="shared" si="0"/>
        <v>0</v>
      </c>
      <c r="E35" s="8">
        <f>SUMIFS('compens8-Import'!$H$4:$H$1002,'compens8-Import'!$M$4:$M$1002,$B35,'compens8-Import'!$E$4:$E$1002,E$1)</f>
        <v>0</v>
      </c>
      <c r="F35" s="8">
        <f>SUMIFS('compens8-Import'!$H$4:$H$1002,'compens8-Import'!$M$4:$M$1002,$B35,'compens8-Import'!$E$4:$E$1002,F$1)</f>
        <v>0</v>
      </c>
      <c r="G35" s="8">
        <f>SUMIFS('compens8-Import'!$H$4:$H$1002,'compens8-Import'!$M$4:$M$1002,$B35,'compens8-Import'!$E$4:$E$1002,G$1)</f>
        <v>0</v>
      </c>
      <c r="H35" s="8">
        <f>SUMIFS('compens8-Import'!$H$4:$H$1002,'compens8-Import'!$M$4:$M$1002,$B35,'compens8-Import'!$E$4:$E$1002,H$1)</f>
        <v>0</v>
      </c>
      <c r="I35" s="8">
        <f>SUMIFS('compens8-Import'!$H$4:$H$1002,'compens8-Import'!$M$4:$M$1002,$B35,'compens8-Import'!$E$4:$E$1002,I$1)</f>
        <v>0</v>
      </c>
      <c r="J35" s="8">
        <f>SUMIFS('compens8-Import'!$H$4:$H$1002,'compens8-Import'!$M$4:$M$1002,$B35,'compens8-Import'!$E$4:$E$1002,J$1)</f>
        <v>0</v>
      </c>
      <c r="K35" s="8">
        <f>SUMIFS('compens8-Import'!$H$4:$H$1002,'compens8-Import'!$M$4:$M$1002,$B35,'compens8-Import'!$E$4:$E$1002,K$1)</f>
        <v>0</v>
      </c>
      <c r="L35" s="8">
        <f>SUMIFS('compens8-Import'!$H$4:$H$1002,'compens8-Import'!$M$4:$M$1002,$B35,'compens8-Import'!$E$4:$E$1002,L$1)</f>
        <v>0</v>
      </c>
      <c r="M35" s="8">
        <f>SUMIFS('compens8-Import'!$H$4:$H$1002,'compens8-Import'!$M$4:$M$1002,$B35,'compens8-Import'!$E$4:$E$1002,M$1)</f>
        <v>0</v>
      </c>
      <c r="N35" s="8">
        <f>SUMIFS('compens8-Import'!$H$4:$H$1002,'compens8-Import'!$M$4:$M$1002,$B35,'compens8-Import'!$E$4:$E$1002,N$1)</f>
        <v>0</v>
      </c>
      <c r="O35" s="8">
        <f>SUMIFS('compens8-Import'!$H$4:$H$1002,'compens8-Import'!$M$4:$M$1002,$B35,'compens8-Import'!$E$4:$E$1002,O$1)</f>
        <v>0</v>
      </c>
      <c r="P35" s="8">
        <f>SUMIFS('compens8-Import'!$H$4:$H$1002,'compens8-Import'!$M$4:$M$1002,$B35,'compens8-Import'!$E$4:$E$1002,P$1)</f>
        <v>0</v>
      </c>
      <c r="Q35" s="8">
        <f>SUMIFS('compens8-Import'!$H$4:$H$1002,'compens8-Import'!$M$4:$M$1002,$B35,'compens8-Import'!$E$4:$E$1002,Q$1)</f>
        <v>0</v>
      </c>
      <c r="R35" s="8">
        <f>SUMIFS('compens8-Import'!$H$4:$H$1002,'compens8-Import'!$M$4:$M$1002,$B35,'compens8-Import'!$E$4:$E$1002,R$1)</f>
        <v>0</v>
      </c>
      <c r="S35" s="8">
        <f>SUMIFS('compens8-Import'!$H$4:$H$1002,'compens8-Import'!$M$4:$M$1002,$B35,'compens8-Import'!$E$4:$E$1002,S$1)</f>
        <v>0</v>
      </c>
      <c r="T35" s="8">
        <f>SUMIFS('compens8-Import'!$H$4:$H$1002,'compens8-Import'!$M$4:$M$1002,$B35,'compens8-Import'!$E$4:$E$1002,T$1)</f>
        <v>0</v>
      </c>
      <c r="U35" s="8">
        <f>SUMIFS('compens8-Import'!$H$4:$H$1002,'compens8-Import'!$M$4:$M$1002,$B35,'compens8-Import'!$E$4:$E$1002,U$1)</f>
        <v>0</v>
      </c>
      <c r="V35" s="8">
        <f>SUMIFS('compens8-Import'!$H$4:$H$1002,'compens8-Import'!$M$4:$M$1002,$B35,'compens8-Import'!$E$4:$E$1002,V$1)</f>
        <v>0</v>
      </c>
      <c r="W35" s="8">
        <f>SUMIFS('compens8-Import'!$H$4:$H$1002,'compens8-Import'!$M$4:$M$1002,$B35,'compens8-Import'!$E$4:$E$1002,W$1)</f>
        <v>0</v>
      </c>
      <c r="X35" s="8">
        <f>SUMIFS('compens8-Import'!$H$4:$H$1002,'compens8-Import'!$M$4:$M$1002,$B35,'compens8-Import'!$E$4:$E$1002,X$1)</f>
        <v>0</v>
      </c>
      <c r="Y35" s="8">
        <f>SUMIFS('compens8-Import'!$H$4:$H$1002,'compens8-Import'!$M$4:$M$1002,$B35,'compens8-Import'!$E$4:$E$1002,Y$1)</f>
        <v>0</v>
      </c>
      <c r="Z35" s="8">
        <f>SUMIFS('compens8-Import'!$H$4:$H$1002,'compens8-Import'!$M$4:$M$1002,$B35,'compens8-Import'!$E$4:$E$1002,Z$1)</f>
        <v>0</v>
      </c>
      <c r="AA35" s="8">
        <f>SUMIFS('compens8-Import'!$H$4:$H$1002,'compens8-Import'!$M$4:$M$1002,$B35,'compens8-Import'!$E$4:$E$1002,AA$1)</f>
        <v>0</v>
      </c>
      <c r="AB35" s="8">
        <f>SUMIFS('compens8-Import'!$H$4:$H$1002,'compens8-Import'!$M$4:$M$1002,$B35,'compens8-Import'!$E$4:$E$1002,AB$1)</f>
        <v>0</v>
      </c>
      <c r="AC35" s="8">
        <f>SUMIFS('compens8-Import'!$H$4:$H$1002,'compens8-Import'!$M$4:$M$1002,$B35,'compens8-Import'!$E$4:$E$1002,AC$1)</f>
        <v>0</v>
      </c>
      <c r="AD35" s="8">
        <f>SUMIFS('compens8-Import'!$H$4:$H$1002,'compens8-Import'!$M$4:$M$1002,$B35,'compens8-Import'!$E$4:$E$1002,AD$1)</f>
        <v>0</v>
      </c>
      <c r="AE35" s="8">
        <f>SUMIFS('compens8-Import'!$H$4:$H$1002,'compens8-Import'!$M$4:$M$1002,$B35,'compens8-Import'!$E$4:$E$1002,AE$1)</f>
        <v>0</v>
      </c>
      <c r="AF35" s="8">
        <f>SUMIFS('compens8-Import'!$H$4:$H$1002,'compens8-Import'!$M$4:$M$1002,$B35,'compens8-Import'!$E$4:$E$1002,AF$1)</f>
        <v>0</v>
      </c>
      <c r="AG35" s="8">
        <f>SUMIFS('compens8-Import'!$H$4:$H$1002,'compens8-Import'!$M$4:$M$1002,$B35,'compens8-Import'!$E$4:$E$1002,AG$1)</f>
        <v>0</v>
      </c>
      <c r="AH35" s="8">
        <f>SUMIFS('compens8-Import'!$H$4:$H$1002,'compens8-Import'!$M$4:$M$1002,$B35,'compens8-Import'!$E$4:$E$1002,AH$1)</f>
        <v>0</v>
      </c>
      <c r="AI35" s="8">
        <f>SUMIFS('compens8-Import'!$H$4:$H$1002,'compens8-Import'!$M$4:$M$1002,$B35,'compens8-Import'!$E$4:$E$1002,AI$1)</f>
        <v>0</v>
      </c>
      <c r="AJ35" s="8">
        <f>SUMIFS('compens8-Import'!$H$4:$H$1002,'compens8-Import'!$M$4:$M$1002,$B35,'compens8-Import'!$E$4:$E$1002,AJ$1)</f>
        <v>0</v>
      </c>
      <c r="AK35" s="8">
        <f>SUMIFS('compens8-Import'!$H$4:$H$1002,'compens8-Import'!$M$4:$M$1002,$B35,'compens8-Import'!$E$4:$E$1002,AK$1)</f>
        <v>0</v>
      </c>
      <c r="AL35" s="8">
        <f>SUMIFS('compens8-Import'!$H$4:$H$1002,'compens8-Import'!$M$4:$M$1002,$B35,'compens8-Import'!$E$4:$E$1002,AL$1)</f>
        <v>0</v>
      </c>
      <c r="AM35" s="8">
        <f>SUMIFS('compens8-Import'!$H$4:$H$1002,'compens8-Import'!$M$4:$M$1002,$B35,'compens8-Import'!$E$4:$E$1002,AM$1)</f>
        <v>0</v>
      </c>
      <c r="AN35" s="8">
        <f>SUMIFS('compens8-Import'!$H$4:$H$1002,'compens8-Import'!$M$4:$M$1002,$B35,'compens8-Import'!$E$4:$E$1002,AN$1)</f>
        <v>0</v>
      </c>
      <c r="AO35" s="8">
        <f>SUMIFS('compens8-Import'!$H$4:$H$1002,'compens8-Import'!$M$4:$M$1002,$B35,'compens8-Import'!$E$4:$E$1002,AO$1)</f>
        <v>0</v>
      </c>
      <c r="AP35" s="8">
        <f>SUMIFS('compens8-Import'!$H$4:$H$1002,'compens8-Import'!$M$4:$M$1002,$B35,'compens8-Import'!$E$4:$E$1002,AP$1)</f>
        <v>0</v>
      </c>
      <c r="AQ35" s="8">
        <f>SUMIFS('compens8-Import'!$H$4:$H$1002,'compens8-Import'!$M$4:$M$1002,$B35,'compens8-Import'!$E$4:$E$1002,AQ$1)</f>
        <v>0</v>
      </c>
      <c r="AR35" s="8">
        <f>SUMIFS('compens8-Import'!$H$4:$H$1002,'compens8-Import'!$M$4:$M$1002,$B35,'compens8-Import'!$E$4:$E$1002,AR$1)</f>
        <v>0</v>
      </c>
      <c r="AS35" s="8">
        <f>SUMIFS('compens8-Import'!$H$4:$H$1002,'compens8-Import'!$M$4:$M$1002,$B35,'compens8-Import'!$E$4:$E$1002,AS$1)</f>
        <v>0</v>
      </c>
      <c r="AT35" s="8">
        <f>SUMIFS('compens8-Import'!$H$4:$H$1002,'compens8-Import'!$M$4:$M$1002,$B35,'compens8-Import'!$E$4:$E$1002,AT$1)</f>
        <v>0</v>
      </c>
      <c r="AU35" s="8">
        <f>SUMIFS('compens8-Import'!$H$4:$H$1002,'compens8-Import'!$M$4:$M$1002,$B35,'compens8-Import'!$E$4:$E$1002,AU$1)</f>
        <v>0</v>
      </c>
      <c r="AV35" s="8">
        <f>SUMIFS('compens8-Import'!$H$4:$H$1002,'compens8-Import'!$M$4:$M$1002,$B35,'compens8-Import'!$E$4:$E$1002,AV$1)</f>
        <v>0</v>
      </c>
      <c r="AW35" s="8">
        <f>SUMIFS('compens8-Import'!$H$4:$H$1002,'compens8-Import'!$M$4:$M$1002,$B35,'compens8-Import'!$E$4:$E$1002,AW$1)</f>
        <v>0</v>
      </c>
      <c r="AX35" s="8">
        <f>SUMIFS('compens8-Import'!$H$4:$H$1002,'compens8-Import'!$M$4:$M$1002,$B35,'compens8-Import'!$E$4:$E$1002,AX$1)</f>
        <v>0</v>
      </c>
      <c r="AY35" s="8">
        <f>SUMIFS('compens8-Import'!$H$4:$H$1002,'compens8-Import'!$M$4:$M$1002,$B35,'compens8-Import'!$E$4:$E$1002,AY$1)</f>
        <v>0</v>
      </c>
      <c r="AZ35" s="8">
        <f>SUMIFS('compens8-Import'!$H$4:$H$1002,'compens8-Import'!$M$4:$M$1002,$B35,'compens8-Import'!$E$4:$E$1002,AZ$1)</f>
        <v>0</v>
      </c>
      <c r="BA35" s="8">
        <f>SUMIFS('compens8-Import'!$H$4:$H$1002,'compens8-Import'!$M$4:$M$1002,$B35,'compens8-Import'!$E$4:$E$1002,BA$1)</f>
        <v>0</v>
      </c>
      <c r="BB35" s="8">
        <f>SUMIFS('compens8-Import'!$H$4:$H$1002,'compens8-Import'!$M$4:$M$1002,$B35,'compens8-Import'!$E$4:$E$1002,BB$1)</f>
        <v>0</v>
      </c>
      <c r="BC35" s="8">
        <f>SUMIFS('compens8-Import'!$H$4:$H$1002,'compens8-Import'!$M$4:$M$1002,$B35,'compens8-Import'!$E$4:$E$1002,BC$1)</f>
        <v>0</v>
      </c>
      <c r="BD35" s="8">
        <f>SUMIFS('compens8-Import'!$H$4:$H$1002,'compens8-Import'!$M$4:$M$1002,$B35,'compens8-Import'!$E$4:$E$1002,BD$1)</f>
        <v>0</v>
      </c>
      <c r="BE35" s="8">
        <f>SUMIFS('compens8-Import'!$H$4:$H$1002,'compens8-Import'!$M$4:$M$1002,$B35,'compens8-Import'!$E$4:$E$1002,BE$1)</f>
        <v>0</v>
      </c>
      <c r="BF35" s="8">
        <f>SUMIFS('compens8-Import'!$H$4:$H$1002,'compens8-Import'!$M$4:$M$1002,$B35,'compens8-Import'!$E$4:$E$1002,BF$1)</f>
        <v>0</v>
      </c>
      <c r="BG35" s="8">
        <f>SUMIFS('compens8-Import'!$H$4:$H$1002,'compens8-Import'!$M$4:$M$1002,$B35,'compens8-Import'!$E$4:$E$1002,BG$1)</f>
        <v>0</v>
      </c>
      <c r="BH35" s="8">
        <f>SUMIFS('compens8-Import'!$H$4:$H$1002,'compens8-Import'!$M$4:$M$1002,$B35,'compens8-Import'!$E$4:$E$1002,BH$1)</f>
        <v>0</v>
      </c>
      <c r="BI35" s="8">
        <f>SUMIFS('compens8-Import'!$H$4:$H$1002,'compens8-Import'!$M$4:$M$1002,$B35,'compens8-Import'!$E$4:$E$1002,BI$1)</f>
        <v>0</v>
      </c>
      <c r="BJ35" s="8">
        <f>SUMIFS('compens8-Import'!$H$4:$H$1002,'compens8-Import'!$M$4:$M$1002,$B35,'compens8-Import'!$E$4:$E$1002,BJ$1)</f>
        <v>0</v>
      </c>
      <c r="BK35" s="8">
        <f>SUMIFS('compens8-Import'!$H$4:$H$1002,'compens8-Import'!$M$4:$M$1002,$B35,'compens8-Import'!$E$4:$E$1002,BK$1)</f>
        <v>0</v>
      </c>
      <c r="BL35" s="8">
        <f>SUMIFS('compens8-Import'!$H$4:$H$1002,'compens8-Import'!$M$4:$M$1002,$B35,'compens8-Import'!$E$4:$E$1002,BL$1)</f>
        <v>0</v>
      </c>
      <c r="BM35" s="8">
        <f>SUMIFS('compens8-Import'!$H$4:$H$1002,'compens8-Import'!$M$4:$M$1002,$B35,'compens8-Import'!$E$4:$E$1002,BM$1)</f>
        <v>0</v>
      </c>
      <c r="BN35" s="8">
        <f>SUMIFS('compens8-Import'!$H$4:$H$1002,'compens8-Import'!$M$4:$M$1002,$B35,'compens8-Import'!$E$4:$E$1002,BN$1)</f>
        <v>0</v>
      </c>
      <c r="BO35" s="8">
        <f>SUMIFS('compens8-Import'!$H$4:$H$1002,'compens8-Import'!$M$4:$M$1002,$B35,'compens8-Import'!$E$4:$E$1002,BO$1)</f>
        <v>0</v>
      </c>
      <c r="BP35" s="8">
        <f>SUMIFS('compens8-Import'!$H$4:$H$1002,'compens8-Import'!$M$4:$M$1002,$B35,'compens8-Import'!$E$4:$E$1002,BP$1)</f>
        <v>0</v>
      </c>
      <c r="BQ35" s="8">
        <f>SUMIFS('compens8-Import'!$H$4:$H$1002,'compens8-Import'!$M$4:$M$1002,$B35,'compens8-Import'!$E$4:$E$1002,BQ$1)</f>
        <v>0</v>
      </c>
      <c r="BR35" s="8">
        <f>SUMIFS('compens8-Import'!$H$4:$H$1002,'compens8-Import'!$M$4:$M$1002,$B35,'compens8-Import'!$E$4:$E$1002,BR$1)</f>
        <v>0</v>
      </c>
      <c r="BS35" s="8">
        <f>SUMIFS('compens8-Import'!$H$4:$H$1002,'compens8-Import'!$M$4:$M$1002,$B35,'compens8-Import'!$E$4:$E$1002,BS$1)</f>
        <v>0</v>
      </c>
      <c r="BT35" s="8">
        <f>SUMIFS('compens8-Import'!$H$4:$H$1002,'compens8-Import'!$M$4:$M$1002,$B35,'compens8-Import'!$E$4:$E$1002,BT$1)</f>
        <v>0</v>
      </c>
      <c r="BU35" s="8">
        <f>SUMIFS('compens8-Import'!$H$4:$H$1002,'compens8-Import'!$M$4:$M$1002,$B35,'compens8-Import'!$E$4:$E$1002,BU$1)</f>
        <v>0</v>
      </c>
      <c r="BV35" s="8">
        <f>SUMIFS('compens8-Import'!$H$4:$H$1002,'compens8-Import'!$M$4:$M$1002,$B35,'compens8-Import'!$E$4:$E$1002,BV$1)</f>
        <v>0</v>
      </c>
      <c r="BW35" s="8">
        <f>SUMIFS('compens8-Import'!$H$4:$H$1002,'compens8-Import'!$M$4:$M$1002,$B35,'compens8-Import'!$E$4:$E$1002,BW$1)</f>
        <v>0</v>
      </c>
      <c r="BX35" s="8">
        <f>SUMIFS('compens8-Import'!$H$4:$H$1002,'compens8-Import'!$M$4:$M$1002,$B35,'compens8-Import'!$E$4:$E$1002,BX$1)</f>
        <v>0</v>
      </c>
      <c r="BY35" s="8">
        <f>SUMIFS('compens8-Import'!$H$4:$H$1002,'compens8-Import'!$M$4:$M$1002,$B35,'compens8-Import'!$E$4:$E$1002,BY$1)</f>
        <v>0</v>
      </c>
      <c r="BZ35" s="8">
        <f>SUMIFS('compens8-Import'!$H$4:$H$1002,'compens8-Import'!$M$4:$M$1002,$B35,'compens8-Import'!$E$4:$E$1002,BZ$1)</f>
        <v>0</v>
      </c>
      <c r="CA35" s="8">
        <f>SUMIFS('compens8-Import'!$H$4:$H$1002,'compens8-Import'!$M$4:$M$1002,$B35,'compens8-Import'!$E$4:$E$1002,CA$1)</f>
        <v>0</v>
      </c>
      <c r="CB35" s="8">
        <f>SUMIFS('compens8-Import'!$H$4:$H$1002,'compens8-Import'!$M$4:$M$1002,$B35,'compens8-Import'!$E$4:$E$1002,CB$1)</f>
        <v>0</v>
      </c>
      <c r="CC35" s="8">
        <f>SUMIFS('compens8-Import'!$H$4:$H$1002,'compens8-Import'!$M$4:$M$1002,$B35,'compens8-Import'!$E$4:$E$1002,CC$1)</f>
        <v>0</v>
      </c>
      <c r="CD35" s="8">
        <f>SUMIFS('compens8-Import'!$H$4:$H$1002,'compens8-Import'!$M$4:$M$1002,$B35,'compens8-Import'!$E$4:$E$1002,CD$1)</f>
        <v>0</v>
      </c>
      <c r="CE35" s="8">
        <f>SUMIFS('compens8-Import'!$H$4:$H$1002,'compens8-Import'!$M$4:$M$1002,$B35,'compens8-Import'!$E$4:$E$1002,CE$1)</f>
        <v>0</v>
      </c>
      <c r="CF35" s="8">
        <f>SUMIFS('compens8-Import'!$H$4:$H$1002,'compens8-Import'!$M$4:$M$1002,$B35,'compens8-Import'!$E$4:$E$1002,CF$1)</f>
        <v>0</v>
      </c>
      <c r="CG35" s="8">
        <f>SUMIFS('compens8-Import'!$H$4:$H$1002,'compens8-Import'!$M$4:$M$1002,$B35,'compens8-Import'!$E$4:$E$1002,CG$1)</f>
        <v>0</v>
      </c>
      <c r="CH35" s="8">
        <f>SUMIFS('compens8-Import'!$H$4:$H$1002,'compens8-Import'!$M$4:$M$1002,$B35,'compens8-Import'!$E$4:$E$1002,CH$1)</f>
        <v>0</v>
      </c>
      <c r="CI35" s="8">
        <f>SUMIFS('compens8-Import'!$H$4:$H$1002,'compens8-Import'!$M$4:$M$1002,$B35,'compens8-Import'!$E$4:$E$1002,CI$1)</f>
        <v>0</v>
      </c>
      <c r="CJ35" s="8">
        <f>SUMIFS('compens8-Import'!$H$4:$H$1002,'compens8-Import'!$M$4:$M$1002,$B35,'compens8-Import'!$E$4:$E$1002,CJ$1)</f>
        <v>0</v>
      </c>
      <c r="CK35" s="8">
        <f>SUMIFS('compens8-Import'!$H$4:$H$1002,'compens8-Import'!$M$4:$M$1002,$B35,'compens8-Import'!$E$4:$E$1002,CK$1)</f>
        <v>0</v>
      </c>
      <c r="CL35" s="8">
        <f>SUMIFS('compens8-Import'!$H$4:$H$1002,'compens8-Import'!$M$4:$M$1002,$B35,'compens8-Import'!$E$4:$E$1002,CL$1)</f>
        <v>0</v>
      </c>
      <c r="CM35" s="8">
        <f>SUMIFS('compens8-Import'!$H$4:$H$1002,'compens8-Import'!$M$4:$M$1002,$B35,'compens8-Import'!$E$4:$E$1002,CM$1)</f>
        <v>0</v>
      </c>
      <c r="CN35" s="8">
        <f>SUMIFS('compens8-Import'!$H$4:$H$1002,'compens8-Import'!$M$4:$M$1002,$B35,'compens8-Import'!$E$4:$E$1002,CN$1)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949D-BC16-4C61-BFF8-E9F73EBCF97C}">
  <sheetPr>
    <tabColor theme="0"/>
  </sheetPr>
  <dimension ref="A1:C204"/>
  <sheetViews>
    <sheetView zoomScale="80" zoomScaleNormal="80" workbookViewId="0">
      <selection activeCell="F38" sqref="F38"/>
    </sheetView>
  </sheetViews>
  <sheetFormatPr baseColWidth="10" defaultColWidth="10.875" defaultRowHeight="14.3" x14ac:dyDescent="0.25"/>
  <cols>
    <col min="1" max="1" width="28" style="33" customWidth="1"/>
    <col min="2" max="2" width="22.125" style="33" bestFit="1" customWidth="1"/>
    <col min="3" max="3" width="41.75" style="33" customWidth="1"/>
    <col min="4" max="16384" width="10.875" style="33"/>
  </cols>
  <sheetData>
    <row r="1" spans="1:3" ht="19.05" x14ac:dyDescent="0.25">
      <c r="A1" s="36" t="s">
        <v>290</v>
      </c>
      <c r="B1" s="37"/>
      <c r="C1" s="37"/>
    </row>
    <row r="3" spans="1:3" x14ac:dyDescent="0.25">
      <c r="A3" s="34" t="s">
        <v>194</v>
      </c>
      <c r="B3" s="34" t="s">
        <v>279</v>
      </c>
      <c r="C3" s="34" t="s">
        <v>203</v>
      </c>
    </row>
    <row r="4" spans="1:3" x14ac:dyDescent="0.25">
      <c r="A4" s="2" t="s">
        <v>199</v>
      </c>
      <c r="B4" s="35" t="e">
        <v>#N/A</v>
      </c>
      <c r="C4" s="35" t="s">
        <v>193</v>
      </c>
    </row>
    <row r="5" spans="1:3" x14ac:dyDescent="0.25">
      <c r="A5" s="2" t="s">
        <v>124</v>
      </c>
      <c r="B5" s="35" t="e">
        <v>#N/A</v>
      </c>
      <c r="C5" s="35" t="s">
        <v>187</v>
      </c>
    </row>
    <row r="6" spans="1:3" x14ac:dyDescent="0.25">
      <c r="A6" s="2" t="s">
        <v>114</v>
      </c>
      <c r="B6" s="35" t="s">
        <v>114</v>
      </c>
      <c r="C6" s="35" t="s">
        <v>193</v>
      </c>
    </row>
    <row r="7" spans="1:3" x14ac:dyDescent="0.25">
      <c r="A7" s="2" t="s">
        <v>0</v>
      </c>
      <c r="B7" s="35" t="s">
        <v>0</v>
      </c>
      <c r="C7" s="35" t="s">
        <v>193</v>
      </c>
    </row>
    <row r="8" spans="1:3" x14ac:dyDescent="0.25">
      <c r="A8" s="2" t="s">
        <v>119</v>
      </c>
      <c r="B8" s="35" t="s">
        <v>119</v>
      </c>
      <c r="C8" s="35" t="s">
        <v>193</v>
      </c>
    </row>
    <row r="9" spans="1:3" x14ac:dyDescent="0.25">
      <c r="A9" s="2" t="s">
        <v>1</v>
      </c>
      <c r="B9" s="35" t="e">
        <v>#N/A</v>
      </c>
      <c r="C9" s="35" t="s">
        <v>193</v>
      </c>
    </row>
    <row r="10" spans="1:3" x14ac:dyDescent="0.25">
      <c r="A10" s="2" t="s">
        <v>145</v>
      </c>
      <c r="B10" s="35" t="e">
        <v>#N/A</v>
      </c>
      <c r="C10" s="35" t="s">
        <v>193</v>
      </c>
    </row>
    <row r="11" spans="1:3" x14ac:dyDescent="0.25">
      <c r="A11" s="2" t="s">
        <v>2</v>
      </c>
      <c r="B11" s="35" t="s">
        <v>2</v>
      </c>
      <c r="C11" s="35" t="s">
        <v>192</v>
      </c>
    </row>
    <row r="12" spans="1:3" x14ac:dyDescent="0.25">
      <c r="A12" s="2" t="s">
        <v>3</v>
      </c>
      <c r="B12" s="35" t="s">
        <v>3</v>
      </c>
      <c r="C12" s="35" t="s">
        <v>193</v>
      </c>
    </row>
    <row r="13" spans="1:3" x14ac:dyDescent="0.25">
      <c r="A13" s="2" t="s">
        <v>146</v>
      </c>
      <c r="B13" s="35" t="e">
        <v>#N/A</v>
      </c>
      <c r="C13" s="35" t="s">
        <v>193</v>
      </c>
    </row>
    <row r="14" spans="1:3" x14ac:dyDescent="0.25">
      <c r="A14" s="2" t="s">
        <v>4</v>
      </c>
      <c r="B14" s="35" t="s">
        <v>4</v>
      </c>
      <c r="C14" s="35" t="s">
        <v>191</v>
      </c>
    </row>
    <row r="15" spans="1:3" x14ac:dyDescent="0.25">
      <c r="A15" s="2" t="s">
        <v>5</v>
      </c>
      <c r="B15" s="35" t="s">
        <v>5</v>
      </c>
      <c r="C15" s="35" t="s">
        <v>188</v>
      </c>
    </row>
    <row r="16" spans="1:3" x14ac:dyDescent="0.25">
      <c r="A16" s="2" t="s">
        <v>6</v>
      </c>
      <c r="B16" s="35" t="s">
        <v>6</v>
      </c>
      <c r="C16" s="35" t="s">
        <v>187</v>
      </c>
    </row>
    <row r="17" spans="1:3" x14ac:dyDescent="0.25">
      <c r="A17" s="2" t="s">
        <v>147</v>
      </c>
      <c r="B17" s="35" t="s">
        <v>147</v>
      </c>
      <c r="C17" s="35" t="s">
        <v>193</v>
      </c>
    </row>
    <row r="18" spans="1:3" x14ac:dyDescent="0.25">
      <c r="A18" s="2" t="s">
        <v>7</v>
      </c>
      <c r="B18" s="35" t="s">
        <v>7</v>
      </c>
      <c r="C18" s="35" t="s">
        <v>189</v>
      </c>
    </row>
    <row r="19" spans="1:3" x14ac:dyDescent="0.25">
      <c r="A19" s="2" t="s">
        <v>8</v>
      </c>
      <c r="B19" s="35" t="s">
        <v>8</v>
      </c>
      <c r="C19" s="35" t="s">
        <v>187</v>
      </c>
    </row>
    <row r="20" spans="1:3" x14ac:dyDescent="0.25">
      <c r="A20" s="2" t="s">
        <v>9</v>
      </c>
      <c r="B20" s="35" t="e">
        <v>#N/A</v>
      </c>
      <c r="C20" s="35" t="s">
        <v>193</v>
      </c>
    </row>
    <row r="21" spans="1:3" x14ac:dyDescent="0.25">
      <c r="A21" s="2" t="s">
        <v>10</v>
      </c>
      <c r="B21" s="35" t="s">
        <v>10</v>
      </c>
      <c r="C21" s="35" t="s">
        <v>193</v>
      </c>
    </row>
    <row r="22" spans="1:3" x14ac:dyDescent="0.25">
      <c r="A22" s="2" t="s">
        <v>11</v>
      </c>
      <c r="B22" s="35" t="s">
        <v>11</v>
      </c>
      <c r="C22" s="35" t="s">
        <v>188</v>
      </c>
    </row>
    <row r="23" spans="1:3" x14ac:dyDescent="0.25">
      <c r="A23" s="2" t="s">
        <v>12</v>
      </c>
      <c r="B23" s="35" t="e">
        <v>#N/A</v>
      </c>
      <c r="C23" s="35" t="s">
        <v>193</v>
      </c>
    </row>
    <row r="24" spans="1:3" x14ac:dyDescent="0.25">
      <c r="A24" s="2" t="s">
        <v>125</v>
      </c>
      <c r="B24" s="35" t="e">
        <v>#N/A</v>
      </c>
      <c r="C24" s="35" t="s">
        <v>193</v>
      </c>
    </row>
    <row r="25" spans="1:3" x14ac:dyDescent="0.25">
      <c r="A25" s="2" t="s">
        <v>148</v>
      </c>
      <c r="B25" s="35" t="e">
        <v>#N/A</v>
      </c>
      <c r="C25" s="35" t="s">
        <v>193</v>
      </c>
    </row>
    <row r="26" spans="1:3" x14ac:dyDescent="0.25">
      <c r="A26" s="2" t="s">
        <v>178</v>
      </c>
      <c r="B26" s="35" t="s">
        <v>178</v>
      </c>
      <c r="C26" s="35" t="s">
        <v>187</v>
      </c>
    </row>
    <row r="27" spans="1:3" x14ac:dyDescent="0.25">
      <c r="A27" s="2" t="s">
        <v>13</v>
      </c>
      <c r="B27" s="35" t="e">
        <v>#N/A</v>
      </c>
      <c r="C27" s="35" t="s">
        <v>193</v>
      </c>
    </row>
    <row r="28" spans="1:3" ht="30.1" x14ac:dyDescent="0.25">
      <c r="A28" s="2" t="s">
        <v>265</v>
      </c>
      <c r="B28" s="35" t="s">
        <v>236</v>
      </c>
      <c r="C28" s="35" t="s">
        <v>190</v>
      </c>
    </row>
    <row r="29" spans="1:3" ht="14.95" x14ac:dyDescent="0.25">
      <c r="A29" s="2" t="s">
        <v>171</v>
      </c>
      <c r="B29" s="35" t="e">
        <v>#N/A</v>
      </c>
      <c r="C29" s="35" t="s">
        <v>193</v>
      </c>
    </row>
    <row r="30" spans="1:3" x14ac:dyDescent="0.25">
      <c r="A30" s="2" t="s">
        <v>14</v>
      </c>
      <c r="B30" s="35" t="s">
        <v>14</v>
      </c>
      <c r="C30" s="35" t="s">
        <v>192</v>
      </c>
    </row>
    <row r="31" spans="1:3" ht="14.95" x14ac:dyDescent="0.25">
      <c r="A31" s="2" t="s">
        <v>149</v>
      </c>
      <c r="B31" s="35" t="e">
        <v>#N/A</v>
      </c>
      <c r="C31" s="35" t="s">
        <v>193</v>
      </c>
    </row>
    <row r="32" spans="1:3" ht="14.95" x14ac:dyDescent="0.25">
      <c r="A32" s="2" t="s">
        <v>15</v>
      </c>
      <c r="B32" s="35" t="s">
        <v>15</v>
      </c>
      <c r="C32" s="35" t="s">
        <v>188</v>
      </c>
    </row>
    <row r="33" spans="1:3" ht="14.95" x14ac:dyDescent="0.25">
      <c r="A33" s="2" t="s">
        <v>150</v>
      </c>
      <c r="B33" s="35" t="e">
        <v>#N/A</v>
      </c>
      <c r="C33" s="35" t="s">
        <v>193</v>
      </c>
    </row>
    <row r="34" spans="1:3" ht="14.95" x14ac:dyDescent="0.25">
      <c r="A34" s="2" t="s">
        <v>172</v>
      </c>
      <c r="B34" s="35" t="e">
        <v>#N/A</v>
      </c>
      <c r="C34" s="35" t="s">
        <v>193</v>
      </c>
    </row>
    <row r="35" spans="1:3" ht="14.95" x14ac:dyDescent="0.25">
      <c r="A35" s="2" t="s">
        <v>126</v>
      </c>
      <c r="B35" s="35" t="s">
        <v>126</v>
      </c>
      <c r="C35" s="35" t="s">
        <v>193</v>
      </c>
    </row>
    <row r="36" spans="1:3" ht="14.95" x14ac:dyDescent="0.25">
      <c r="A36" s="2" t="s">
        <v>120</v>
      </c>
      <c r="B36" s="2" t="s">
        <v>120</v>
      </c>
      <c r="C36" s="35" t="s">
        <v>186</v>
      </c>
    </row>
    <row r="37" spans="1:3" x14ac:dyDescent="0.25">
      <c r="A37" s="2" t="s">
        <v>16</v>
      </c>
      <c r="B37" s="35" t="s">
        <v>16</v>
      </c>
      <c r="C37" s="35" t="s">
        <v>195</v>
      </c>
    </row>
    <row r="38" spans="1:3" ht="14.95" x14ac:dyDescent="0.25">
      <c r="A38" s="2" t="s">
        <v>176</v>
      </c>
      <c r="B38" s="35" t="e">
        <v>#N/A</v>
      </c>
      <c r="C38" s="35" t="s">
        <v>193</v>
      </c>
    </row>
    <row r="39" spans="1:3" ht="14.95" x14ac:dyDescent="0.25">
      <c r="A39" s="2" t="s">
        <v>151</v>
      </c>
      <c r="B39" s="35" t="e">
        <v>#N/A</v>
      </c>
      <c r="C39" s="35" t="s">
        <v>193</v>
      </c>
    </row>
    <row r="40" spans="1:3" ht="14.95" x14ac:dyDescent="0.25">
      <c r="A40" s="2" t="s">
        <v>174</v>
      </c>
      <c r="B40" s="35" t="e">
        <v>#N/A</v>
      </c>
      <c r="C40" s="35" t="s">
        <v>193</v>
      </c>
    </row>
    <row r="41" spans="1:3" x14ac:dyDescent="0.25">
      <c r="A41" s="2" t="s">
        <v>132</v>
      </c>
      <c r="B41" s="35" t="e">
        <v>#N/A</v>
      </c>
      <c r="C41" s="35" t="s">
        <v>193</v>
      </c>
    </row>
    <row r="42" spans="1:3" x14ac:dyDescent="0.25">
      <c r="A42" s="2" t="s">
        <v>17</v>
      </c>
      <c r="B42" s="35" t="s">
        <v>17</v>
      </c>
      <c r="C42" s="35" t="s">
        <v>193</v>
      </c>
    </row>
    <row r="43" spans="1:3" x14ac:dyDescent="0.25">
      <c r="A43" s="2" t="s">
        <v>18</v>
      </c>
      <c r="B43" s="35" t="s">
        <v>18</v>
      </c>
      <c r="C43" s="35" t="s">
        <v>185</v>
      </c>
    </row>
    <row r="44" spans="1:3" x14ac:dyDescent="0.25">
      <c r="A44" s="2" t="s">
        <v>19</v>
      </c>
      <c r="B44" s="35" t="s">
        <v>19</v>
      </c>
      <c r="C44" s="35" t="s">
        <v>193</v>
      </c>
    </row>
    <row r="45" spans="1:3" x14ac:dyDescent="0.25">
      <c r="A45" s="2" t="s">
        <v>200</v>
      </c>
      <c r="B45" s="35" t="e">
        <v>#N/A</v>
      </c>
      <c r="C45" s="35" t="s">
        <v>193</v>
      </c>
    </row>
    <row r="46" spans="1:3" x14ac:dyDescent="0.25">
      <c r="A46" s="2" t="s">
        <v>127</v>
      </c>
      <c r="B46" s="35" t="e">
        <v>#N/A</v>
      </c>
      <c r="C46" s="35" t="s">
        <v>193</v>
      </c>
    </row>
    <row r="47" spans="1:3" ht="28.55" x14ac:dyDescent="0.25">
      <c r="A47" s="2" t="s">
        <v>152</v>
      </c>
      <c r="B47" s="35" t="s">
        <v>267</v>
      </c>
      <c r="C47" s="35" t="s">
        <v>193</v>
      </c>
    </row>
    <row r="48" spans="1:3" x14ac:dyDescent="0.25">
      <c r="A48" s="2" t="s">
        <v>20</v>
      </c>
      <c r="B48" s="35" t="e">
        <v>#N/A</v>
      </c>
      <c r="C48" s="35" t="s">
        <v>193</v>
      </c>
    </row>
    <row r="49" spans="1:3" x14ac:dyDescent="0.25">
      <c r="A49" t="s">
        <v>268</v>
      </c>
      <c r="B49" s="35" t="s">
        <v>268</v>
      </c>
      <c r="C49" s="35" t="s">
        <v>193</v>
      </c>
    </row>
    <row r="50" spans="1:3" x14ac:dyDescent="0.25">
      <c r="A50" s="2" t="s">
        <v>21</v>
      </c>
      <c r="B50" s="35" t="s">
        <v>21</v>
      </c>
      <c r="C50" s="35" t="s">
        <v>188</v>
      </c>
    </row>
    <row r="51" spans="1:3" x14ac:dyDescent="0.25">
      <c r="A51" s="2" t="s">
        <v>133</v>
      </c>
      <c r="B51" s="35" t="e">
        <v>#N/A</v>
      </c>
      <c r="C51" s="35" t="s">
        <v>193</v>
      </c>
    </row>
    <row r="52" spans="1:3" x14ac:dyDescent="0.25">
      <c r="A52" s="2" t="s">
        <v>153</v>
      </c>
      <c r="B52" s="35" t="e">
        <v>#N/A</v>
      </c>
      <c r="C52" s="35" t="s">
        <v>193</v>
      </c>
    </row>
    <row r="53" spans="1:3" x14ac:dyDescent="0.25">
      <c r="A53" s="2" t="s">
        <v>22</v>
      </c>
      <c r="B53" s="35" t="s">
        <v>22</v>
      </c>
      <c r="C53" s="35" t="s">
        <v>188</v>
      </c>
    </row>
    <row r="54" spans="1:3" x14ac:dyDescent="0.25">
      <c r="A54" s="2" t="s">
        <v>23</v>
      </c>
      <c r="B54" s="2" t="s">
        <v>211</v>
      </c>
      <c r="C54" s="35" t="s">
        <v>188</v>
      </c>
    </row>
    <row r="55" spans="1:3" x14ac:dyDescent="0.25">
      <c r="A55" s="2" t="s">
        <v>24</v>
      </c>
      <c r="B55" s="35" t="s">
        <v>24</v>
      </c>
      <c r="C55" s="35" t="s">
        <v>188</v>
      </c>
    </row>
    <row r="56" spans="1:3" x14ac:dyDescent="0.25">
      <c r="A56" s="2" t="s">
        <v>154</v>
      </c>
      <c r="B56" s="35" t="s">
        <v>154</v>
      </c>
      <c r="C56" s="35" t="s">
        <v>193</v>
      </c>
    </row>
    <row r="57" spans="1:3" x14ac:dyDescent="0.25">
      <c r="A57" s="2" t="s">
        <v>25</v>
      </c>
      <c r="B57" s="35" t="e">
        <v>#N/A</v>
      </c>
      <c r="C57" s="35" t="s">
        <v>193</v>
      </c>
    </row>
    <row r="58" spans="1:3" x14ac:dyDescent="0.25">
      <c r="A58" s="2" t="s">
        <v>26</v>
      </c>
      <c r="B58" s="35" t="s">
        <v>26</v>
      </c>
      <c r="C58" s="35" t="s">
        <v>193</v>
      </c>
    </row>
    <row r="59" spans="1:3" x14ac:dyDescent="0.25">
      <c r="A59" s="2" t="s">
        <v>27</v>
      </c>
      <c r="B59" s="35" t="s">
        <v>27</v>
      </c>
      <c r="C59" s="35" t="s">
        <v>193</v>
      </c>
    </row>
    <row r="60" spans="1:3" x14ac:dyDescent="0.25">
      <c r="A60" s="2" t="s">
        <v>28</v>
      </c>
      <c r="B60" s="35" t="s">
        <v>28</v>
      </c>
      <c r="C60" s="35" t="s">
        <v>186</v>
      </c>
    </row>
    <row r="61" spans="1:3" x14ac:dyDescent="0.25">
      <c r="A61" s="2" t="s">
        <v>29</v>
      </c>
      <c r="B61" s="35" t="s">
        <v>29</v>
      </c>
      <c r="C61" s="35" t="s">
        <v>193</v>
      </c>
    </row>
    <row r="62" spans="1:3" x14ac:dyDescent="0.25">
      <c r="A62" s="2" t="s">
        <v>137</v>
      </c>
      <c r="B62" s="35" t="e">
        <v>#N/A</v>
      </c>
      <c r="C62" s="35" t="s">
        <v>193</v>
      </c>
    </row>
    <row r="63" spans="1:3" x14ac:dyDescent="0.25">
      <c r="A63" s="2" t="s">
        <v>30</v>
      </c>
      <c r="B63" s="35" t="s">
        <v>30</v>
      </c>
      <c r="C63" s="35" t="s">
        <v>188</v>
      </c>
    </row>
    <row r="64" spans="1:3" x14ac:dyDescent="0.25">
      <c r="A64" s="2" t="s">
        <v>31</v>
      </c>
      <c r="B64" s="35" t="e">
        <v>#N/A</v>
      </c>
      <c r="C64" s="35" t="s">
        <v>193</v>
      </c>
    </row>
    <row r="65" spans="1:3" x14ac:dyDescent="0.25">
      <c r="A65" s="2" t="s">
        <v>141</v>
      </c>
      <c r="B65" s="35" t="e">
        <v>#N/A</v>
      </c>
      <c r="C65" s="35" t="s">
        <v>193</v>
      </c>
    </row>
    <row r="66" spans="1:3" x14ac:dyDescent="0.25">
      <c r="A66" s="2" t="s">
        <v>134</v>
      </c>
      <c r="B66" s="35" t="e">
        <v>#N/A</v>
      </c>
      <c r="C66" s="35" t="s">
        <v>193</v>
      </c>
    </row>
    <row r="67" spans="1:3" x14ac:dyDescent="0.25">
      <c r="A67" s="2" t="s">
        <v>144</v>
      </c>
      <c r="B67" s="35" t="e">
        <v>#N/A</v>
      </c>
      <c r="C67" s="35" t="s">
        <v>193</v>
      </c>
    </row>
    <row r="68" spans="1:3" x14ac:dyDescent="0.25">
      <c r="A68" s="2" t="s">
        <v>155</v>
      </c>
      <c r="B68" s="35" t="s">
        <v>155</v>
      </c>
      <c r="C68" s="35" t="s">
        <v>191</v>
      </c>
    </row>
    <row r="69" spans="1:3" x14ac:dyDescent="0.25">
      <c r="A69" s="2" t="s">
        <v>32</v>
      </c>
      <c r="B69" s="35" t="s">
        <v>32</v>
      </c>
      <c r="C69" s="35" t="s">
        <v>188</v>
      </c>
    </row>
    <row r="70" spans="1:3" x14ac:dyDescent="0.25">
      <c r="A70" s="2" t="s">
        <v>33</v>
      </c>
      <c r="B70" s="35" t="s">
        <v>33</v>
      </c>
      <c r="C70" s="35" t="s">
        <v>188</v>
      </c>
    </row>
    <row r="71" spans="1:3" x14ac:dyDescent="0.25">
      <c r="A71" s="2" t="s">
        <v>34</v>
      </c>
      <c r="B71" s="35" t="e">
        <v>#N/A</v>
      </c>
      <c r="C71" s="35" t="s">
        <v>191</v>
      </c>
    </row>
    <row r="72" spans="1:3" x14ac:dyDescent="0.25">
      <c r="A72" s="2" t="s">
        <v>35</v>
      </c>
      <c r="B72" s="35" t="s">
        <v>35</v>
      </c>
      <c r="C72" s="35" t="s">
        <v>193</v>
      </c>
    </row>
    <row r="73" spans="1:3" x14ac:dyDescent="0.25">
      <c r="A73" s="2" t="s">
        <v>36</v>
      </c>
      <c r="B73" s="35" t="s">
        <v>36</v>
      </c>
      <c r="C73" s="35" t="s">
        <v>193</v>
      </c>
    </row>
    <row r="74" spans="1:3" x14ac:dyDescent="0.25">
      <c r="A74" s="2" t="s">
        <v>37</v>
      </c>
      <c r="B74" s="35" t="s">
        <v>37</v>
      </c>
      <c r="C74" s="35" t="s">
        <v>188</v>
      </c>
    </row>
    <row r="75" spans="1:3" x14ac:dyDescent="0.25">
      <c r="A75" s="2" t="s">
        <v>38</v>
      </c>
      <c r="B75" s="2" t="s">
        <v>38</v>
      </c>
      <c r="C75" s="35" t="s">
        <v>186</v>
      </c>
    </row>
    <row r="76" spans="1:3" x14ac:dyDescent="0.25">
      <c r="A76" s="2" t="s">
        <v>135</v>
      </c>
      <c r="B76" s="35" t="e">
        <v>#N/A</v>
      </c>
      <c r="C76" s="35" t="s">
        <v>193</v>
      </c>
    </row>
    <row r="77" spans="1:3" x14ac:dyDescent="0.25">
      <c r="A77" s="2" t="s">
        <v>39</v>
      </c>
      <c r="B77" s="35" t="s">
        <v>39</v>
      </c>
      <c r="C77" s="35" t="s">
        <v>188</v>
      </c>
    </row>
    <row r="78" spans="1:3" x14ac:dyDescent="0.25">
      <c r="A78" s="2" t="s">
        <v>156</v>
      </c>
      <c r="B78" s="35" t="e">
        <v>#N/A</v>
      </c>
      <c r="C78" s="35" t="s">
        <v>193</v>
      </c>
    </row>
    <row r="79" spans="1:3" x14ac:dyDescent="0.25">
      <c r="A79" s="2" t="s">
        <v>40</v>
      </c>
      <c r="B79" s="35" t="s">
        <v>40</v>
      </c>
      <c r="C79" s="35" t="s">
        <v>193</v>
      </c>
    </row>
    <row r="80" spans="1:3" x14ac:dyDescent="0.25">
      <c r="A80" s="2" t="s">
        <v>41</v>
      </c>
      <c r="B80" s="35" t="s">
        <v>41</v>
      </c>
      <c r="C80" s="35" t="s">
        <v>193</v>
      </c>
    </row>
    <row r="81" spans="1:3" x14ac:dyDescent="0.25">
      <c r="A81" s="2" t="s">
        <v>42</v>
      </c>
      <c r="B81" s="2" t="s">
        <v>42</v>
      </c>
      <c r="C81" s="35" t="s">
        <v>193</v>
      </c>
    </row>
    <row r="82" spans="1:3" x14ac:dyDescent="0.25">
      <c r="A82" s="2" t="s">
        <v>43</v>
      </c>
      <c r="B82" s="35" t="s">
        <v>43</v>
      </c>
      <c r="C82" s="35" t="s">
        <v>188</v>
      </c>
    </row>
    <row r="83" spans="1:3" x14ac:dyDescent="0.25">
      <c r="A83" s="2" t="s">
        <v>44</v>
      </c>
      <c r="B83" s="35" t="s">
        <v>44</v>
      </c>
      <c r="C83" s="35" t="s">
        <v>188</v>
      </c>
    </row>
    <row r="84" spans="1:3" x14ac:dyDescent="0.25">
      <c r="A84" s="2" t="s">
        <v>45</v>
      </c>
      <c r="B84" s="35" t="s">
        <v>45</v>
      </c>
      <c r="C84" s="35" t="s">
        <v>187</v>
      </c>
    </row>
    <row r="85" spans="1:3" x14ac:dyDescent="0.25">
      <c r="A85" s="2" t="s">
        <v>46</v>
      </c>
      <c r="B85" s="35" t="s">
        <v>46</v>
      </c>
      <c r="C85" s="35" t="s">
        <v>187</v>
      </c>
    </row>
    <row r="86" spans="1:3" x14ac:dyDescent="0.25">
      <c r="A86" s="2" t="s">
        <v>269</v>
      </c>
      <c r="B86" s="2" t="s">
        <v>234</v>
      </c>
      <c r="C86" s="35" t="s">
        <v>187</v>
      </c>
    </row>
    <row r="87" spans="1:3" x14ac:dyDescent="0.25">
      <c r="A87" s="2" t="s">
        <v>47</v>
      </c>
      <c r="B87" s="35" t="s">
        <v>47</v>
      </c>
      <c r="C87" s="35" t="s">
        <v>187</v>
      </c>
    </row>
    <row r="88" spans="1:3" x14ac:dyDescent="0.25">
      <c r="A88" s="2" t="s">
        <v>48</v>
      </c>
      <c r="B88" s="35" t="s">
        <v>48</v>
      </c>
      <c r="C88" s="35" t="s">
        <v>188</v>
      </c>
    </row>
    <row r="89" spans="1:3" x14ac:dyDescent="0.25">
      <c r="A89" s="2" t="s">
        <v>49</v>
      </c>
      <c r="B89" s="35" t="s">
        <v>49</v>
      </c>
      <c r="C89" s="35" t="s">
        <v>193</v>
      </c>
    </row>
    <row r="90" spans="1:3" x14ac:dyDescent="0.25">
      <c r="A90" s="2" t="s">
        <v>50</v>
      </c>
      <c r="B90" s="35" t="s">
        <v>50</v>
      </c>
      <c r="C90" s="35" t="s">
        <v>188</v>
      </c>
    </row>
    <row r="91" spans="1:3" x14ac:dyDescent="0.25">
      <c r="A91" s="2" t="s">
        <v>157</v>
      </c>
      <c r="B91" s="35" t="e">
        <v>#N/A</v>
      </c>
      <c r="C91" s="35" t="s">
        <v>193</v>
      </c>
    </row>
    <row r="92" spans="1:3" x14ac:dyDescent="0.25">
      <c r="A92" s="2" t="s">
        <v>51</v>
      </c>
      <c r="B92" s="35" t="s">
        <v>51</v>
      </c>
      <c r="C92" s="35" t="s">
        <v>187</v>
      </c>
    </row>
    <row r="93" spans="1:3" x14ac:dyDescent="0.25">
      <c r="A93" s="2" t="s">
        <v>52</v>
      </c>
      <c r="B93" s="35" t="s">
        <v>52</v>
      </c>
      <c r="C93" s="35" t="s">
        <v>193</v>
      </c>
    </row>
    <row r="94" spans="1:3" x14ac:dyDescent="0.25">
      <c r="A94" s="2" t="s">
        <v>53</v>
      </c>
      <c r="B94" s="35" t="s">
        <v>53</v>
      </c>
      <c r="C94" s="35" t="s">
        <v>187</v>
      </c>
    </row>
    <row r="95" spans="1:3" x14ac:dyDescent="0.25">
      <c r="A95" s="2" t="s">
        <v>54</v>
      </c>
      <c r="B95" s="35" t="e">
        <v>#N/A</v>
      </c>
      <c r="C95" s="35" t="s">
        <v>193</v>
      </c>
    </row>
    <row r="96" spans="1:3" ht="28.55" x14ac:dyDescent="0.25">
      <c r="A96" s="2" t="s">
        <v>181</v>
      </c>
      <c r="B96" s="35" t="s">
        <v>270</v>
      </c>
      <c r="C96" s="35" t="s">
        <v>193</v>
      </c>
    </row>
    <row r="97" spans="1:3" x14ac:dyDescent="0.25">
      <c r="A97" s="2" t="s">
        <v>271</v>
      </c>
      <c r="B97" s="35" t="s">
        <v>230</v>
      </c>
      <c r="C97" s="35" t="s">
        <v>187</v>
      </c>
    </row>
    <row r="98" spans="1:3" x14ac:dyDescent="0.25">
      <c r="A98" s="2" t="s">
        <v>55</v>
      </c>
      <c r="B98" s="35" t="e">
        <v>#N/A</v>
      </c>
      <c r="C98" s="35" t="s">
        <v>193</v>
      </c>
    </row>
    <row r="99" spans="1:3" x14ac:dyDescent="0.25">
      <c r="A99" s="2" t="s">
        <v>56</v>
      </c>
      <c r="B99" s="35" t="s">
        <v>56</v>
      </c>
      <c r="C99" s="35" t="s">
        <v>189</v>
      </c>
    </row>
    <row r="100" spans="1:3" x14ac:dyDescent="0.25">
      <c r="A100" s="2" t="s">
        <v>57</v>
      </c>
      <c r="B100" s="35" t="s">
        <v>57</v>
      </c>
      <c r="C100" s="35" t="s">
        <v>193</v>
      </c>
    </row>
    <row r="101" spans="1:3" x14ac:dyDescent="0.25">
      <c r="A101" s="2" t="s">
        <v>128</v>
      </c>
      <c r="B101" s="35" t="e">
        <v>#N/A</v>
      </c>
      <c r="C101" s="35" t="s">
        <v>193</v>
      </c>
    </row>
    <row r="102" spans="1:3" x14ac:dyDescent="0.25">
      <c r="A102" s="2" t="s">
        <v>58</v>
      </c>
      <c r="B102" s="35" t="s">
        <v>58</v>
      </c>
      <c r="C102" s="35" t="s">
        <v>188</v>
      </c>
    </row>
    <row r="103" spans="1:3" x14ac:dyDescent="0.25">
      <c r="A103" s="2" t="s">
        <v>59</v>
      </c>
      <c r="B103" s="35" t="e">
        <v>#N/A</v>
      </c>
      <c r="C103" s="35" t="s">
        <v>193</v>
      </c>
    </row>
    <row r="104" spans="1:3" x14ac:dyDescent="0.25">
      <c r="A104" s="2" t="s">
        <v>158</v>
      </c>
      <c r="B104" s="35" t="e">
        <v>#N/A</v>
      </c>
      <c r="C104" s="35" t="s">
        <v>193</v>
      </c>
    </row>
    <row r="105" spans="1:3" x14ac:dyDescent="0.25">
      <c r="A105" s="2" t="s">
        <v>159</v>
      </c>
      <c r="B105" s="35" t="s">
        <v>272</v>
      </c>
      <c r="C105" s="35" t="s">
        <v>193</v>
      </c>
    </row>
    <row r="106" spans="1:3" x14ac:dyDescent="0.25">
      <c r="A106" s="2" t="s">
        <v>60</v>
      </c>
      <c r="B106" s="35" t="e">
        <v>#N/A</v>
      </c>
      <c r="C106" s="35" t="s">
        <v>188</v>
      </c>
    </row>
    <row r="107" spans="1:3" x14ac:dyDescent="0.25">
      <c r="A107" s="2" t="s">
        <v>61</v>
      </c>
      <c r="B107" s="35" t="s">
        <v>61</v>
      </c>
      <c r="C107" s="35" t="s">
        <v>188</v>
      </c>
    </row>
    <row r="108" spans="1:3" x14ac:dyDescent="0.25">
      <c r="A108" s="2" t="s">
        <v>62</v>
      </c>
      <c r="B108" s="35" t="s">
        <v>62</v>
      </c>
      <c r="C108" s="35" t="s">
        <v>188</v>
      </c>
    </row>
    <row r="109" spans="1:3" x14ac:dyDescent="0.25">
      <c r="A109" s="2" t="s">
        <v>63</v>
      </c>
      <c r="B109" s="35" t="e">
        <v>#N/A</v>
      </c>
      <c r="C109" s="35" t="s">
        <v>193</v>
      </c>
    </row>
    <row r="110" spans="1:3" x14ac:dyDescent="0.25">
      <c r="A110" s="2" t="s">
        <v>64</v>
      </c>
      <c r="B110" s="35" t="s">
        <v>273</v>
      </c>
      <c r="C110" s="35" t="s">
        <v>193</v>
      </c>
    </row>
    <row r="111" spans="1:3" x14ac:dyDescent="0.25">
      <c r="A111" s="2" t="s">
        <v>121</v>
      </c>
      <c r="B111" s="35" t="e">
        <v>#N/A</v>
      </c>
      <c r="C111" s="35" t="s">
        <v>193</v>
      </c>
    </row>
    <row r="112" spans="1:3" x14ac:dyDescent="0.25">
      <c r="A112" s="2" t="s">
        <v>65</v>
      </c>
      <c r="B112" s="35" t="e">
        <v>#N/A</v>
      </c>
      <c r="C112" s="35" t="s">
        <v>193</v>
      </c>
    </row>
    <row r="113" spans="1:3" x14ac:dyDescent="0.25">
      <c r="A113" s="2" t="s">
        <v>66</v>
      </c>
      <c r="B113" s="35" t="s">
        <v>66</v>
      </c>
      <c r="C113" s="35" t="s">
        <v>193</v>
      </c>
    </row>
    <row r="114" spans="1:3" x14ac:dyDescent="0.25">
      <c r="A114" s="2" t="s">
        <v>160</v>
      </c>
      <c r="B114" s="35" t="s">
        <v>160</v>
      </c>
      <c r="C114" s="35" t="s">
        <v>187</v>
      </c>
    </row>
    <row r="115" spans="1:3" x14ac:dyDescent="0.25">
      <c r="A115" s="2" t="s">
        <v>67</v>
      </c>
      <c r="B115" s="35" t="e">
        <v>#N/A</v>
      </c>
      <c r="C115" s="35" t="s">
        <v>193</v>
      </c>
    </row>
    <row r="116" spans="1:3" x14ac:dyDescent="0.25">
      <c r="A116" s="2" t="s">
        <v>68</v>
      </c>
      <c r="B116" s="35" t="s">
        <v>68</v>
      </c>
      <c r="C116" s="35" t="s">
        <v>188</v>
      </c>
    </row>
    <row r="117" spans="1:3" x14ac:dyDescent="0.25">
      <c r="A117" s="2" t="s">
        <v>69</v>
      </c>
      <c r="B117" s="35" t="e">
        <v>#N/A</v>
      </c>
      <c r="C117" s="35" t="s">
        <v>193</v>
      </c>
    </row>
    <row r="118" spans="1:3" x14ac:dyDescent="0.25">
      <c r="A118" s="2" t="s">
        <v>136</v>
      </c>
      <c r="B118" s="35" t="e">
        <v>#N/A</v>
      </c>
      <c r="C118" s="35" t="s">
        <v>193</v>
      </c>
    </row>
    <row r="119" spans="1:3" x14ac:dyDescent="0.25">
      <c r="A119" s="2" t="s">
        <v>70</v>
      </c>
      <c r="B119" s="35" t="s">
        <v>70</v>
      </c>
      <c r="C119" s="35" t="s">
        <v>193</v>
      </c>
    </row>
    <row r="120" spans="1:3" x14ac:dyDescent="0.25">
      <c r="A120" s="2" t="s">
        <v>161</v>
      </c>
      <c r="B120" s="35" t="e">
        <v>#N/A</v>
      </c>
      <c r="C120" s="35" t="s">
        <v>191</v>
      </c>
    </row>
    <row r="121" spans="1:3" x14ac:dyDescent="0.25">
      <c r="A121" s="2" t="s">
        <v>122</v>
      </c>
      <c r="B121" s="35" t="s">
        <v>274</v>
      </c>
      <c r="C121" s="35" t="s">
        <v>193</v>
      </c>
    </row>
    <row r="122" spans="1:3" x14ac:dyDescent="0.25">
      <c r="A122" s="2" t="s">
        <v>71</v>
      </c>
      <c r="B122" s="35" t="s">
        <v>71</v>
      </c>
      <c r="C122" s="35" t="s">
        <v>193</v>
      </c>
    </row>
    <row r="123" spans="1:3" x14ac:dyDescent="0.25">
      <c r="A123" s="2" t="s">
        <v>72</v>
      </c>
      <c r="B123" s="35" t="s">
        <v>72</v>
      </c>
      <c r="C123" s="35" t="s">
        <v>190</v>
      </c>
    </row>
    <row r="124" spans="1:3" x14ac:dyDescent="0.25">
      <c r="A124" s="2" t="s">
        <v>162</v>
      </c>
      <c r="B124" s="35" t="e">
        <v>#N/A</v>
      </c>
      <c r="C124" s="35" t="s">
        <v>193</v>
      </c>
    </row>
    <row r="125" spans="1:3" x14ac:dyDescent="0.25">
      <c r="A125" s="2" t="s">
        <v>73</v>
      </c>
      <c r="B125" s="35" t="s">
        <v>73</v>
      </c>
      <c r="C125" s="35" t="s">
        <v>193</v>
      </c>
    </row>
    <row r="126" spans="1:3" x14ac:dyDescent="0.25">
      <c r="A126" s="2" t="s">
        <v>123</v>
      </c>
      <c r="B126" s="35" t="s">
        <v>123</v>
      </c>
      <c r="C126" s="35" t="s">
        <v>186</v>
      </c>
    </row>
    <row r="127" spans="1:3" x14ac:dyDescent="0.25">
      <c r="A127" s="2" t="s">
        <v>74</v>
      </c>
      <c r="B127" s="35" t="s">
        <v>74</v>
      </c>
      <c r="C127" s="35" t="s">
        <v>193</v>
      </c>
    </row>
    <row r="128" spans="1:3" x14ac:dyDescent="0.25">
      <c r="A128" s="2" t="s">
        <v>140</v>
      </c>
      <c r="B128" s="35" t="e">
        <v>#N/A</v>
      </c>
      <c r="C128" s="35" t="s">
        <v>193</v>
      </c>
    </row>
    <row r="129" spans="1:3" x14ac:dyDescent="0.25">
      <c r="A129" s="2" t="s">
        <v>179</v>
      </c>
      <c r="B129" s="35" t="s">
        <v>179</v>
      </c>
      <c r="C129" s="35" t="s">
        <v>187</v>
      </c>
    </row>
    <row r="130" spans="1:3" x14ac:dyDescent="0.25">
      <c r="A130" s="2" t="s">
        <v>75</v>
      </c>
      <c r="B130" s="35" t="s">
        <v>75</v>
      </c>
      <c r="C130" s="35" t="s">
        <v>188</v>
      </c>
    </row>
    <row r="131" spans="1:3" x14ac:dyDescent="0.25">
      <c r="A131" s="2" t="s">
        <v>131</v>
      </c>
      <c r="B131" s="35" t="s">
        <v>131</v>
      </c>
      <c r="C131" s="35" t="s">
        <v>191</v>
      </c>
    </row>
    <row r="132" spans="1:3" x14ac:dyDescent="0.25">
      <c r="A132" s="2" t="s">
        <v>76</v>
      </c>
      <c r="B132" s="35" t="s">
        <v>76</v>
      </c>
      <c r="C132" s="35" t="s">
        <v>191</v>
      </c>
    </row>
    <row r="133" spans="1:3" x14ac:dyDescent="0.25">
      <c r="A133" s="2" t="s">
        <v>77</v>
      </c>
      <c r="B133" s="35" t="e">
        <v>#N/A</v>
      </c>
      <c r="C133" s="35" t="s">
        <v>193</v>
      </c>
    </row>
    <row r="134" spans="1:3" x14ac:dyDescent="0.25">
      <c r="A134" s="2" t="s">
        <v>173</v>
      </c>
      <c r="B134" s="35" t="e">
        <v>#N/A</v>
      </c>
      <c r="C134" s="35" t="s">
        <v>193</v>
      </c>
    </row>
    <row r="135" spans="1:3" x14ac:dyDescent="0.25">
      <c r="A135" s="2" t="s">
        <v>78</v>
      </c>
      <c r="B135" s="2" t="s">
        <v>78</v>
      </c>
      <c r="C135" s="35" t="s">
        <v>186</v>
      </c>
    </row>
    <row r="136" spans="1:3" x14ac:dyDescent="0.25">
      <c r="A136" s="2" t="s">
        <v>142</v>
      </c>
      <c r="B136" s="35" t="e">
        <v>#N/A</v>
      </c>
      <c r="C136" s="35" t="s">
        <v>193</v>
      </c>
    </row>
    <row r="137" spans="1:3" x14ac:dyDescent="0.25">
      <c r="A137" s="2" t="s">
        <v>79</v>
      </c>
      <c r="B137" s="35" t="s">
        <v>79</v>
      </c>
      <c r="C137" s="35" t="s">
        <v>188</v>
      </c>
    </row>
    <row r="138" spans="1:3" x14ac:dyDescent="0.25">
      <c r="A138" s="2" t="s">
        <v>80</v>
      </c>
      <c r="B138" s="35" t="s">
        <v>80</v>
      </c>
      <c r="C138" s="35" t="s">
        <v>189</v>
      </c>
    </row>
    <row r="139" spans="1:3" x14ac:dyDescent="0.25">
      <c r="A139" s="2" t="s">
        <v>81</v>
      </c>
      <c r="B139" s="35" t="s">
        <v>81</v>
      </c>
      <c r="C139" s="35" t="s">
        <v>187</v>
      </c>
    </row>
    <row r="140" spans="1:3" x14ac:dyDescent="0.25">
      <c r="A140" s="2" t="s">
        <v>82</v>
      </c>
      <c r="B140" s="35" t="s">
        <v>82</v>
      </c>
      <c r="C140" s="35" t="s">
        <v>193</v>
      </c>
    </row>
    <row r="141" spans="1:3" x14ac:dyDescent="0.25">
      <c r="A141" s="2" t="s">
        <v>163</v>
      </c>
      <c r="B141" s="35" t="e">
        <v>#N/A</v>
      </c>
      <c r="C141" s="35" t="s">
        <v>191</v>
      </c>
    </row>
    <row r="142" spans="1:3" x14ac:dyDescent="0.25">
      <c r="A142" s="2" t="s">
        <v>83</v>
      </c>
      <c r="B142" s="35" t="s">
        <v>83</v>
      </c>
      <c r="C142" s="35" t="s">
        <v>193</v>
      </c>
    </row>
    <row r="143" spans="1:3" x14ac:dyDescent="0.25">
      <c r="A143" s="2" t="s">
        <v>84</v>
      </c>
      <c r="B143" s="35" t="s">
        <v>84</v>
      </c>
      <c r="C143" s="35" t="s">
        <v>193</v>
      </c>
    </row>
    <row r="144" spans="1:3" x14ac:dyDescent="0.25">
      <c r="A144" s="2" t="s">
        <v>85</v>
      </c>
      <c r="B144" s="35" t="s">
        <v>85</v>
      </c>
      <c r="C144" s="35" t="s">
        <v>193</v>
      </c>
    </row>
    <row r="145" spans="1:3" x14ac:dyDescent="0.25">
      <c r="A145" s="2" t="s">
        <v>86</v>
      </c>
      <c r="B145" s="35" t="s">
        <v>86</v>
      </c>
      <c r="C145" s="35" t="s">
        <v>188</v>
      </c>
    </row>
    <row r="146" spans="1:3" x14ac:dyDescent="0.25">
      <c r="A146" s="2" t="s">
        <v>87</v>
      </c>
      <c r="B146" s="35" t="s">
        <v>87</v>
      </c>
      <c r="C146" s="35" t="s">
        <v>188</v>
      </c>
    </row>
    <row r="147" spans="1:3" x14ac:dyDescent="0.25">
      <c r="A147" s="2" t="s">
        <v>88</v>
      </c>
      <c r="B147" s="35" t="s">
        <v>88</v>
      </c>
      <c r="C147" s="35" t="s">
        <v>189</v>
      </c>
    </row>
    <row r="148" spans="1:3" x14ac:dyDescent="0.25">
      <c r="A148" s="2" t="s">
        <v>89</v>
      </c>
      <c r="B148" s="35" t="s">
        <v>89</v>
      </c>
      <c r="C148" s="35" t="s">
        <v>188</v>
      </c>
    </row>
    <row r="149" spans="1:3" x14ac:dyDescent="0.25">
      <c r="A149" s="2" t="s">
        <v>275</v>
      </c>
      <c r="B149" s="35" t="s">
        <v>209</v>
      </c>
      <c r="C149" s="35" t="s">
        <v>190</v>
      </c>
    </row>
    <row r="150" spans="1:3" x14ac:dyDescent="0.25">
      <c r="A150" s="2" t="s">
        <v>182</v>
      </c>
      <c r="B150" s="35" t="e">
        <v>#N/A</v>
      </c>
      <c r="C150" s="35" t="s">
        <v>193</v>
      </c>
    </row>
    <row r="151" spans="1:3" x14ac:dyDescent="0.25">
      <c r="A151" s="2" t="s">
        <v>115</v>
      </c>
      <c r="B151" s="35" t="e">
        <v>#N/A</v>
      </c>
      <c r="C151" s="35" t="s">
        <v>193</v>
      </c>
    </row>
    <row r="152" spans="1:3" x14ac:dyDescent="0.25">
      <c r="A152" s="2" t="s">
        <v>90</v>
      </c>
      <c r="B152" s="35" t="s">
        <v>90</v>
      </c>
      <c r="C152" s="35" t="s">
        <v>189</v>
      </c>
    </row>
    <row r="153" spans="1:3" x14ac:dyDescent="0.25">
      <c r="A153" s="2" t="s">
        <v>91</v>
      </c>
      <c r="B153" s="35" t="s">
        <v>91</v>
      </c>
      <c r="C153" s="35" t="s">
        <v>193</v>
      </c>
    </row>
    <row r="154" spans="1:3" x14ac:dyDescent="0.25">
      <c r="A154" s="2" t="s">
        <v>92</v>
      </c>
      <c r="B154" s="35" t="s">
        <v>92</v>
      </c>
      <c r="C154" s="35" t="s">
        <v>190</v>
      </c>
    </row>
    <row r="155" spans="1:3" x14ac:dyDescent="0.25">
      <c r="A155" s="2" t="s">
        <v>116</v>
      </c>
      <c r="B155" s="35" t="s">
        <v>116</v>
      </c>
      <c r="C155" s="35" t="s">
        <v>193</v>
      </c>
    </row>
    <row r="156" spans="1:3" x14ac:dyDescent="0.25">
      <c r="A156" s="2" t="s">
        <v>93</v>
      </c>
      <c r="B156" s="35" t="s">
        <v>93</v>
      </c>
      <c r="C156" s="35" t="s">
        <v>193</v>
      </c>
    </row>
    <row r="157" spans="1:3" x14ac:dyDescent="0.25">
      <c r="A157" s="2" t="s">
        <v>94</v>
      </c>
      <c r="B157" s="35" t="e">
        <v>#N/A</v>
      </c>
      <c r="C157" s="35" t="s">
        <v>193</v>
      </c>
    </row>
    <row r="158" spans="1:3" x14ac:dyDescent="0.25">
      <c r="A158" s="2" t="s">
        <v>95</v>
      </c>
      <c r="B158" s="35" t="s">
        <v>95</v>
      </c>
      <c r="C158" s="35" t="s">
        <v>188</v>
      </c>
    </row>
    <row r="159" spans="1:3" x14ac:dyDescent="0.25">
      <c r="A159" s="2" t="s">
        <v>96</v>
      </c>
      <c r="B159" s="35" t="s">
        <v>96</v>
      </c>
      <c r="C159" s="35" t="s">
        <v>188</v>
      </c>
    </row>
    <row r="160" spans="1:3" x14ac:dyDescent="0.25">
      <c r="A160" s="2" t="s">
        <v>175</v>
      </c>
      <c r="B160" s="35" t="e">
        <v>#N/A</v>
      </c>
      <c r="C160" s="35" t="s">
        <v>193</v>
      </c>
    </row>
    <row r="161" spans="1:3" x14ac:dyDescent="0.25">
      <c r="A161" s="2" t="s">
        <v>97</v>
      </c>
      <c r="B161" s="35" t="s">
        <v>97</v>
      </c>
      <c r="C161" s="35" t="s">
        <v>186</v>
      </c>
    </row>
    <row r="162" spans="1:3" x14ac:dyDescent="0.25">
      <c r="A162" s="2" t="s">
        <v>164</v>
      </c>
      <c r="B162" s="35" t="e">
        <v>#N/A</v>
      </c>
      <c r="C162" s="35" t="s">
        <v>193</v>
      </c>
    </row>
    <row r="163" spans="1:3" x14ac:dyDescent="0.25">
      <c r="A163" s="2" t="s">
        <v>98</v>
      </c>
      <c r="B163" s="35" t="s">
        <v>98</v>
      </c>
      <c r="C163" s="35" t="s">
        <v>188</v>
      </c>
    </row>
    <row r="164" spans="1:3" x14ac:dyDescent="0.25">
      <c r="A164" s="2" t="s">
        <v>99</v>
      </c>
      <c r="B164" s="35" t="e">
        <v>#N/A</v>
      </c>
      <c r="C164" s="35" t="s">
        <v>187</v>
      </c>
    </row>
    <row r="165" spans="1:3" x14ac:dyDescent="0.25">
      <c r="A165" s="2" t="s">
        <v>165</v>
      </c>
      <c r="B165" s="35" t="e">
        <v>#N/A</v>
      </c>
      <c r="C165" s="35" t="s">
        <v>193</v>
      </c>
    </row>
    <row r="166" spans="1:3" x14ac:dyDescent="0.25">
      <c r="A166" s="2" t="s">
        <v>166</v>
      </c>
      <c r="B166" s="35" t="e">
        <v>#N/A</v>
      </c>
      <c r="C166" s="35" t="s">
        <v>193</v>
      </c>
    </row>
    <row r="167" spans="1:3" x14ac:dyDescent="0.25">
      <c r="A167" s="2" t="s">
        <v>167</v>
      </c>
      <c r="B167" s="35" t="e">
        <v>#N/A</v>
      </c>
      <c r="C167" s="35" t="s">
        <v>193</v>
      </c>
    </row>
    <row r="168" spans="1:3" x14ac:dyDescent="0.25">
      <c r="A168" s="2" t="s">
        <v>129</v>
      </c>
      <c r="B168" s="2" t="s">
        <v>129</v>
      </c>
      <c r="C168" s="35" t="s">
        <v>193</v>
      </c>
    </row>
    <row r="169" spans="1:3" x14ac:dyDescent="0.25">
      <c r="A169" s="2" t="s">
        <v>168</v>
      </c>
      <c r="B169" s="35" t="e">
        <v>#N/A</v>
      </c>
      <c r="C169" s="35" t="s">
        <v>193</v>
      </c>
    </row>
    <row r="170" spans="1:3" x14ac:dyDescent="0.25">
      <c r="A170" s="2" t="s">
        <v>100</v>
      </c>
      <c r="B170" s="35" t="s">
        <v>100</v>
      </c>
      <c r="C170" s="35" t="s">
        <v>188</v>
      </c>
    </row>
    <row r="171" spans="1:3" x14ac:dyDescent="0.25">
      <c r="A171" s="2" t="s">
        <v>101</v>
      </c>
      <c r="B171" s="35" t="s">
        <v>101</v>
      </c>
      <c r="C171" s="35" t="s">
        <v>188</v>
      </c>
    </row>
    <row r="172" spans="1:3" x14ac:dyDescent="0.25">
      <c r="A172" s="2" t="s">
        <v>138</v>
      </c>
      <c r="B172" s="35" t="e">
        <v>#N/A</v>
      </c>
      <c r="C172" s="35" t="s">
        <v>193</v>
      </c>
    </row>
    <row r="173" spans="1:3" x14ac:dyDescent="0.25">
      <c r="A173" s="2" t="s">
        <v>277</v>
      </c>
      <c r="B173" s="2" t="s">
        <v>233</v>
      </c>
      <c r="C173" s="35" t="s">
        <v>185</v>
      </c>
    </row>
    <row r="174" spans="1:3" x14ac:dyDescent="0.25">
      <c r="A174" s="2" t="s">
        <v>139</v>
      </c>
      <c r="B174" s="2" t="s">
        <v>139</v>
      </c>
      <c r="C174" s="35" t="s">
        <v>187</v>
      </c>
    </row>
    <row r="175" spans="1:3" ht="28.55" x14ac:dyDescent="0.25">
      <c r="A175" s="2" t="s">
        <v>102</v>
      </c>
      <c r="B175" s="35" t="s">
        <v>276</v>
      </c>
      <c r="C175" s="35" t="s">
        <v>193</v>
      </c>
    </row>
    <row r="176" spans="1:3" x14ac:dyDescent="0.25">
      <c r="A176" s="2" t="s">
        <v>103</v>
      </c>
      <c r="B176" s="35" t="s">
        <v>103</v>
      </c>
      <c r="C176" s="35" t="s">
        <v>193</v>
      </c>
    </row>
    <row r="177" spans="1:3" x14ac:dyDescent="0.25">
      <c r="A177" s="2" t="s">
        <v>104</v>
      </c>
      <c r="B177" s="35" t="e">
        <v>#N/A</v>
      </c>
      <c r="C177" s="35" t="s">
        <v>193</v>
      </c>
    </row>
    <row r="178" spans="1:3" x14ac:dyDescent="0.25">
      <c r="A178" s="2" t="s">
        <v>105</v>
      </c>
      <c r="B178" s="35" t="e">
        <v>#N/A</v>
      </c>
      <c r="C178" s="35" t="s">
        <v>193</v>
      </c>
    </row>
    <row r="179" spans="1:3" x14ac:dyDescent="0.25">
      <c r="A179" s="2" t="s">
        <v>106</v>
      </c>
      <c r="B179" s="35" t="s">
        <v>106</v>
      </c>
      <c r="C179" s="35" t="s">
        <v>193</v>
      </c>
    </row>
    <row r="180" spans="1:3" x14ac:dyDescent="0.25">
      <c r="A180" s="2" t="s">
        <v>107</v>
      </c>
      <c r="B180" s="2" t="s">
        <v>107</v>
      </c>
      <c r="C180" s="35" t="s">
        <v>187</v>
      </c>
    </row>
    <row r="181" spans="1:3" x14ac:dyDescent="0.25">
      <c r="A181" s="2" t="s">
        <v>169</v>
      </c>
      <c r="B181" s="2" t="s">
        <v>169</v>
      </c>
      <c r="C181" s="35" t="s">
        <v>193</v>
      </c>
    </row>
    <row r="182" spans="1:3" x14ac:dyDescent="0.25">
      <c r="A182" s="2" t="s">
        <v>108</v>
      </c>
      <c r="B182" s="35" t="e">
        <v>#N/A</v>
      </c>
      <c r="C182" s="35" t="s">
        <v>193</v>
      </c>
    </row>
    <row r="183" spans="1:3" x14ac:dyDescent="0.25">
      <c r="A183" s="2" t="s">
        <v>117</v>
      </c>
      <c r="B183" s="35" t="s">
        <v>117</v>
      </c>
      <c r="C183" s="35" t="s">
        <v>190</v>
      </c>
    </row>
    <row r="184" spans="1:3" x14ac:dyDescent="0.25">
      <c r="A184" s="2" t="s">
        <v>109</v>
      </c>
      <c r="B184" s="35" t="s">
        <v>109</v>
      </c>
      <c r="C184" s="35" t="s">
        <v>189</v>
      </c>
    </row>
    <row r="185" spans="1:3" x14ac:dyDescent="0.25">
      <c r="A185" s="2" t="s">
        <v>110</v>
      </c>
      <c r="B185" s="35" t="s">
        <v>110</v>
      </c>
      <c r="C185" s="35" t="s">
        <v>188</v>
      </c>
    </row>
    <row r="186" spans="1:3" x14ac:dyDescent="0.25">
      <c r="A186" s="2" t="s">
        <v>229</v>
      </c>
      <c r="B186" s="35" t="s">
        <v>229</v>
      </c>
      <c r="C186" s="35" t="s">
        <v>195</v>
      </c>
    </row>
    <row r="187" spans="1:3" x14ac:dyDescent="0.25">
      <c r="A187" s="2" t="s">
        <v>111</v>
      </c>
      <c r="B187" s="35" t="e">
        <v>#N/A</v>
      </c>
      <c r="C187" s="35" t="s">
        <v>193</v>
      </c>
    </row>
    <row r="188" spans="1:3" x14ac:dyDescent="0.25">
      <c r="A188" s="2" t="s">
        <v>118</v>
      </c>
      <c r="B188" s="35" t="s">
        <v>118</v>
      </c>
      <c r="C188" s="35" t="s">
        <v>193</v>
      </c>
    </row>
    <row r="189" spans="1:3" x14ac:dyDescent="0.25">
      <c r="A189" s="2" t="s">
        <v>180</v>
      </c>
      <c r="B189" s="35" t="e">
        <v>#N/A</v>
      </c>
      <c r="C189" s="35" t="s">
        <v>193</v>
      </c>
    </row>
    <row r="190" spans="1:3" x14ac:dyDescent="0.25">
      <c r="A190" s="2" t="s">
        <v>278</v>
      </c>
      <c r="B190" s="4" t="s">
        <v>231</v>
      </c>
      <c r="C190" s="35" t="s">
        <v>192</v>
      </c>
    </row>
    <row r="191" spans="1:3" x14ac:dyDescent="0.25">
      <c r="A191" s="2" t="s">
        <v>112</v>
      </c>
      <c r="B191" s="35" t="s">
        <v>232</v>
      </c>
      <c r="C191" s="35" t="s">
        <v>193</v>
      </c>
    </row>
    <row r="192" spans="1:3" x14ac:dyDescent="0.25">
      <c r="A192" s="2" t="s">
        <v>170</v>
      </c>
      <c r="B192" s="35" t="s">
        <v>266</v>
      </c>
      <c r="C192" s="35" t="s">
        <v>193</v>
      </c>
    </row>
    <row r="193" spans="1:3" x14ac:dyDescent="0.25">
      <c r="A193" s="2" t="s">
        <v>201</v>
      </c>
      <c r="B193" s="35" t="e">
        <v>#N/A</v>
      </c>
      <c r="C193" s="35" t="s">
        <v>193</v>
      </c>
    </row>
    <row r="194" spans="1:3" x14ac:dyDescent="0.25">
      <c r="A194" s="2" t="s">
        <v>177</v>
      </c>
      <c r="B194" s="35" t="e">
        <v>#N/A</v>
      </c>
      <c r="C194" s="35" t="s">
        <v>193</v>
      </c>
    </row>
    <row r="195" spans="1:3" x14ac:dyDescent="0.25">
      <c r="A195" s="2" t="s">
        <v>184</v>
      </c>
      <c r="B195" s="35" t="e">
        <v>#N/A</v>
      </c>
      <c r="C195" s="35" t="s">
        <v>193</v>
      </c>
    </row>
    <row r="196" spans="1:3" x14ac:dyDescent="0.25">
      <c r="A196" s="2" t="s">
        <v>113</v>
      </c>
      <c r="B196" s="35" t="e">
        <v>#N/A</v>
      </c>
      <c r="C196" s="35" t="s">
        <v>193</v>
      </c>
    </row>
    <row r="197" spans="1:3" x14ac:dyDescent="0.25">
      <c r="A197" s="2" t="s">
        <v>130</v>
      </c>
      <c r="B197" s="35" t="s">
        <v>130</v>
      </c>
      <c r="C197" s="35" t="s">
        <v>193</v>
      </c>
    </row>
    <row r="198" spans="1:3" x14ac:dyDescent="0.25">
      <c r="A198" s="2" t="s">
        <v>143</v>
      </c>
      <c r="B198" s="35" t="s">
        <v>143</v>
      </c>
      <c r="C198" s="35" t="s">
        <v>193</v>
      </c>
    </row>
    <row r="199" spans="1:3" x14ac:dyDescent="0.25">
      <c r="A199" s="2" t="s">
        <v>202</v>
      </c>
      <c r="B199" s="35" t="e">
        <v>#N/A</v>
      </c>
      <c r="C199" s="35" t="s">
        <v>193</v>
      </c>
    </row>
    <row r="200" spans="1:3" x14ac:dyDescent="0.25">
      <c r="A200" s="2" t="s">
        <v>210</v>
      </c>
      <c r="B200" s="35" t="s">
        <v>210</v>
      </c>
      <c r="C200" s="35" t="s">
        <v>193</v>
      </c>
    </row>
    <row r="201" spans="1:3" x14ac:dyDescent="0.25">
      <c r="A201" s="2"/>
      <c r="B201" s="2" t="s">
        <v>255</v>
      </c>
      <c r="C201" s="35" t="s">
        <v>187</v>
      </c>
    </row>
    <row r="202" spans="1:3" x14ac:dyDescent="0.25">
      <c r="A202" s="2"/>
      <c r="B202" s="2" t="s">
        <v>253</v>
      </c>
      <c r="C202" s="35" t="s">
        <v>187</v>
      </c>
    </row>
    <row r="203" spans="1:3" x14ac:dyDescent="0.25">
      <c r="A203" s="2"/>
      <c r="B203" s="2" t="s">
        <v>256</v>
      </c>
      <c r="C203" s="35" t="s">
        <v>185</v>
      </c>
    </row>
    <row r="204" spans="1:3" x14ac:dyDescent="0.25">
      <c r="A204" s="2"/>
      <c r="B204" s="2" t="s">
        <v>252</v>
      </c>
      <c r="C204" s="35" t="s">
        <v>185</v>
      </c>
    </row>
  </sheetData>
  <autoFilter ref="A3:C200" xr:uid="{47F77048-0353-4D09-A0AE-A1421A9E3A3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EC-FD8A-49B4-B9CA-D3846DF972E2}">
  <sheetPr codeName="Feuil12">
    <tabColor theme="5" tint="0.79998168889431442"/>
  </sheetPr>
  <dimension ref="A1:N32"/>
  <sheetViews>
    <sheetView workbookViewId="0">
      <selection activeCell="G9" sqref="G9"/>
    </sheetView>
  </sheetViews>
  <sheetFormatPr baseColWidth="10" defaultRowHeight="14.3" x14ac:dyDescent="0.25"/>
  <cols>
    <col min="1" max="1" width="20.125" customWidth="1"/>
    <col min="2" max="2" width="17.125" customWidth="1"/>
    <col min="3" max="3" width="22.25" customWidth="1"/>
  </cols>
  <sheetData>
    <row r="1" spans="1:14" x14ac:dyDescent="0.25">
      <c r="A1" s="3" t="s">
        <v>307</v>
      </c>
    </row>
    <row r="3" spans="1:14" x14ac:dyDescent="0.25">
      <c r="A3" s="11" t="s">
        <v>212</v>
      </c>
      <c r="B3" s="11" t="s">
        <v>213</v>
      </c>
      <c r="C3" s="11" t="s">
        <v>214</v>
      </c>
      <c r="D3" s="11" t="s">
        <v>215</v>
      </c>
      <c r="E3" s="11" t="s">
        <v>216</v>
      </c>
      <c r="F3" s="12" t="s">
        <v>217</v>
      </c>
      <c r="G3" s="12" t="s">
        <v>218</v>
      </c>
      <c r="H3" s="13" t="s">
        <v>219</v>
      </c>
      <c r="I3" s="12" t="s">
        <v>220</v>
      </c>
      <c r="J3" s="12" t="s">
        <v>221</v>
      </c>
      <c r="K3" s="12" t="s">
        <v>222</v>
      </c>
      <c r="L3" s="12" t="s">
        <v>223</v>
      </c>
      <c r="M3" s="13" t="s">
        <v>224</v>
      </c>
      <c r="N3" s="12" t="s">
        <v>225</v>
      </c>
    </row>
    <row r="4" spans="1:14" x14ac:dyDescent="0.25">
      <c r="A4" s="2">
        <v>16887</v>
      </c>
      <c r="B4" s="2">
        <v>7601</v>
      </c>
      <c r="C4" s="2" t="s">
        <v>226</v>
      </c>
      <c r="D4" s="2" t="e">
        <v>#N/A</v>
      </c>
      <c r="E4" s="2"/>
      <c r="F4" s="2"/>
      <c r="G4" s="2"/>
      <c r="H4" s="2">
        <v>0</v>
      </c>
      <c r="I4" s="2" t="s">
        <v>227</v>
      </c>
      <c r="J4" s="2" t="s">
        <v>183</v>
      </c>
      <c r="K4" s="2" t="s">
        <v>183</v>
      </c>
      <c r="L4" s="2">
        <v>40</v>
      </c>
      <c r="M4" s="2" t="s">
        <v>5</v>
      </c>
      <c r="N4" s="2" t="s">
        <v>241</v>
      </c>
    </row>
    <row r="5" spans="1:14" x14ac:dyDescent="0.25">
      <c r="A5" s="2">
        <v>16888</v>
      </c>
      <c r="B5" s="2">
        <v>7601</v>
      </c>
      <c r="C5" s="2" t="s">
        <v>226</v>
      </c>
      <c r="D5" s="2" t="e">
        <v>#N/A</v>
      </c>
      <c r="E5" s="2"/>
      <c r="F5" s="2"/>
      <c r="G5" s="2"/>
      <c r="H5" s="2">
        <v>0</v>
      </c>
      <c r="I5" s="2" t="s">
        <v>227</v>
      </c>
      <c r="J5" s="2" t="s">
        <v>183</v>
      </c>
      <c r="K5" s="2" t="s">
        <v>183</v>
      </c>
      <c r="L5" s="2">
        <v>56</v>
      </c>
      <c r="M5" s="2" t="s">
        <v>11</v>
      </c>
      <c r="N5" s="2" t="s">
        <v>241</v>
      </c>
    </row>
    <row r="6" spans="1:14" x14ac:dyDescent="0.25">
      <c r="A6" s="2">
        <v>16889</v>
      </c>
      <c r="B6" s="2">
        <v>7601</v>
      </c>
      <c r="C6" s="2" t="s">
        <v>226</v>
      </c>
      <c r="D6" s="2" t="e">
        <v>#N/A</v>
      </c>
      <c r="E6" s="2"/>
      <c r="F6" s="2"/>
      <c r="G6" s="2"/>
      <c r="H6" s="2">
        <v>810900</v>
      </c>
      <c r="I6" s="2" t="s">
        <v>227</v>
      </c>
      <c r="J6" s="2" t="s">
        <v>183</v>
      </c>
      <c r="K6" s="2" t="s">
        <v>183</v>
      </c>
      <c r="L6" s="2">
        <v>76</v>
      </c>
      <c r="M6" s="2" t="s">
        <v>14</v>
      </c>
      <c r="N6" s="2" t="s">
        <v>241</v>
      </c>
    </row>
    <row r="7" spans="1:14" x14ac:dyDescent="0.25">
      <c r="A7" s="2">
        <v>16890</v>
      </c>
      <c r="B7" s="2">
        <v>7601</v>
      </c>
      <c r="C7" s="2" t="s">
        <v>226</v>
      </c>
      <c r="D7" s="2" t="e">
        <v>#N/A</v>
      </c>
      <c r="E7" s="2"/>
      <c r="F7" s="2"/>
      <c r="G7" s="2"/>
      <c r="H7" s="2">
        <v>40144300</v>
      </c>
      <c r="I7" s="2" t="s">
        <v>227</v>
      </c>
      <c r="J7" s="2" t="s">
        <v>183</v>
      </c>
      <c r="K7" s="2" t="s">
        <v>183</v>
      </c>
      <c r="L7" s="2">
        <v>156</v>
      </c>
      <c r="M7" s="2" t="s">
        <v>18</v>
      </c>
      <c r="N7" s="2" t="s">
        <v>241</v>
      </c>
    </row>
    <row r="8" spans="1:14" x14ac:dyDescent="0.25">
      <c r="A8" s="2">
        <v>16891</v>
      </c>
      <c r="B8" s="2">
        <v>7601</v>
      </c>
      <c r="C8" s="2" t="s">
        <v>226</v>
      </c>
      <c r="D8" s="2" t="e">
        <v>#N/A</v>
      </c>
      <c r="E8" s="2"/>
      <c r="F8" s="2"/>
      <c r="G8" s="2"/>
      <c r="H8" s="2">
        <v>0</v>
      </c>
      <c r="I8" s="2" t="s">
        <v>227</v>
      </c>
      <c r="J8" s="2" t="s">
        <v>183</v>
      </c>
      <c r="K8" s="2" t="s">
        <v>183</v>
      </c>
      <c r="L8" s="2">
        <v>203</v>
      </c>
      <c r="M8" s="2" t="s">
        <v>211</v>
      </c>
      <c r="N8" s="2" t="s">
        <v>241</v>
      </c>
    </row>
    <row r="9" spans="1:14" x14ac:dyDescent="0.25">
      <c r="A9" s="2">
        <v>16892</v>
      </c>
      <c r="B9" s="2">
        <v>7601</v>
      </c>
      <c r="C9" s="2" t="s">
        <v>226</v>
      </c>
      <c r="D9" s="2" t="e">
        <v>#N/A</v>
      </c>
      <c r="E9" s="2"/>
      <c r="F9" s="2"/>
      <c r="G9" s="2"/>
      <c r="H9" s="2">
        <v>0</v>
      </c>
      <c r="I9" s="2" t="s">
        <v>227</v>
      </c>
      <c r="J9" s="2" t="s">
        <v>183</v>
      </c>
      <c r="K9" s="2" t="s">
        <v>183</v>
      </c>
      <c r="L9" s="2">
        <v>246</v>
      </c>
      <c r="M9" s="2" t="s">
        <v>32</v>
      </c>
      <c r="N9" s="2" t="s">
        <v>241</v>
      </c>
    </row>
    <row r="10" spans="1:14" x14ac:dyDescent="0.25">
      <c r="A10" s="2">
        <v>16893</v>
      </c>
      <c r="B10" s="2">
        <v>7601</v>
      </c>
      <c r="C10" s="2" t="s">
        <v>226</v>
      </c>
      <c r="D10" s="2" t="e">
        <v>#N/A</v>
      </c>
      <c r="E10" s="2"/>
      <c r="F10" s="2"/>
      <c r="G10" s="2"/>
      <c r="H10" s="2">
        <v>380000</v>
      </c>
      <c r="I10" s="2" t="s">
        <v>227</v>
      </c>
      <c r="J10" s="2" t="s">
        <v>183</v>
      </c>
      <c r="K10" s="2" t="s">
        <v>183</v>
      </c>
      <c r="L10" s="2">
        <v>251</v>
      </c>
      <c r="M10" s="2" t="s">
        <v>33</v>
      </c>
      <c r="N10" s="2" t="s">
        <v>241</v>
      </c>
    </row>
    <row r="11" spans="1:14" x14ac:dyDescent="0.25">
      <c r="A11" s="2">
        <v>16894</v>
      </c>
      <c r="B11" s="2">
        <v>7601</v>
      </c>
      <c r="C11" s="2" t="s">
        <v>226</v>
      </c>
      <c r="D11" s="2" t="e">
        <v>#N/A</v>
      </c>
      <c r="E11" s="2"/>
      <c r="F11" s="2"/>
      <c r="G11" s="2"/>
      <c r="H11" s="2">
        <v>341212</v>
      </c>
      <c r="I11" s="2" t="s">
        <v>227</v>
      </c>
      <c r="J11" s="2" t="s">
        <v>183</v>
      </c>
      <c r="K11" s="2" t="s">
        <v>183</v>
      </c>
      <c r="L11" s="2">
        <v>276</v>
      </c>
      <c r="M11" s="2" t="s">
        <v>37</v>
      </c>
      <c r="N11" s="2" t="s">
        <v>241</v>
      </c>
    </row>
    <row r="12" spans="1:14" x14ac:dyDescent="0.25">
      <c r="A12" s="2">
        <v>16895</v>
      </c>
      <c r="B12" s="2">
        <v>7601</v>
      </c>
      <c r="C12" s="2" t="s">
        <v>226</v>
      </c>
      <c r="D12" s="2" t="e">
        <v>#N/A</v>
      </c>
      <c r="E12" s="2"/>
      <c r="F12" s="2"/>
      <c r="G12" s="2"/>
      <c r="H12" s="2">
        <v>0</v>
      </c>
      <c r="I12" s="2" t="s">
        <v>227</v>
      </c>
      <c r="J12" s="2" t="s">
        <v>183</v>
      </c>
      <c r="K12" s="2" t="s">
        <v>183</v>
      </c>
      <c r="L12" s="2">
        <v>348</v>
      </c>
      <c r="M12" s="2" t="s">
        <v>43</v>
      </c>
      <c r="N12" s="2" t="s">
        <v>241</v>
      </c>
    </row>
    <row r="13" spans="1:14" x14ac:dyDescent="0.25">
      <c r="A13" s="2">
        <v>16896</v>
      </c>
      <c r="B13" s="2">
        <v>7601</v>
      </c>
      <c r="C13" s="2" t="s">
        <v>226</v>
      </c>
      <c r="D13" s="2" t="e">
        <v>#N/A</v>
      </c>
      <c r="E13" s="2"/>
      <c r="F13" s="2"/>
      <c r="G13" s="2"/>
      <c r="H13" s="2">
        <v>4073000</v>
      </c>
      <c r="I13" s="2" t="s">
        <v>227</v>
      </c>
      <c r="J13" s="2" t="s">
        <v>183</v>
      </c>
      <c r="K13" s="2" t="s">
        <v>183</v>
      </c>
      <c r="L13" s="2">
        <v>699</v>
      </c>
      <c r="M13" s="2" t="s">
        <v>45</v>
      </c>
      <c r="N13" s="2" t="s">
        <v>241</v>
      </c>
    </row>
    <row r="14" spans="1:14" x14ac:dyDescent="0.25">
      <c r="A14" s="2">
        <v>16897</v>
      </c>
      <c r="B14" s="2">
        <v>7601</v>
      </c>
      <c r="C14" s="2" t="s">
        <v>226</v>
      </c>
      <c r="D14" s="2" t="e">
        <v>#N/A</v>
      </c>
      <c r="E14" s="2"/>
      <c r="F14" s="2"/>
      <c r="G14" s="2"/>
      <c r="H14" s="2">
        <v>223774</v>
      </c>
      <c r="I14" s="2" t="s">
        <v>227</v>
      </c>
      <c r="J14" s="2" t="s">
        <v>183</v>
      </c>
      <c r="K14" s="2" t="s">
        <v>183</v>
      </c>
      <c r="L14" s="2">
        <v>360</v>
      </c>
      <c r="M14" s="2" t="s">
        <v>46</v>
      </c>
      <c r="N14" s="2" t="s">
        <v>241</v>
      </c>
    </row>
    <row r="15" spans="1:14" x14ac:dyDescent="0.25">
      <c r="A15" s="2">
        <v>16898</v>
      </c>
      <c r="B15" s="2">
        <v>7601</v>
      </c>
      <c r="C15" s="2" t="s">
        <v>226</v>
      </c>
      <c r="D15" s="2" t="e">
        <v>#N/A</v>
      </c>
      <c r="E15" s="2"/>
      <c r="F15" s="2"/>
      <c r="G15" s="2"/>
      <c r="H15" s="2">
        <v>0</v>
      </c>
      <c r="I15" s="2" t="s">
        <v>227</v>
      </c>
      <c r="J15" s="2" t="s">
        <v>183</v>
      </c>
      <c r="K15" s="2" t="s">
        <v>183</v>
      </c>
      <c r="L15" s="2">
        <v>381</v>
      </c>
      <c r="M15" s="2" t="s">
        <v>50</v>
      </c>
      <c r="N15" s="2" t="s">
        <v>241</v>
      </c>
    </row>
    <row r="16" spans="1:14" x14ac:dyDescent="0.25">
      <c r="A16" s="2">
        <v>16899</v>
      </c>
      <c r="B16" s="2">
        <v>7601</v>
      </c>
      <c r="C16" s="2" t="s">
        <v>226</v>
      </c>
      <c r="D16" s="2" t="e">
        <v>#N/A</v>
      </c>
      <c r="E16" s="2"/>
      <c r="F16" s="2"/>
      <c r="G16" s="2"/>
      <c r="H16" s="2">
        <v>0</v>
      </c>
      <c r="I16" s="2" t="s">
        <v>227</v>
      </c>
      <c r="J16" s="2" t="s">
        <v>183</v>
      </c>
      <c r="K16" s="2" t="s">
        <v>183</v>
      </c>
      <c r="L16" s="2">
        <v>392</v>
      </c>
      <c r="M16" s="2" t="s">
        <v>51</v>
      </c>
      <c r="N16" s="2" t="s">
        <v>241</v>
      </c>
    </row>
    <row r="17" spans="1:14" x14ac:dyDescent="0.25">
      <c r="A17" s="2">
        <v>16900</v>
      </c>
      <c r="B17" s="2">
        <v>7601</v>
      </c>
      <c r="C17" s="2" t="s">
        <v>226</v>
      </c>
      <c r="D17" s="2" t="e">
        <v>#N/A</v>
      </c>
      <c r="E17" s="2"/>
      <c r="F17" s="2"/>
      <c r="G17" s="2"/>
      <c r="H17" s="2">
        <v>0</v>
      </c>
      <c r="I17" s="2" t="s">
        <v>227</v>
      </c>
      <c r="J17" s="2" t="s">
        <v>183</v>
      </c>
      <c r="K17" s="2" t="s">
        <v>183</v>
      </c>
      <c r="L17" s="2">
        <v>484</v>
      </c>
      <c r="M17" s="2" t="s">
        <v>70</v>
      </c>
      <c r="N17" s="2" t="s">
        <v>241</v>
      </c>
    </row>
    <row r="18" spans="1:14" x14ac:dyDescent="0.25">
      <c r="A18" s="2">
        <v>16901</v>
      </c>
      <c r="B18" s="2">
        <v>7601</v>
      </c>
      <c r="C18" s="2" t="s">
        <v>226</v>
      </c>
      <c r="D18" s="2" t="e">
        <v>#N/A</v>
      </c>
      <c r="E18" s="2"/>
      <c r="F18" s="2"/>
      <c r="G18" s="2"/>
      <c r="H18" s="2">
        <v>0</v>
      </c>
      <c r="I18" s="2" t="s">
        <v>227</v>
      </c>
      <c r="J18" s="2" t="s">
        <v>183</v>
      </c>
      <c r="K18" s="2" t="s">
        <v>183</v>
      </c>
      <c r="L18" s="2">
        <v>504</v>
      </c>
      <c r="M18" s="2" t="s">
        <v>73</v>
      </c>
      <c r="N18" s="2" t="s">
        <v>241</v>
      </c>
    </row>
    <row r="19" spans="1:14" x14ac:dyDescent="0.25">
      <c r="A19" s="2">
        <v>16902</v>
      </c>
      <c r="B19" s="2">
        <v>7601</v>
      </c>
      <c r="C19" s="2" t="s">
        <v>226</v>
      </c>
      <c r="D19" s="2" t="e">
        <v>#N/A</v>
      </c>
      <c r="E19" s="2"/>
      <c r="F19" s="2"/>
      <c r="G19" s="2"/>
      <c r="H19" s="2">
        <v>0</v>
      </c>
      <c r="I19" s="2" t="s">
        <v>227</v>
      </c>
      <c r="J19" s="2" t="s">
        <v>183</v>
      </c>
      <c r="K19" s="2" t="s">
        <v>183</v>
      </c>
      <c r="L19" s="2">
        <v>616</v>
      </c>
      <c r="M19" s="2" t="s">
        <v>86</v>
      </c>
      <c r="N19" s="2" t="s">
        <v>241</v>
      </c>
    </row>
    <row r="20" spans="1:14" x14ac:dyDescent="0.25">
      <c r="A20" s="2">
        <v>16903</v>
      </c>
      <c r="B20" s="2">
        <v>7601</v>
      </c>
      <c r="C20" s="2" t="s">
        <v>226</v>
      </c>
      <c r="D20" s="2" t="e">
        <v>#N/A</v>
      </c>
      <c r="E20" s="2"/>
      <c r="F20" s="2"/>
      <c r="G20" s="2"/>
      <c r="H20" s="2">
        <v>0</v>
      </c>
      <c r="I20" s="2" t="s">
        <v>227</v>
      </c>
      <c r="J20" s="2" t="s">
        <v>183</v>
      </c>
      <c r="K20" s="2" t="s">
        <v>183</v>
      </c>
      <c r="L20" s="2">
        <v>620</v>
      </c>
      <c r="M20" s="2" t="s">
        <v>87</v>
      </c>
      <c r="N20" s="2" t="s">
        <v>241</v>
      </c>
    </row>
    <row r="21" spans="1:14" x14ac:dyDescent="0.25">
      <c r="A21" s="2">
        <v>16904</v>
      </c>
      <c r="B21" s="2">
        <v>7601</v>
      </c>
      <c r="C21" s="2" t="s">
        <v>226</v>
      </c>
      <c r="D21" s="2" t="e">
        <v>#N/A</v>
      </c>
      <c r="E21" s="2"/>
      <c r="F21" s="2"/>
      <c r="G21" s="2"/>
      <c r="H21" s="2">
        <v>71933</v>
      </c>
      <c r="I21" s="2" t="s">
        <v>227</v>
      </c>
      <c r="J21" s="2" t="s">
        <v>183</v>
      </c>
      <c r="K21" s="2" t="s">
        <v>183</v>
      </c>
      <c r="L21" s="2">
        <v>703</v>
      </c>
      <c r="M21" s="2" t="s">
        <v>95</v>
      </c>
      <c r="N21" s="2" t="s">
        <v>241</v>
      </c>
    </row>
    <row r="22" spans="1:14" x14ac:dyDescent="0.25">
      <c r="A22" s="2">
        <v>16905</v>
      </c>
      <c r="B22" s="2">
        <v>7601</v>
      </c>
      <c r="C22" s="2" t="s">
        <v>226</v>
      </c>
      <c r="D22" s="2" t="e">
        <v>#N/A</v>
      </c>
      <c r="E22" s="2"/>
      <c r="F22" s="2"/>
      <c r="G22" s="2"/>
      <c r="H22" s="2">
        <v>19211</v>
      </c>
      <c r="I22" s="2" t="s">
        <v>227</v>
      </c>
      <c r="J22" s="2" t="s">
        <v>183</v>
      </c>
      <c r="K22" s="2" t="s">
        <v>183</v>
      </c>
      <c r="L22" s="2">
        <v>705</v>
      </c>
      <c r="M22" s="2" t="s">
        <v>96</v>
      </c>
      <c r="N22" s="2" t="s">
        <v>241</v>
      </c>
    </row>
    <row r="23" spans="1:14" x14ac:dyDescent="0.25">
      <c r="A23" s="2">
        <v>16906</v>
      </c>
      <c r="B23" s="2">
        <v>7601</v>
      </c>
      <c r="C23" s="2" t="s">
        <v>226</v>
      </c>
      <c r="D23" s="2" t="e">
        <v>#N/A</v>
      </c>
      <c r="E23" s="2"/>
      <c r="F23" s="2"/>
      <c r="G23" s="2"/>
      <c r="H23" s="2">
        <v>0</v>
      </c>
      <c r="I23" s="2" t="s">
        <v>227</v>
      </c>
      <c r="J23" s="2" t="s">
        <v>183</v>
      </c>
      <c r="K23" s="2" t="s">
        <v>183</v>
      </c>
      <c r="L23" s="2">
        <v>410</v>
      </c>
      <c r="M23" s="2" t="s">
        <v>230</v>
      </c>
      <c r="N23" s="2" t="s">
        <v>241</v>
      </c>
    </row>
    <row r="24" spans="1:14" x14ac:dyDescent="0.25">
      <c r="A24" s="2">
        <v>16907</v>
      </c>
      <c r="B24" s="2">
        <v>7601</v>
      </c>
      <c r="C24" s="2" t="s">
        <v>226</v>
      </c>
      <c r="D24" s="2" t="e">
        <v>#N/A</v>
      </c>
      <c r="E24" s="2"/>
      <c r="F24" s="2"/>
      <c r="G24" s="2"/>
      <c r="H24" s="2">
        <v>0</v>
      </c>
      <c r="I24" s="2" t="s">
        <v>227</v>
      </c>
      <c r="J24" s="2" t="s">
        <v>183</v>
      </c>
      <c r="K24" s="2" t="s">
        <v>183</v>
      </c>
      <c r="L24" s="2">
        <v>724</v>
      </c>
      <c r="M24" s="2" t="s">
        <v>98</v>
      </c>
      <c r="N24" s="2" t="s">
        <v>241</v>
      </c>
    </row>
    <row r="25" spans="1:14" x14ac:dyDescent="0.25">
      <c r="A25" s="2">
        <v>16908</v>
      </c>
      <c r="B25" s="2">
        <v>7601</v>
      </c>
      <c r="C25" s="2" t="s">
        <v>226</v>
      </c>
      <c r="D25" s="2" t="e">
        <v>#N/A</v>
      </c>
      <c r="E25" s="2"/>
      <c r="F25" s="2"/>
      <c r="G25" s="2"/>
      <c r="H25" s="2">
        <v>120000</v>
      </c>
      <c r="I25" s="2" t="s">
        <v>227</v>
      </c>
      <c r="J25" s="2" t="s">
        <v>183</v>
      </c>
      <c r="K25" s="2" t="s">
        <v>183</v>
      </c>
      <c r="L25" s="2">
        <v>752</v>
      </c>
      <c r="M25" s="2" t="s">
        <v>100</v>
      </c>
      <c r="N25" s="2" t="s">
        <v>241</v>
      </c>
    </row>
    <row r="26" spans="1:14" x14ac:dyDescent="0.25">
      <c r="A26" s="2">
        <v>16909</v>
      </c>
      <c r="B26" s="2">
        <v>7601</v>
      </c>
      <c r="C26" s="2" t="s">
        <v>226</v>
      </c>
      <c r="D26" s="2" t="e">
        <v>#N/A</v>
      </c>
      <c r="E26" s="2"/>
      <c r="F26" s="2"/>
      <c r="G26" s="2"/>
      <c r="H26" s="2">
        <v>80000</v>
      </c>
      <c r="I26" s="2" t="s">
        <v>227</v>
      </c>
      <c r="J26" s="2" t="s">
        <v>183</v>
      </c>
      <c r="K26" s="2" t="s">
        <v>183</v>
      </c>
      <c r="L26" s="2">
        <v>792</v>
      </c>
      <c r="M26" s="2" t="s">
        <v>107</v>
      </c>
      <c r="N26" s="2" t="s">
        <v>241</v>
      </c>
    </row>
    <row r="27" spans="1:14" x14ac:dyDescent="0.25">
      <c r="A27" s="2">
        <v>16910</v>
      </c>
      <c r="B27" s="2">
        <v>7601</v>
      </c>
      <c r="C27" s="2" t="s">
        <v>226</v>
      </c>
      <c r="D27" s="2" t="e">
        <v>#N/A</v>
      </c>
      <c r="E27" s="2"/>
      <c r="F27" s="2"/>
      <c r="G27" s="2"/>
      <c r="H27" s="2">
        <v>38000</v>
      </c>
      <c r="I27" s="2" t="s">
        <v>227</v>
      </c>
      <c r="J27" s="2" t="s">
        <v>183</v>
      </c>
      <c r="K27" s="2" t="s">
        <v>183</v>
      </c>
      <c r="L27" s="2">
        <v>826</v>
      </c>
      <c r="M27" s="2" t="s">
        <v>110</v>
      </c>
      <c r="N27" s="2" t="s">
        <v>241</v>
      </c>
    </row>
    <row r="28" spans="1:14" x14ac:dyDescent="0.25">
      <c r="A28" s="2">
        <v>16911</v>
      </c>
      <c r="B28" s="2">
        <v>7601</v>
      </c>
      <c r="C28" s="2" t="s">
        <v>226</v>
      </c>
      <c r="D28" s="2" t="e">
        <v>#N/A</v>
      </c>
      <c r="E28" s="2"/>
      <c r="F28" s="2"/>
      <c r="G28" s="2"/>
      <c r="H28" s="2">
        <v>872270</v>
      </c>
      <c r="I28" s="2" t="s">
        <v>227</v>
      </c>
      <c r="J28" s="2" t="s">
        <v>183</v>
      </c>
      <c r="K28" s="2" t="s">
        <v>183</v>
      </c>
      <c r="L28" s="2">
        <v>842</v>
      </c>
      <c r="M28" s="2" t="s">
        <v>229</v>
      </c>
      <c r="N28" s="2" t="s">
        <v>241</v>
      </c>
    </row>
    <row r="29" spans="1:14" x14ac:dyDescent="0.25">
      <c r="A29" s="2">
        <v>16912</v>
      </c>
      <c r="B29" s="2">
        <v>7601</v>
      </c>
      <c r="C29" s="2" t="s">
        <v>226</v>
      </c>
      <c r="D29" s="2" t="e">
        <v>#N/A</v>
      </c>
      <c r="E29" s="2"/>
      <c r="F29" s="2"/>
      <c r="G29" s="2"/>
      <c r="H29" s="2">
        <v>0</v>
      </c>
      <c r="I29" s="2" t="s">
        <v>227</v>
      </c>
      <c r="J29" s="2" t="s">
        <v>183</v>
      </c>
      <c r="K29" s="2" t="s">
        <v>183</v>
      </c>
      <c r="L29" s="2">
        <v>704</v>
      </c>
      <c r="M29" s="2" t="s">
        <v>232</v>
      </c>
      <c r="N29" s="2" t="s">
        <v>241</v>
      </c>
    </row>
    <row r="30" spans="1:14" x14ac:dyDescent="0.25">
      <c r="A30" s="2">
        <v>16913</v>
      </c>
      <c r="B30" s="2">
        <v>7601</v>
      </c>
      <c r="C30" s="2" t="s">
        <v>226</v>
      </c>
      <c r="D30" s="2" t="e">
        <v>#N/A</v>
      </c>
      <c r="E30" s="2"/>
      <c r="F30" s="2"/>
      <c r="G30" s="2"/>
      <c r="H30" s="2">
        <v>1424571</v>
      </c>
      <c r="I30" s="2" t="s">
        <v>227</v>
      </c>
      <c r="J30" s="2" t="s">
        <v>183</v>
      </c>
      <c r="K30" s="2" t="s">
        <v>183</v>
      </c>
      <c r="L30" s="2">
        <v>579</v>
      </c>
      <c r="M30" s="2" t="s">
        <v>79</v>
      </c>
      <c r="N30" s="2" t="s">
        <v>241</v>
      </c>
    </row>
    <row r="31" spans="1:14" x14ac:dyDescent="0.25">
      <c r="A31" s="2">
        <v>239</v>
      </c>
      <c r="B31" s="2">
        <v>7601</v>
      </c>
      <c r="C31" s="2" t="s">
        <v>226</v>
      </c>
      <c r="D31" s="2" t="e">
        <v>#N/A</v>
      </c>
      <c r="E31" s="2"/>
      <c r="F31" s="2"/>
      <c r="G31" s="2"/>
      <c r="H31" s="2">
        <v>599000</v>
      </c>
      <c r="I31" s="2" t="s">
        <v>227</v>
      </c>
      <c r="J31" s="2"/>
      <c r="K31" s="2"/>
      <c r="L31" s="2">
        <v>528</v>
      </c>
      <c r="M31" s="2" t="s">
        <v>75</v>
      </c>
      <c r="N31" s="2" t="s">
        <v>241</v>
      </c>
    </row>
    <row r="32" spans="1:14" x14ac:dyDescent="0.25">
      <c r="A32" s="2">
        <v>242</v>
      </c>
      <c r="B32" s="2">
        <v>7601</v>
      </c>
      <c r="C32" s="2" t="s">
        <v>226</v>
      </c>
      <c r="D32" s="2" t="e">
        <v>#N/A</v>
      </c>
      <c r="E32" s="2"/>
      <c r="F32" s="2"/>
      <c r="G32" s="2"/>
      <c r="H32" s="2">
        <v>3300000</v>
      </c>
      <c r="I32" s="2" t="s">
        <v>227</v>
      </c>
      <c r="J32" s="2"/>
      <c r="K32" s="2"/>
      <c r="L32" s="2">
        <v>124</v>
      </c>
      <c r="M32" s="2" t="s">
        <v>16</v>
      </c>
      <c r="N32" s="2" t="s">
        <v>241</v>
      </c>
    </row>
  </sheetData>
  <autoFilter ref="A3:N3" xr:uid="{820719EC-FD8A-49B4-B9CA-D3846DF972E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08A7-6474-4C2B-AFD1-0554B9E6D5BC}">
  <sheetPr codeName="Feuil10">
    <tabColor theme="5" tint="0.79998168889431442"/>
  </sheetPr>
  <dimension ref="A1:N681"/>
  <sheetViews>
    <sheetView workbookViewId="0">
      <pane ySplit="3" topLeftCell="A4" activePane="bottomLeft" state="frozen"/>
      <selection pane="bottomLeft"/>
    </sheetView>
  </sheetViews>
  <sheetFormatPr baseColWidth="10" defaultRowHeight="14.3" x14ac:dyDescent="0.25"/>
  <sheetData>
    <row r="1" spans="1:14" x14ac:dyDescent="0.25">
      <c r="A1" s="3" t="s">
        <v>307</v>
      </c>
    </row>
    <row r="3" spans="1:14" x14ac:dyDescent="0.25">
      <c r="A3" s="11" t="s">
        <v>212</v>
      </c>
      <c r="B3" s="11" t="s">
        <v>213</v>
      </c>
      <c r="C3" s="11" t="s">
        <v>214</v>
      </c>
      <c r="D3" s="11" t="s">
        <v>215</v>
      </c>
      <c r="E3" s="11" t="s">
        <v>216</v>
      </c>
      <c r="F3" s="12" t="s">
        <v>217</v>
      </c>
      <c r="G3" s="12" t="s">
        <v>218</v>
      </c>
      <c r="H3" s="12" t="s">
        <v>219</v>
      </c>
      <c r="I3" s="12" t="s">
        <v>220</v>
      </c>
      <c r="J3" s="12" t="s">
        <v>221</v>
      </c>
      <c r="K3" s="12" t="s">
        <v>222</v>
      </c>
      <c r="L3" s="12" t="s">
        <v>223</v>
      </c>
      <c r="M3" s="12" t="s">
        <v>224</v>
      </c>
      <c r="N3" s="12" t="s">
        <v>225</v>
      </c>
    </row>
    <row r="4" spans="1:14" x14ac:dyDescent="0.25">
      <c r="A4" s="2">
        <v>7062</v>
      </c>
      <c r="B4" s="2">
        <v>7601</v>
      </c>
      <c r="C4" s="2" t="s">
        <v>226</v>
      </c>
      <c r="D4" s="2">
        <v>579</v>
      </c>
      <c r="E4" s="2" t="s">
        <v>79</v>
      </c>
      <c r="F4" s="2">
        <v>340351</v>
      </c>
      <c r="G4" s="2">
        <v>20.2</v>
      </c>
      <c r="H4" s="2">
        <v>121607</v>
      </c>
      <c r="I4" s="2" t="s">
        <v>227</v>
      </c>
      <c r="J4" s="2" t="s">
        <v>183</v>
      </c>
      <c r="K4" s="2" t="s">
        <v>183</v>
      </c>
      <c r="L4" s="2">
        <v>40</v>
      </c>
      <c r="M4" s="2" t="s">
        <v>5</v>
      </c>
      <c r="N4" s="2" t="s">
        <v>228</v>
      </c>
    </row>
    <row r="5" spans="1:14" x14ac:dyDescent="0.25">
      <c r="A5" s="2">
        <v>7063</v>
      </c>
      <c r="B5" s="2">
        <v>7601</v>
      </c>
      <c r="C5" s="2" t="s">
        <v>226</v>
      </c>
      <c r="D5" s="2">
        <v>276</v>
      </c>
      <c r="E5" s="2" t="s">
        <v>37</v>
      </c>
      <c r="F5" s="2">
        <v>309213</v>
      </c>
      <c r="G5" s="2">
        <v>18.3</v>
      </c>
      <c r="H5" s="2">
        <v>101347</v>
      </c>
      <c r="I5" s="2" t="s">
        <v>227</v>
      </c>
      <c r="J5" s="2" t="s">
        <v>183</v>
      </c>
      <c r="K5" s="2" t="s">
        <v>183</v>
      </c>
      <c r="L5" s="2">
        <v>40</v>
      </c>
      <c r="M5" s="2" t="s">
        <v>5</v>
      </c>
      <c r="N5" s="2" t="s">
        <v>228</v>
      </c>
    </row>
    <row r="6" spans="1:14" x14ac:dyDescent="0.25">
      <c r="A6" s="2">
        <v>7064</v>
      </c>
      <c r="B6" s="2">
        <v>7601</v>
      </c>
      <c r="C6" s="2" t="s">
        <v>226</v>
      </c>
      <c r="D6" s="2">
        <v>528</v>
      </c>
      <c r="E6" s="2" t="s">
        <v>75</v>
      </c>
      <c r="F6" s="2">
        <v>305734</v>
      </c>
      <c r="G6" s="2">
        <v>18.100000000000001</v>
      </c>
      <c r="H6" s="2">
        <v>103079</v>
      </c>
      <c r="I6" s="2" t="s">
        <v>227</v>
      </c>
      <c r="J6" s="2" t="s">
        <v>183</v>
      </c>
      <c r="K6" s="2" t="s">
        <v>183</v>
      </c>
      <c r="L6" s="2">
        <v>40</v>
      </c>
      <c r="M6" s="2" t="s">
        <v>5</v>
      </c>
      <c r="N6" s="2" t="s">
        <v>228</v>
      </c>
    </row>
    <row r="7" spans="1:14" x14ac:dyDescent="0.25">
      <c r="A7" s="2">
        <v>7065</v>
      </c>
      <c r="B7" s="2">
        <v>7601</v>
      </c>
      <c r="C7" s="2" t="s">
        <v>226</v>
      </c>
      <c r="D7" s="2">
        <v>381</v>
      </c>
      <c r="E7" s="2" t="s">
        <v>50</v>
      </c>
      <c r="F7" s="2">
        <v>106912</v>
      </c>
      <c r="G7" s="2">
        <v>6.3</v>
      </c>
      <c r="H7" s="2">
        <v>36295</v>
      </c>
      <c r="I7" s="2" t="s">
        <v>227</v>
      </c>
      <c r="J7" s="2" t="s">
        <v>183</v>
      </c>
      <c r="K7" s="2" t="s">
        <v>183</v>
      </c>
      <c r="L7" s="2">
        <v>40</v>
      </c>
      <c r="M7" s="2" t="s">
        <v>5</v>
      </c>
      <c r="N7" s="2" t="s">
        <v>228</v>
      </c>
    </row>
    <row r="8" spans="1:14" x14ac:dyDescent="0.25">
      <c r="A8" s="2">
        <v>7066</v>
      </c>
      <c r="B8" s="2">
        <v>7601</v>
      </c>
      <c r="C8" s="2" t="s">
        <v>226</v>
      </c>
      <c r="D8" s="2">
        <v>756</v>
      </c>
      <c r="E8" s="2" t="s">
        <v>101</v>
      </c>
      <c r="F8" s="2">
        <v>88108</v>
      </c>
      <c r="G8" s="2">
        <v>5.2</v>
      </c>
      <c r="H8" s="2">
        <v>27318</v>
      </c>
      <c r="I8" s="2" t="s">
        <v>227</v>
      </c>
      <c r="J8" s="2" t="s">
        <v>183</v>
      </c>
      <c r="K8" s="2" t="s">
        <v>183</v>
      </c>
      <c r="L8" s="2">
        <v>40</v>
      </c>
      <c r="M8" s="2" t="s">
        <v>5</v>
      </c>
      <c r="N8" s="2" t="s">
        <v>228</v>
      </c>
    </row>
    <row r="9" spans="1:14" x14ac:dyDescent="0.25">
      <c r="A9" s="2">
        <v>7067</v>
      </c>
      <c r="B9" s="2">
        <v>7601</v>
      </c>
      <c r="C9" s="2" t="s">
        <v>226</v>
      </c>
      <c r="D9" s="2">
        <v>352</v>
      </c>
      <c r="E9" s="2" t="s">
        <v>44</v>
      </c>
      <c r="F9" s="2">
        <v>77378</v>
      </c>
      <c r="G9" s="2">
        <v>4.5999999999999996</v>
      </c>
      <c r="H9" s="2">
        <v>23832</v>
      </c>
      <c r="I9" s="2" t="s">
        <v>227</v>
      </c>
      <c r="J9" s="2" t="s">
        <v>183</v>
      </c>
      <c r="K9" s="2" t="s">
        <v>183</v>
      </c>
      <c r="L9" s="2">
        <v>40</v>
      </c>
      <c r="M9" s="2" t="s">
        <v>5</v>
      </c>
      <c r="N9" s="2" t="s">
        <v>228</v>
      </c>
    </row>
    <row r="10" spans="1:14" x14ac:dyDescent="0.25">
      <c r="A10" s="2">
        <v>7068</v>
      </c>
      <c r="B10" s="2">
        <v>7601</v>
      </c>
      <c r="C10" s="2" t="s">
        <v>226</v>
      </c>
      <c r="D10" s="2">
        <v>784</v>
      </c>
      <c r="E10" s="2" t="s">
        <v>109</v>
      </c>
      <c r="F10" s="2">
        <v>73250</v>
      </c>
      <c r="G10" s="2">
        <v>4.3</v>
      </c>
      <c r="H10" s="2">
        <v>20650</v>
      </c>
      <c r="I10" s="2" t="s">
        <v>227</v>
      </c>
      <c r="J10" s="2" t="s">
        <v>183</v>
      </c>
      <c r="K10" s="2" t="s">
        <v>183</v>
      </c>
      <c r="L10" s="2">
        <v>40</v>
      </c>
      <c r="M10" s="2" t="s">
        <v>5</v>
      </c>
      <c r="N10" s="2" t="s">
        <v>228</v>
      </c>
    </row>
    <row r="11" spans="1:14" x14ac:dyDescent="0.25">
      <c r="A11" s="2">
        <v>7244</v>
      </c>
      <c r="B11" s="2">
        <v>7601</v>
      </c>
      <c r="C11" s="2" t="s">
        <v>226</v>
      </c>
      <c r="D11" s="2">
        <v>999</v>
      </c>
      <c r="E11" s="2" t="s">
        <v>210</v>
      </c>
      <c r="F11" s="2">
        <v>176558</v>
      </c>
      <c r="G11" s="2">
        <v>2</v>
      </c>
      <c r="H11" s="2">
        <v>50161</v>
      </c>
      <c r="I11" s="2" t="s">
        <v>227</v>
      </c>
      <c r="J11" s="2" t="s">
        <v>183</v>
      </c>
      <c r="K11" s="2" t="s">
        <v>183</v>
      </c>
      <c r="L11" s="2">
        <v>276</v>
      </c>
      <c r="M11" s="2" t="s">
        <v>37</v>
      </c>
      <c r="N11" s="2" t="s">
        <v>228</v>
      </c>
    </row>
    <row r="12" spans="1:14" x14ac:dyDescent="0.25">
      <c r="A12" s="2">
        <v>7070</v>
      </c>
      <c r="B12" s="2">
        <v>7601</v>
      </c>
      <c r="C12" s="2" t="s">
        <v>226</v>
      </c>
      <c r="D12" s="2">
        <v>643</v>
      </c>
      <c r="E12" s="2" t="s">
        <v>209</v>
      </c>
      <c r="F12" s="2">
        <v>52017</v>
      </c>
      <c r="G12" s="2">
        <v>3.1</v>
      </c>
      <c r="H12" s="2">
        <v>15473</v>
      </c>
      <c r="I12" s="2" t="s">
        <v>227</v>
      </c>
      <c r="J12" s="2" t="s">
        <v>183</v>
      </c>
      <c r="K12" s="2" t="s">
        <v>183</v>
      </c>
      <c r="L12" s="2">
        <v>40</v>
      </c>
      <c r="M12" s="2" t="s">
        <v>5</v>
      </c>
      <c r="N12" s="2" t="s">
        <v>228</v>
      </c>
    </row>
    <row r="13" spans="1:14" x14ac:dyDescent="0.25">
      <c r="A13" s="2">
        <v>7071</v>
      </c>
      <c r="B13" s="2">
        <v>7601</v>
      </c>
      <c r="C13" s="2" t="s">
        <v>226</v>
      </c>
      <c r="D13" s="2">
        <v>616</v>
      </c>
      <c r="E13" s="2" t="s">
        <v>86</v>
      </c>
      <c r="F13" s="2">
        <v>51335</v>
      </c>
      <c r="G13" s="2">
        <v>3</v>
      </c>
      <c r="H13" s="2">
        <v>17157</v>
      </c>
      <c r="I13" s="2" t="s">
        <v>227</v>
      </c>
      <c r="J13" s="2" t="s">
        <v>183</v>
      </c>
      <c r="K13" s="2" t="s">
        <v>183</v>
      </c>
      <c r="L13" s="2">
        <v>40</v>
      </c>
      <c r="M13" s="2" t="s">
        <v>5</v>
      </c>
      <c r="N13" s="2" t="s">
        <v>228</v>
      </c>
    </row>
    <row r="14" spans="1:14" x14ac:dyDescent="0.25">
      <c r="A14" s="2">
        <v>7072</v>
      </c>
      <c r="B14" s="2">
        <v>7601</v>
      </c>
      <c r="C14" s="2" t="s">
        <v>226</v>
      </c>
      <c r="D14" s="2">
        <v>48</v>
      </c>
      <c r="E14" s="2" t="s">
        <v>7</v>
      </c>
      <c r="F14" s="2">
        <v>37077</v>
      </c>
      <c r="G14" s="2">
        <v>2.2000000000000002</v>
      </c>
      <c r="H14" s="2">
        <v>11203</v>
      </c>
      <c r="I14" s="2" t="s">
        <v>227</v>
      </c>
      <c r="J14" s="2" t="s">
        <v>183</v>
      </c>
      <c r="K14" s="2" t="s">
        <v>183</v>
      </c>
      <c r="L14" s="2">
        <v>40</v>
      </c>
      <c r="M14" s="2" t="s">
        <v>5</v>
      </c>
      <c r="N14" s="2" t="s">
        <v>228</v>
      </c>
    </row>
    <row r="15" spans="1:14" x14ac:dyDescent="0.25">
      <c r="A15" s="2">
        <v>7073</v>
      </c>
      <c r="B15" s="2">
        <v>7601</v>
      </c>
      <c r="C15" s="2" t="s">
        <v>226</v>
      </c>
      <c r="D15" s="2">
        <v>642</v>
      </c>
      <c r="E15" s="2" t="s">
        <v>89</v>
      </c>
      <c r="F15" s="2">
        <v>26257</v>
      </c>
      <c r="G15" s="2">
        <v>1.6</v>
      </c>
      <c r="H15" s="2">
        <v>8099</v>
      </c>
      <c r="I15" s="2" t="s">
        <v>227</v>
      </c>
      <c r="J15" s="2" t="s">
        <v>183</v>
      </c>
      <c r="K15" s="2" t="s">
        <v>183</v>
      </c>
      <c r="L15" s="2">
        <v>40</v>
      </c>
      <c r="M15" s="2" t="s">
        <v>5</v>
      </c>
      <c r="N15" s="2" t="s">
        <v>228</v>
      </c>
    </row>
    <row r="16" spans="1:14" x14ac:dyDescent="0.25">
      <c r="A16" s="2">
        <v>7074</v>
      </c>
      <c r="B16" s="2">
        <v>7601</v>
      </c>
      <c r="C16" s="2" t="s">
        <v>226</v>
      </c>
      <c r="D16" s="2">
        <v>702</v>
      </c>
      <c r="E16" s="2" t="s">
        <v>93</v>
      </c>
      <c r="F16" s="2">
        <v>26196</v>
      </c>
      <c r="G16" s="2">
        <v>1.6</v>
      </c>
      <c r="H16" s="2">
        <v>7996</v>
      </c>
      <c r="I16" s="2" t="s">
        <v>227</v>
      </c>
      <c r="J16" s="2" t="s">
        <v>183</v>
      </c>
      <c r="K16" s="2" t="s">
        <v>183</v>
      </c>
      <c r="L16" s="2">
        <v>40</v>
      </c>
      <c r="M16" s="2" t="s">
        <v>5</v>
      </c>
      <c r="N16" s="2" t="s">
        <v>228</v>
      </c>
    </row>
    <row r="17" spans="1:14" x14ac:dyDescent="0.25">
      <c r="A17" s="2">
        <v>7075</v>
      </c>
      <c r="B17" s="2">
        <v>7601</v>
      </c>
      <c r="C17" s="2" t="s">
        <v>226</v>
      </c>
      <c r="D17" s="2">
        <v>124</v>
      </c>
      <c r="E17" s="2" t="s">
        <v>16</v>
      </c>
      <c r="F17" s="2">
        <v>21298</v>
      </c>
      <c r="G17" s="2">
        <v>1.3</v>
      </c>
      <c r="H17" s="2">
        <v>6800</v>
      </c>
      <c r="I17" s="2" t="s">
        <v>227</v>
      </c>
      <c r="J17" s="2" t="s">
        <v>183</v>
      </c>
      <c r="K17" s="2" t="s">
        <v>183</v>
      </c>
      <c r="L17" s="2">
        <v>40</v>
      </c>
      <c r="M17" s="2" t="s">
        <v>5</v>
      </c>
      <c r="N17" s="2" t="s">
        <v>228</v>
      </c>
    </row>
    <row r="18" spans="1:14" x14ac:dyDescent="0.25">
      <c r="A18" s="2">
        <v>7076</v>
      </c>
      <c r="B18" s="2">
        <v>7601</v>
      </c>
      <c r="C18" s="2" t="s">
        <v>226</v>
      </c>
      <c r="D18" s="2">
        <v>699</v>
      </c>
      <c r="E18" s="2" t="s">
        <v>45</v>
      </c>
      <c r="F18" s="2">
        <v>14811</v>
      </c>
      <c r="G18" s="2">
        <v>0.9</v>
      </c>
      <c r="H18" s="2">
        <v>4815</v>
      </c>
      <c r="I18" s="2" t="s">
        <v>227</v>
      </c>
      <c r="J18" s="2" t="s">
        <v>183</v>
      </c>
      <c r="K18" s="2" t="s">
        <v>183</v>
      </c>
      <c r="L18" s="2">
        <v>40</v>
      </c>
      <c r="M18" s="2" t="s">
        <v>5</v>
      </c>
      <c r="N18" s="2" t="s">
        <v>228</v>
      </c>
    </row>
    <row r="19" spans="1:14" x14ac:dyDescent="0.25">
      <c r="A19" s="2">
        <v>7077</v>
      </c>
      <c r="B19" s="2">
        <v>7601</v>
      </c>
      <c r="C19" s="2" t="s">
        <v>226</v>
      </c>
      <c r="D19" s="2">
        <v>203</v>
      </c>
      <c r="E19" s="2" t="s">
        <v>211</v>
      </c>
      <c r="F19" s="2">
        <v>14161</v>
      </c>
      <c r="G19" s="2">
        <v>0.8</v>
      </c>
      <c r="H19" s="2">
        <v>5743</v>
      </c>
      <c r="I19" s="2" t="s">
        <v>227</v>
      </c>
      <c r="J19" s="2" t="s">
        <v>183</v>
      </c>
      <c r="K19" s="2" t="s">
        <v>183</v>
      </c>
      <c r="L19" s="2">
        <v>40</v>
      </c>
      <c r="M19" s="2" t="s">
        <v>5</v>
      </c>
      <c r="N19" s="2" t="s">
        <v>228</v>
      </c>
    </row>
    <row r="20" spans="1:14" x14ac:dyDescent="0.25">
      <c r="A20" s="2">
        <v>7078</v>
      </c>
      <c r="B20" s="2">
        <v>7601</v>
      </c>
      <c r="C20" s="2" t="s">
        <v>226</v>
      </c>
      <c r="D20" s="2">
        <v>348</v>
      </c>
      <c r="E20" s="2" t="s">
        <v>43</v>
      </c>
      <c r="F20" s="2">
        <v>12521</v>
      </c>
      <c r="G20" s="2">
        <v>0.7</v>
      </c>
      <c r="H20" s="2">
        <v>4667</v>
      </c>
      <c r="I20" s="2" t="s">
        <v>227</v>
      </c>
      <c r="J20" s="2" t="s">
        <v>183</v>
      </c>
      <c r="K20" s="2" t="s">
        <v>183</v>
      </c>
      <c r="L20" s="2">
        <v>40</v>
      </c>
      <c r="M20" s="2" t="s">
        <v>5</v>
      </c>
      <c r="N20" s="2" t="s">
        <v>228</v>
      </c>
    </row>
    <row r="21" spans="1:14" x14ac:dyDescent="0.25">
      <c r="A21" s="2">
        <v>7079</v>
      </c>
      <c r="B21" s="2">
        <v>7601</v>
      </c>
      <c r="C21" s="2" t="s">
        <v>226</v>
      </c>
      <c r="D21" s="2">
        <v>705</v>
      </c>
      <c r="E21" s="2" t="s">
        <v>96</v>
      </c>
      <c r="F21" s="2">
        <v>11321</v>
      </c>
      <c r="G21" s="2">
        <v>0.7</v>
      </c>
      <c r="H21" s="2">
        <v>2963</v>
      </c>
      <c r="I21" s="2" t="s">
        <v>227</v>
      </c>
      <c r="J21" s="2" t="s">
        <v>183</v>
      </c>
      <c r="K21" s="2" t="s">
        <v>183</v>
      </c>
      <c r="L21" s="2">
        <v>40</v>
      </c>
      <c r="M21" s="2" t="s">
        <v>5</v>
      </c>
      <c r="N21" s="2" t="s">
        <v>228</v>
      </c>
    </row>
    <row r="22" spans="1:14" x14ac:dyDescent="0.25">
      <c r="A22" s="2">
        <v>7080</v>
      </c>
      <c r="B22" s="2">
        <v>7601</v>
      </c>
      <c r="C22" s="2" t="s">
        <v>226</v>
      </c>
      <c r="D22" s="2">
        <v>703</v>
      </c>
      <c r="E22" s="2" t="s">
        <v>95</v>
      </c>
      <c r="F22" s="2">
        <v>6318</v>
      </c>
      <c r="G22" s="2">
        <v>0.4</v>
      </c>
      <c r="H22" s="2">
        <v>1901</v>
      </c>
      <c r="I22" s="2" t="s">
        <v>227</v>
      </c>
      <c r="J22" s="2" t="s">
        <v>183</v>
      </c>
      <c r="K22" s="2" t="s">
        <v>183</v>
      </c>
      <c r="L22" s="2">
        <v>40</v>
      </c>
      <c r="M22" s="2" t="s">
        <v>5</v>
      </c>
      <c r="N22" s="2" t="s">
        <v>228</v>
      </c>
    </row>
    <row r="23" spans="1:14" x14ac:dyDescent="0.25">
      <c r="A23" s="2">
        <v>7081</v>
      </c>
      <c r="B23" s="2">
        <v>7601</v>
      </c>
      <c r="C23" s="2" t="s">
        <v>226</v>
      </c>
      <c r="D23" s="2">
        <v>508</v>
      </c>
      <c r="E23" s="2" t="s">
        <v>123</v>
      </c>
      <c r="F23" s="2">
        <v>6271</v>
      </c>
      <c r="G23" s="2">
        <v>0.4</v>
      </c>
      <c r="H23" s="2">
        <v>1862</v>
      </c>
      <c r="I23" s="2" t="s">
        <v>227</v>
      </c>
      <c r="J23" s="2" t="s">
        <v>183</v>
      </c>
      <c r="K23" s="2" t="s">
        <v>183</v>
      </c>
      <c r="L23" s="2">
        <v>40</v>
      </c>
      <c r="M23" s="2" t="s">
        <v>5</v>
      </c>
      <c r="N23" s="2" t="s">
        <v>228</v>
      </c>
    </row>
    <row r="24" spans="1:14" x14ac:dyDescent="0.25">
      <c r="A24" s="2">
        <v>7082</v>
      </c>
      <c r="B24" s="2">
        <v>7601</v>
      </c>
      <c r="C24" s="2" t="s">
        <v>226</v>
      </c>
      <c r="D24" s="2">
        <v>156</v>
      </c>
      <c r="E24" s="2" t="s">
        <v>18</v>
      </c>
      <c r="F24" s="2">
        <v>5126</v>
      </c>
      <c r="G24" s="2">
        <v>0.3</v>
      </c>
      <c r="H24" s="2">
        <v>1288</v>
      </c>
      <c r="I24" s="2" t="s">
        <v>227</v>
      </c>
      <c r="J24" s="2" t="s">
        <v>183</v>
      </c>
      <c r="K24" s="2" t="s">
        <v>183</v>
      </c>
      <c r="L24" s="2">
        <v>40</v>
      </c>
      <c r="M24" s="2" t="s">
        <v>5</v>
      </c>
      <c r="N24" s="2" t="s">
        <v>228</v>
      </c>
    </row>
    <row r="25" spans="1:14" x14ac:dyDescent="0.25">
      <c r="A25" s="2">
        <v>7083</v>
      </c>
      <c r="B25" s="2">
        <v>7601</v>
      </c>
      <c r="C25" s="2" t="s">
        <v>226</v>
      </c>
      <c r="D25" s="2">
        <v>300</v>
      </c>
      <c r="E25" s="2" t="s">
        <v>39</v>
      </c>
      <c r="F25" s="2">
        <v>4761</v>
      </c>
      <c r="G25" s="2">
        <v>0.3</v>
      </c>
      <c r="H25" s="2">
        <v>1245</v>
      </c>
      <c r="I25" s="2" t="s">
        <v>227</v>
      </c>
      <c r="J25" s="2" t="s">
        <v>183</v>
      </c>
      <c r="K25" s="2" t="s">
        <v>183</v>
      </c>
      <c r="L25" s="2">
        <v>40</v>
      </c>
      <c r="M25" s="2" t="s">
        <v>5</v>
      </c>
      <c r="N25" s="2" t="s">
        <v>228</v>
      </c>
    </row>
    <row r="26" spans="1:14" x14ac:dyDescent="0.25">
      <c r="A26" s="2">
        <v>7084</v>
      </c>
      <c r="B26" s="2">
        <v>7601</v>
      </c>
      <c r="C26" s="2" t="s">
        <v>226</v>
      </c>
      <c r="D26" s="2">
        <v>554</v>
      </c>
      <c r="E26" s="2" t="s">
        <v>76</v>
      </c>
      <c r="F26" s="2">
        <v>3657</v>
      </c>
      <c r="G26" s="2">
        <v>0.2</v>
      </c>
      <c r="H26" s="2">
        <v>1039</v>
      </c>
      <c r="I26" s="2" t="s">
        <v>227</v>
      </c>
      <c r="J26" s="2" t="s">
        <v>183</v>
      </c>
      <c r="K26" s="2" t="s">
        <v>183</v>
      </c>
      <c r="L26" s="2">
        <v>40</v>
      </c>
      <c r="M26" s="2" t="s">
        <v>5</v>
      </c>
      <c r="N26" s="2" t="s">
        <v>228</v>
      </c>
    </row>
    <row r="27" spans="1:14" ht="14.95" x14ac:dyDescent="0.25">
      <c r="A27" s="2">
        <v>7085</v>
      </c>
      <c r="B27" s="2">
        <v>7601</v>
      </c>
      <c r="C27" s="2" t="s">
        <v>226</v>
      </c>
      <c r="D27" s="2">
        <v>246</v>
      </c>
      <c r="E27" s="2" t="s">
        <v>32</v>
      </c>
      <c r="F27" s="2">
        <v>3574</v>
      </c>
      <c r="G27" s="2">
        <v>0.2</v>
      </c>
      <c r="H27" s="2">
        <v>1515</v>
      </c>
      <c r="I27" s="2" t="s">
        <v>227</v>
      </c>
      <c r="J27" s="2" t="s">
        <v>183</v>
      </c>
      <c r="K27" s="2" t="s">
        <v>183</v>
      </c>
      <c r="L27" s="2">
        <v>40</v>
      </c>
      <c r="M27" s="2" t="s">
        <v>5</v>
      </c>
      <c r="N27" s="2" t="s">
        <v>228</v>
      </c>
    </row>
    <row r="28" spans="1:14" ht="14.95" x14ac:dyDescent="0.25">
      <c r="A28" s="2">
        <v>7086</v>
      </c>
      <c r="B28" s="2">
        <v>7601</v>
      </c>
      <c r="C28" s="2" t="s">
        <v>226</v>
      </c>
      <c r="D28" s="2">
        <v>528</v>
      </c>
      <c r="E28" s="2" t="s">
        <v>75</v>
      </c>
      <c r="F28" s="2">
        <v>529258</v>
      </c>
      <c r="G28" s="2">
        <v>45.4</v>
      </c>
      <c r="H28" s="2">
        <v>157067</v>
      </c>
      <c r="I28" s="2" t="s">
        <v>227</v>
      </c>
      <c r="J28" s="2" t="s">
        <v>183</v>
      </c>
      <c r="K28" s="2" t="s">
        <v>183</v>
      </c>
      <c r="L28" s="2">
        <v>56</v>
      </c>
      <c r="M28" s="2" t="s">
        <v>11</v>
      </c>
      <c r="N28" s="2" t="s">
        <v>228</v>
      </c>
    </row>
    <row r="29" spans="1:14" ht="14.95" x14ac:dyDescent="0.25">
      <c r="A29" s="2">
        <v>7087</v>
      </c>
      <c r="B29" s="2">
        <v>7601</v>
      </c>
      <c r="C29" s="2" t="s">
        <v>226</v>
      </c>
      <c r="D29" s="2">
        <v>276</v>
      </c>
      <c r="E29" s="2" t="s">
        <v>37</v>
      </c>
      <c r="F29" s="2">
        <v>187393</v>
      </c>
      <c r="G29" s="2">
        <v>16.100000000000001</v>
      </c>
      <c r="H29" s="2">
        <v>57762</v>
      </c>
      <c r="I29" s="2" t="s">
        <v>227</v>
      </c>
      <c r="J29" s="2" t="s">
        <v>183</v>
      </c>
      <c r="K29" s="2" t="s">
        <v>183</v>
      </c>
      <c r="L29" s="2">
        <v>56</v>
      </c>
      <c r="M29" s="2" t="s">
        <v>11</v>
      </c>
      <c r="N29" s="2" t="s">
        <v>228</v>
      </c>
    </row>
    <row r="30" spans="1:14" ht="14.95" x14ac:dyDescent="0.25">
      <c r="A30" s="2">
        <v>7089</v>
      </c>
      <c r="B30" s="2">
        <v>7601</v>
      </c>
      <c r="C30" s="2" t="s">
        <v>226</v>
      </c>
      <c r="D30" s="2">
        <v>508</v>
      </c>
      <c r="E30" s="2" t="s">
        <v>123</v>
      </c>
      <c r="F30" s="2">
        <v>73666</v>
      </c>
      <c r="G30" s="2">
        <v>6.3</v>
      </c>
      <c r="H30" s="2">
        <v>24277</v>
      </c>
      <c r="I30" s="2" t="s">
        <v>227</v>
      </c>
      <c r="J30" s="2" t="s">
        <v>183</v>
      </c>
      <c r="K30" s="2" t="s">
        <v>183</v>
      </c>
      <c r="L30" s="2">
        <v>56</v>
      </c>
      <c r="M30" s="2" t="s">
        <v>11</v>
      </c>
      <c r="N30" s="2" t="s">
        <v>228</v>
      </c>
    </row>
    <row r="31" spans="1:14" ht="14.95" x14ac:dyDescent="0.25">
      <c r="A31" s="2">
        <v>7090</v>
      </c>
      <c r="B31" s="2">
        <v>7601</v>
      </c>
      <c r="C31" s="2" t="s">
        <v>226</v>
      </c>
      <c r="D31" s="2">
        <v>699</v>
      </c>
      <c r="E31" s="2" t="s">
        <v>45</v>
      </c>
      <c r="F31" s="2">
        <v>71205</v>
      </c>
      <c r="G31" s="2">
        <v>6.1</v>
      </c>
      <c r="H31" s="2">
        <v>23620</v>
      </c>
      <c r="I31" s="2" t="s">
        <v>227</v>
      </c>
      <c r="J31" s="2" t="s">
        <v>183</v>
      </c>
      <c r="K31" s="2" t="s">
        <v>183</v>
      </c>
      <c r="L31" s="2">
        <v>56</v>
      </c>
      <c r="M31" s="2" t="s">
        <v>11</v>
      </c>
      <c r="N31" s="2" t="s">
        <v>228</v>
      </c>
    </row>
    <row r="32" spans="1:14" ht="14.95" x14ac:dyDescent="0.25">
      <c r="A32" s="2">
        <v>7091</v>
      </c>
      <c r="B32" s="2">
        <v>7601</v>
      </c>
      <c r="C32" s="2" t="s">
        <v>226</v>
      </c>
      <c r="D32" s="2">
        <v>643</v>
      </c>
      <c r="E32" s="2" t="s">
        <v>209</v>
      </c>
      <c r="F32" s="2">
        <v>67637</v>
      </c>
      <c r="G32" s="2">
        <v>5.8</v>
      </c>
      <c r="H32" s="2">
        <v>20805</v>
      </c>
      <c r="I32" s="2" t="s">
        <v>227</v>
      </c>
      <c r="J32" s="2" t="s">
        <v>183</v>
      </c>
      <c r="K32" s="2" t="s">
        <v>183</v>
      </c>
      <c r="L32" s="2">
        <v>56</v>
      </c>
      <c r="M32" s="2" t="s">
        <v>11</v>
      </c>
      <c r="N32" s="2" t="s">
        <v>228</v>
      </c>
    </row>
    <row r="33" spans="1:14" ht="14.95" x14ac:dyDescent="0.25">
      <c r="A33" s="2">
        <v>7092</v>
      </c>
      <c r="B33" s="2">
        <v>7601</v>
      </c>
      <c r="C33" s="2" t="s">
        <v>226</v>
      </c>
      <c r="D33" s="2">
        <v>784</v>
      </c>
      <c r="E33" s="2" t="s">
        <v>109</v>
      </c>
      <c r="F33" s="2">
        <v>32355</v>
      </c>
      <c r="G33" s="2">
        <v>2.8</v>
      </c>
      <c r="H33" s="2">
        <v>8976</v>
      </c>
      <c r="I33" s="2" t="s">
        <v>227</v>
      </c>
      <c r="J33" s="2" t="s">
        <v>183</v>
      </c>
      <c r="K33" s="2" t="s">
        <v>183</v>
      </c>
      <c r="L33" s="2">
        <v>56</v>
      </c>
      <c r="M33" s="2" t="s">
        <v>11</v>
      </c>
      <c r="N33" s="2" t="s">
        <v>228</v>
      </c>
    </row>
    <row r="34" spans="1:14" ht="14.95" x14ac:dyDescent="0.25">
      <c r="A34" s="2">
        <v>7093</v>
      </c>
      <c r="B34" s="2">
        <v>7601</v>
      </c>
      <c r="C34" s="2" t="s">
        <v>226</v>
      </c>
      <c r="D34" s="2">
        <v>752</v>
      </c>
      <c r="E34" s="2" t="s">
        <v>100</v>
      </c>
      <c r="F34" s="2">
        <v>26812</v>
      </c>
      <c r="G34" s="2">
        <v>2.2999999999999998</v>
      </c>
      <c r="H34" s="2">
        <v>6880</v>
      </c>
      <c r="I34" s="2" t="s">
        <v>227</v>
      </c>
      <c r="J34" s="2" t="s">
        <v>183</v>
      </c>
      <c r="K34" s="2" t="s">
        <v>183</v>
      </c>
      <c r="L34" s="2">
        <v>56</v>
      </c>
      <c r="M34" s="2" t="s">
        <v>11</v>
      </c>
      <c r="N34" s="2" t="s">
        <v>228</v>
      </c>
    </row>
    <row r="35" spans="1:14" ht="14.95" x14ac:dyDescent="0.25">
      <c r="A35" s="2">
        <v>7094</v>
      </c>
      <c r="B35" s="2">
        <v>7601</v>
      </c>
      <c r="C35" s="2" t="s">
        <v>226</v>
      </c>
      <c r="D35" s="2">
        <v>442</v>
      </c>
      <c r="E35" s="2" t="s">
        <v>62</v>
      </c>
      <c r="F35" s="2">
        <v>15209</v>
      </c>
      <c r="G35" s="2">
        <v>1.3</v>
      </c>
      <c r="H35" s="2">
        <v>5651</v>
      </c>
      <c r="I35" s="2" t="s">
        <v>227</v>
      </c>
      <c r="J35" s="2" t="s">
        <v>183</v>
      </c>
      <c r="K35" s="2" t="s">
        <v>183</v>
      </c>
      <c r="L35" s="2">
        <v>56</v>
      </c>
      <c r="M35" s="2" t="s">
        <v>11</v>
      </c>
      <c r="N35" s="2" t="s">
        <v>228</v>
      </c>
    </row>
    <row r="36" spans="1:14" ht="14.95" x14ac:dyDescent="0.25">
      <c r="A36" s="2">
        <v>7095</v>
      </c>
      <c r="B36" s="2">
        <v>7601</v>
      </c>
      <c r="C36" s="2" t="s">
        <v>226</v>
      </c>
      <c r="D36" s="2">
        <v>705</v>
      </c>
      <c r="E36" s="2" t="s">
        <v>96</v>
      </c>
      <c r="F36" s="2">
        <v>13953</v>
      </c>
      <c r="G36" s="2">
        <v>1.2</v>
      </c>
      <c r="H36" s="2">
        <v>3433</v>
      </c>
      <c r="I36" s="2" t="s">
        <v>227</v>
      </c>
      <c r="J36" s="2" t="s">
        <v>183</v>
      </c>
      <c r="K36" s="2" t="s">
        <v>183</v>
      </c>
      <c r="L36" s="2">
        <v>56</v>
      </c>
      <c r="M36" s="2" t="s">
        <v>11</v>
      </c>
      <c r="N36" s="2" t="s">
        <v>228</v>
      </c>
    </row>
    <row r="37" spans="1:14" ht="14.95" x14ac:dyDescent="0.25">
      <c r="A37" s="2">
        <v>7096</v>
      </c>
      <c r="B37" s="2">
        <v>7601</v>
      </c>
      <c r="C37" s="2" t="s">
        <v>226</v>
      </c>
      <c r="D37" s="2">
        <v>710</v>
      </c>
      <c r="E37" s="2" t="s">
        <v>97</v>
      </c>
      <c r="F37" s="2">
        <v>9681</v>
      </c>
      <c r="G37" s="2">
        <v>0.8</v>
      </c>
      <c r="H37" s="2">
        <v>3195</v>
      </c>
      <c r="I37" s="2" t="s">
        <v>227</v>
      </c>
      <c r="J37" s="2" t="s">
        <v>183</v>
      </c>
      <c r="K37" s="2" t="s">
        <v>183</v>
      </c>
      <c r="L37" s="2">
        <v>56</v>
      </c>
      <c r="M37" s="2" t="s">
        <v>11</v>
      </c>
      <c r="N37" s="2" t="s">
        <v>228</v>
      </c>
    </row>
    <row r="38" spans="1:14" ht="14.95" x14ac:dyDescent="0.25">
      <c r="A38" s="2">
        <v>7097</v>
      </c>
      <c r="B38" s="2">
        <v>7601</v>
      </c>
      <c r="C38" s="2" t="s">
        <v>226</v>
      </c>
      <c r="D38" s="2">
        <v>616</v>
      </c>
      <c r="E38" s="2" t="s">
        <v>86</v>
      </c>
      <c r="F38" s="2">
        <v>8243</v>
      </c>
      <c r="G38" s="2">
        <v>0.7</v>
      </c>
      <c r="H38" s="2">
        <v>3189</v>
      </c>
      <c r="I38" s="2" t="s">
        <v>227</v>
      </c>
      <c r="J38" s="2" t="s">
        <v>183</v>
      </c>
      <c r="K38" s="2" t="s">
        <v>183</v>
      </c>
      <c r="L38" s="2">
        <v>56</v>
      </c>
      <c r="M38" s="2" t="s">
        <v>11</v>
      </c>
      <c r="N38" s="2" t="s">
        <v>228</v>
      </c>
    </row>
    <row r="39" spans="1:14" x14ac:dyDescent="0.25">
      <c r="A39" s="2">
        <v>7098</v>
      </c>
      <c r="B39" s="2">
        <v>7601</v>
      </c>
      <c r="C39" s="2" t="s">
        <v>226</v>
      </c>
      <c r="D39" s="2">
        <v>40</v>
      </c>
      <c r="E39" s="2" t="s">
        <v>5</v>
      </c>
      <c r="F39" s="2">
        <v>7119</v>
      </c>
      <c r="G39" s="2">
        <v>0.6</v>
      </c>
      <c r="H39" s="2">
        <v>2513</v>
      </c>
      <c r="I39" s="2" t="s">
        <v>227</v>
      </c>
      <c r="J39" s="2" t="s">
        <v>183</v>
      </c>
      <c r="K39" s="2" t="s">
        <v>183</v>
      </c>
      <c r="L39" s="2">
        <v>56</v>
      </c>
      <c r="M39" s="2" t="s">
        <v>11</v>
      </c>
      <c r="N39" s="2" t="s">
        <v>228</v>
      </c>
    </row>
    <row r="40" spans="1:14" x14ac:dyDescent="0.25">
      <c r="A40" s="2">
        <v>7099</v>
      </c>
      <c r="B40" s="2">
        <v>7601</v>
      </c>
      <c r="C40" s="2" t="s">
        <v>226</v>
      </c>
      <c r="D40" s="2">
        <v>348</v>
      </c>
      <c r="E40" s="2" t="s">
        <v>43</v>
      </c>
      <c r="F40" s="2">
        <v>5383</v>
      </c>
      <c r="G40" s="2">
        <v>0.5</v>
      </c>
      <c r="H40" s="2">
        <v>1632</v>
      </c>
      <c r="I40" s="2" t="s">
        <v>227</v>
      </c>
      <c r="J40" s="2" t="s">
        <v>183</v>
      </c>
      <c r="K40" s="2" t="s">
        <v>183</v>
      </c>
      <c r="L40" s="2">
        <v>56</v>
      </c>
      <c r="M40" s="2" t="s">
        <v>11</v>
      </c>
      <c r="N40" s="2" t="s">
        <v>228</v>
      </c>
    </row>
    <row r="41" spans="1:14" x14ac:dyDescent="0.25">
      <c r="A41" s="2">
        <v>7100</v>
      </c>
      <c r="B41" s="2">
        <v>7601</v>
      </c>
      <c r="C41" s="2" t="s">
        <v>226</v>
      </c>
      <c r="D41" s="2">
        <v>842</v>
      </c>
      <c r="E41" s="2" t="s">
        <v>229</v>
      </c>
      <c r="F41" s="2">
        <v>5047</v>
      </c>
      <c r="G41" s="2">
        <v>0.4</v>
      </c>
      <c r="H41" s="2">
        <v>712</v>
      </c>
      <c r="I41" s="2" t="s">
        <v>227</v>
      </c>
      <c r="J41" s="2" t="s">
        <v>183</v>
      </c>
      <c r="K41" s="2" t="s">
        <v>183</v>
      </c>
      <c r="L41" s="2">
        <v>56</v>
      </c>
      <c r="M41" s="2" t="s">
        <v>11</v>
      </c>
      <c r="N41" s="2" t="s">
        <v>228</v>
      </c>
    </row>
    <row r="42" spans="1:14" x14ac:dyDescent="0.25">
      <c r="A42" s="2">
        <v>7101</v>
      </c>
      <c r="B42" s="2">
        <v>7601</v>
      </c>
      <c r="C42" s="2" t="s">
        <v>226</v>
      </c>
      <c r="D42" s="2">
        <v>360</v>
      </c>
      <c r="E42" s="2" t="s">
        <v>46</v>
      </c>
      <c r="F42" s="2">
        <v>2967</v>
      </c>
      <c r="G42" s="2">
        <v>0.3</v>
      </c>
      <c r="H42" s="2">
        <v>973</v>
      </c>
      <c r="I42" s="2" t="s">
        <v>227</v>
      </c>
      <c r="J42" s="2" t="s">
        <v>183</v>
      </c>
      <c r="K42" s="2" t="s">
        <v>183</v>
      </c>
      <c r="L42" s="2">
        <v>56</v>
      </c>
      <c r="M42" s="2" t="s">
        <v>11</v>
      </c>
      <c r="N42" s="2" t="s">
        <v>228</v>
      </c>
    </row>
    <row r="43" spans="1:14" x14ac:dyDescent="0.25">
      <c r="A43" s="2">
        <v>7102</v>
      </c>
      <c r="B43" s="2">
        <v>7601</v>
      </c>
      <c r="C43" s="2" t="s">
        <v>226</v>
      </c>
      <c r="D43" s="2">
        <v>36</v>
      </c>
      <c r="E43" s="2" t="s">
        <v>4</v>
      </c>
      <c r="F43" s="2">
        <v>1542</v>
      </c>
      <c r="G43" s="2">
        <v>0.1</v>
      </c>
      <c r="H43" s="2">
        <v>485</v>
      </c>
      <c r="I43" s="2" t="s">
        <v>227</v>
      </c>
      <c r="J43" s="2" t="s">
        <v>183</v>
      </c>
      <c r="K43" s="2" t="s">
        <v>183</v>
      </c>
      <c r="L43" s="2">
        <v>56</v>
      </c>
      <c r="M43" s="2" t="s">
        <v>11</v>
      </c>
      <c r="N43" s="2" t="s">
        <v>228</v>
      </c>
    </row>
    <row r="44" spans="1:14" x14ac:dyDescent="0.25">
      <c r="A44" s="2">
        <v>7103</v>
      </c>
      <c r="B44" s="2">
        <v>7601</v>
      </c>
      <c r="C44" s="2" t="s">
        <v>226</v>
      </c>
      <c r="D44" s="2">
        <v>579</v>
      </c>
      <c r="E44" s="2" t="s">
        <v>79</v>
      </c>
      <c r="F44" s="2">
        <v>1317</v>
      </c>
      <c r="G44" s="2">
        <v>0.1</v>
      </c>
      <c r="H44" s="2">
        <v>392</v>
      </c>
      <c r="I44" s="2" t="s">
        <v>227</v>
      </c>
      <c r="J44" s="2" t="s">
        <v>183</v>
      </c>
      <c r="K44" s="2" t="s">
        <v>183</v>
      </c>
      <c r="L44" s="2">
        <v>56</v>
      </c>
      <c r="M44" s="2" t="s">
        <v>11</v>
      </c>
      <c r="N44" s="2" t="s">
        <v>228</v>
      </c>
    </row>
    <row r="45" spans="1:14" x14ac:dyDescent="0.25">
      <c r="A45" s="2">
        <v>7104</v>
      </c>
      <c r="B45" s="2">
        <v>7601</v>
      </c>
      <c r="C45" s="2" t="s">
        <v>226</v>
      </c>
      <c r="D45" s="2">
        <v>724</v>
      </c>
      <c r="E45" s="2" t="s">
        <v>98</v>
      </c>
      <c r="F45" s="2">
        <v>930</v>
      </c>
      <c r="G45" s="2">
        <v>0.1</v>
      </c>
      <c r="H45" s="2">
        <v>258</v>
      </c>
      <c r="I45" s="2" t="s">
        <v>227</v>
      </c>
      <c r="J45" s="2" t="s">
        <v>183</v>
      </c>
      <c r="K45" s="2" t="s">
        <v>183</v>
      </c>
      <c r="L45" s="2">
        <v>56</v>
      </c>
      <c r="M45" s="2" t="s">
        <v>11</v>
      </c>
      <c r="N45" s="2" t="s">
        <v>228</v>
      </c>
    </row>
    <row r="46" spans="1:14" x14ac:dyDescent="0.25">
      <c r="A46" s="2">
        <v>7105</v>
      </c>
      <c r="B46" s="2">
        <v>7601</v>
      </c>
      <c r="C46" s="2" t="s">
        <v>226</v>
      </c>
      <c r="D46" s="2">
        <v>381</v>
      </c>
      <c r="E46" s="2" t="s">
        <v>50</v>
      </c>
      <c r="F46" s="2">
        <v>882</v>
      </c>
      <c r="G46" s="2">
        <v>0.1</v>
      </c>
      <c r="H46" s="2">
        <v>325</v>
      </c>
      <c r="I46" s="2" t="s">
        <v>227</v>
      </c>
      <c r="J46" s="2" t="s">
        <v>183</v>
      </c>
      <c r="K46" s="2" t="s">
        <v>183</v>
      </c>
      <c r="L46" s="2">
        <v>56</v>
      </c>
      <c r="M46" s="2" t="s">
        <v>11</v>
      </c>
      <c r="N46" s="2" t="s">
        <v>228</v>
      </c>
    </row>
    <row r="47" spans="1:14" x14ac:dyDescent="0.25">
      <c r="A47" s="2">
        <v>7106</v>
      </c>
      <c r="B47" s="2">
        <v>7601</v>
      </c>
      <c r="C47" s="2" t="s">
        <v>226</v>
      </c>
      <c r="D47" s="2">
        <v>76</v>
      </c>
      <c r="E47" s="2" t="s">
        <v>14</v>
      </c>
      <c r="F47" s="2">
        <v>519</v>
      </c>
      <c r="G47" s="2">
        <v>0</v>
      </c>
      <c r="H47" s="2">
        <v>158</v>
      </c>
      <c r="I47" s="2" t="s">
        <v>227</v>
      </c>
      <c r="J47" s="2" t="s">
        <v>183</v>
      </c>
      <c r="K47" s="2" t="s">
        <v>183</v>
      </c>
      <c r="L47" s="2">
        <v>56</v>
      </c>
      <c r="M47" s="2" t="s">
        <v>11</v>
      </c>
      <c r="N47" s="2" t="s">
        <v>228</v>
      </c>
    </row>
    <row r="48" spans="1:14" x14ac:dyDescent="0.25">
      <c r="A48" s="2">
        <v>7107</v>
      </c>
      <c r="B48" s="2">
        <v>7601</v>
      </c>
      <c r="C48" s="2" t="s">
        <v>226</v>
      </c>
      <c r="D48" s="2">
        <v>792</v>
      </c>
      <c r="E48" s="2" t="s">
        <v>107</v>
      </c>
      <c r="F48" s="2">
        <v>450</v>
      </c>
      <c r="G48" s="2">
        <v>0</v>
      </c>
      <c r="H48" s="2">
        <v>184</v>
      </c>
      <c r="I48" s="2" t="s">
        <v>227</v>
      </c>
      <c r="J48" s="2" t="s">
        <v>183</v>
      </c>
      <c r="K48" s="2" t="s">
        <v>183</v>
      </c>
      <c r="L48" s="2">
        <v>56</v>
      </c>
      <c r="M48" s="2" t="s">
        <v>11</v>
      </c>
      <c r="N48" s="2" t="s">
        <v>228</v>
      </c>
    </row>
    <row r="49" spans="1:14" x14ac:dyDescent="0.25">
      <c r="A49" s="2">
        <v>7108</v>
      </c>
      <c r="B49" s="2">
        <v>7601</v>
      </c>
      <c r="C49" s="2" t="s">
        <v>226</v>
      </c>
      <c r="D49" s="2">
        <v>410</v>
      </c>
      <c r="E49" s="2" t="s">
        <v>230</v>
      </c>
      <c r="F49" s="2">
        <v>312</v>
      </c>
      <c r="G49" s="2">
        <v>0</v>
      </c>
      <c r="H49" s="2">
        <v>99</v>
      </c>
      <c r="I49" s="2" t="s">
        <v>227</v>
      </c>
      <c r="J49" s="2" t="s">
        <v>183</v>
      </c>
      <c r="K49" s="2" t="s">
        <v>183</v>
      </c>
      <c r="L49" s="2">
        <v>56</v>
      </c>
      <c r="M49" s="2" t="s">
        <v>11</v>
      </c>
      <c r="N49" s="2" t="s">
        <v>228</v>
      </c>
    </row>
    <row r="50" spans="1:14" x14ac:dyDescent="0.25">
      <c r="A50" s="2">
        <v>7109</v>
      </c>
      <c r="B50" s="2">
        <v>7601</v>
      </c>
      <c r="C50" s="2" t="s">
        <v>226</v>
      </c>
      <c r="D50" s="2">
        <v>688</v>
      </c>
      <c r="E50" s="2" t="s">
        <v>92</v>
      </c>
      <c r="F50" s="2">
        <v>251</v>
      </c>
      <c r="G50" s="2">
        <v>0</v>
      </c>
      <c r="H50" s="2">
        <v>42</v>
      </c>
      <c r="I50" s="2" t="s">
        <v>227</v>
      </c>
      <c r="J50" s="2" t="s">
        <v>183</v>
      </c>
      <c r="K50" s="2" t="s">
        <v>183</v>
      </c>
      <c r="L50" s="2">
        <v>56</v>
      </c>
      <c r="M50" s="2" t="s">
        <v>11</v>
      </c>
      <c r="N50" s="2" t="s">
        <v>228</v>
      </c>
    </row>
    <row r="51" spans="1:14" x14ac:dyDescent="0.25">
      <c r="A51" s="2">
        <v>7110</v>
      </c>
      <c r="B51" s="2">
        <v>7601</v>
      </c>
      <c r="C51" s="2" t="s">
        <v>226</v>
      </c>
      <c r="D51" s="2">
        <v>699</v>
      </c>
      <c r="E51" s="2" t="s">
        <v>45</v>
      </c>
      <c r="F51" s="2">
        <v>213145</v>
      </c>
      <c r="G51" s="2">
        <v>22.3</v>
      </c>
      <c r="H51" s="2">
        <v>65998</v>
      </c>
      <c r="I51" s="2" t="s">
        <v>227</v>
      </c>
      <c r="J51" s="2" t="s">
        <v>183</v>
      </c>
      <c r="K51" s="2" t="s">
        <v>183</v>
      </c>
      <c r="L51" s="2">
        <v>76</v>
      </c>
      <c r="M51" s="2" t="s">
        <v>14</v>
      </c>
      <c r="N51" s="2" t="s">
        <v>228</v>
      </c>
    </row>
    <row r="52" spans="1:14" x14ac:dyDescent="0.25">
      <c r="A52" s="2">
        <v>7111</v>
      </c>
      <c r="B52" s="2">
        <v>7601</v>
      </c>
      <c r="C52" s="2" t="s">
        <v>226</v>
      </c>
      <c r="D52" s="2">
        <v>32</v>
      </c>
      <c r="E52" s="2" t="s">
        <v>2</v>
      </c>
      <c r="F52" s="2">
        <v>113125</v>
      </c>
      <c r="G52" s="2">
        <v>11.8</v>
      </c>
      <c r="H52" s="2">
        <v>36881</v>
      </c>
      <c r="I52" s="2" t="s">
        <v>227</v>
      </c>
      <c r="J52" s="2" t="s">
        <v>183</v>
      </c>
      <c r="K52" s="2" t="s">
        <v>183</v>
      </c>
      <c r="L52" s="2">
        <v>76</v>
      </c>
      <c r="M52" s="2" t="s">
        <v>14</v>
      </c>
      <c r="N52" s="2" t="s">
        <v>228</v>
      </c>
    </row>
    <row r="53" spans="1:14" x14ac:dyDescent="0.25">
      <c r="A53" s="2">
        <v>7112</v>
      </c>
      <c r="B53" s="2">
        <v>7601</v>
      </c>
      <c r="C53" s="2" t="s">
        <v>226</v>
      </c>
      <c r="D53" s="2">
        <v>682</v>
      </c>
      <c r="E53" s="2" t="s">
        <v>90</v>
      </c>
      <c r="F53" s="2">
        <v>103462</v>
      </c>
      <c r="G53" s="2">
        <v>10.8</v>
      </c>
      <c r="H53" s="2">
        <v>36352</v>
      </c>
      <c r="I53" s="2" t="s">
        <v>227</v>
      </c>
      <c r="J53" s="2" t="s">
        <v>183</v>
      </c>
      <c r="K53" s="2" t="s">
        <v>183</v>
      </c>
      <c r="L53" s="2">
        <v>76</v>
      </c>
      <c r="M53" s="2" t="s">
        <v>14</v>
      </c>
      <c r="N53" s="2" t="s">
        <v>228</v>
      </c>
    </row>
    <row r="54" spans="1:14" x14ac:dyDescent="0.25">
      <c r="A54" s="2">
        <v>7113</v>
      </c>
      <c r="B54" s="2">
        <v>7601</v>
      </c>
      <c r="C54" s="2" t="s">
        <v>226</v>
      </c>
      <c r="D54" s="2">
        <v>36</v>
      </c>
      <c r="E54" s="2" t="s">
        <v>4</v>
      </c>
      <c r="F54" s="2">
        <v>99140</v>
      </c>
      <c r="G54" s="2">
        <v>10.4</v>
      </c>
      <c r="H54" s="2">
        <v>33431</v>
      </c>
      <c r="I54" s="2" t="s">
        <v>227</v>
      </c>
      <c r="J54" s="2" t="s">
        <v>183</v>
      </c>
      <c r="K54" s="2" t="s">
        <v>183</v>
      </c>
      <c r="L54" s="2">
        <v>76</v>
      </c>
      <c r="M54" s="2" t="s">
        <v>14</v>
      </c>
      <c r="N54" s="2" t="s">
        <v>228</v>
      </c>
    </row>
    <row r="55" spans="1:14" x14ac:dyDescent="0.25">
      <c r="A55" s="2">
        <v>7114</v>
      </c>
      <c r="B55" s="2">
        <v>7601</v>
      </c>
      <c r="C55" s="2" t="s">
        <v>226</v>
      </c>
      <c r="D55" s="2">
        <v>710</v>
      </c>
      <c r="E55" s="2" t="s">
        <v>97</v>
      </c>
      <c r="F55" s="2">
        <v>87669</v>
      </c>
      <c r="G55" s="2">
        <v>9.1999999999999993</v>
      </c>
      <c r="H55" s="2">
        <v>28437</v>
      </c>
      <c r="I55" s="2" t="s">
        <v>227</v>
      </c>
      <c r="J55" s="2" t="s">
        <v>183</v>
      </c>
      <c r="K55" s="2" t="s">
        <v>183</v>
      </c>
      <c r="L55" s="2">
        <v>76</v>
      </c>
      <c r="M55" s="2" t="s">
        <v>14</v>
      </c>
      <c r="N55" s="2" t="s">
        <v>228</v>
      </c>
    </row>
    <row r="56" spans="1:14" x14ac:dyDescent="0.25">
      <c r="A56" s="2">
        <v>7115</v>
      </c>
      <c r="B56" s="2">
        <v>7601</v>
      </c>
      <c r="C56" s="2" t="s">
        <v>226</v>
      </c>
      <c r="D56" s="2">
        <v>48</v>
      </c>
      <c r="E56" s="2" t="s">
        <v>7</v>
      </c>
      <c r="F56" s="2">
        <v>79641</v>
      </c>
      <c r="G56" s="2">
        <v>8.3000000000000007</v>
      </c>
      <c r="H56" s="2">
        <v>24489</v>
      </c>
      <c r="I56" s="2" t="s">
        <v>227</v>
      </c>
      <c r="J56" s="2" t="s">
        <v>183</v>
      </c>
      <c r="K56" s="2" t="s">
        <v>183</v>
      </c>
      <c r="L56" s="2">
        <v>76</v>
      </c>
      <c r="M56" s="2" t="s">
        <v>14</v>
      </c>
      <c r="N56" s="2" t="s">
        <v>228</v>
      </c>
    </row>
    <row r="57" spans="1:14" x14ac:dyDescent="0.25">
      <c r="A57" s="2">
        <v>7116</v>
      </c>
      <c r="B57" s="2">
        <v>7601</v>
      </c>
      <c r="C57" s="2" t="s">
        <v>226</v>
      </c>
      <c r="D57" s="2">
        <v>862</v>
      </c>
      <c r="E57" s="2" t="s">
        <v>231</v>
      </c>
      <c r="F57" s="2">
        <v>72450</v>
      </c>
      <c r="G57" s="2">
        <v>7.6</v>
      </c>
      <c r="H57" s="2">
        <v>27209</v>
      </c>
      <c r="I57" s="2" t="s">
        <v>227</v>
      </c>
      <c r="J57" s="2" t="s">
        <v>183</v>
      </c>
      <c r="K57" s="2" t="s">
        <v>183</v>
      </c>
      <c r="L57" s="2">
        <v>76</v>
      </c>
      <c r="M57" s="2" t="s">
        <v>14</v>
      </c>
      <c r="N57" s="2" t="s">
        <v>228</v>
      </c>
    </row>
    <row r="58" spans="1:14" x14ac:dyDescent="0.25">
      <c r="A58" s="2">
        <v>7117</v>
      </c>
      <c r="B58" s="2">
        <v>7601</v>
      </c>
      <c r="C58" s="2" t="s">
        <v>226</v>
      </c>
      <c r="D58" s="2">
        <v>784</v>
      </c>
      <c r="E58" s="2" t="s">
        <v>109</v>
      </c>
      <c r="F58" s="2">
        <v>50334</v>
      </c>
      <c r="G58" s="2">
        <v>5.3</v>
      </c>
      <c r="H58" s="2">
        <v>16875</v>
      </c>
      <c r="I58" s="2" t="s">
        <v>227</v>
      </c>
      <c r="J58" s="2" t="s">
        <v>183</v>
      </c>
      <c r="K58" s="2" t="s">
        <v>183</v>
      </c>
      <c r="L58" s="2">
        <v>76</v>
      </c>
      <c r="M58" s="2" t="s">
        <v>14</v>
      </c>
      <c r="N58" s="2" t="s">
        <v>228</v>
      </c>
    </row>
    <row r="59" spans="1:14" x14ac:dyDescent="0.25">
      <c r="A59" s="2">
        <v>7118</v>
      </c>
      <c r="B59" s="2">
        <v>7601</v>
      </c>
      <c r="C59" s="2" t="s">
        <v>226</v>
      </c>
      <c r="D59" s="2">
        <v>360</v>
      </c>
      <c r="E59" s="2" t="s">
        <v>46</v>
      </c>
      <c r="F59" s="2">
        <v>31486</v>
      </c>
      <c r="G59" s="2">
        <v>3.3</v>
      </c>
      <c r="H59" s="2">
        <v>8497</v>
      </c>
      <c r="I59" s="2" t="s">
        <v>227</v>
      </c>
      <c r="J59" s="2" t="s">
        <v>183</v>
      </c>
      <c r="K59" s="2" t="s">
        <v>183</v>
      </c>
      <c r="L59" s="2">
        <v>76</v>
      </c>
      <c r="M59" s="2" t="s">
        <v>14</v>
      </c>
      <c r="N59" s="2" t="s">
        <v>228</v>
      </c>
    </row>
    <row r="60" spans="1:14" x14ac:dyDescent="0.25">
      <c r="A60" s="2">
        <v>7119</v>
      </c>
      <c r="B60" s="2">
        <v>7601</v>
      </c>
      <c r="C60" s="2" t="s">
        <v>226</v>
      </c>
      <c r="D60" s="2">
        <v>724</v>
      </c>
      <c r="E60" s="2" t="s">
        <v>98</v>
      </c>
      <c r="F60" s="2">
        <v>25169</v>
      </c>
      <c r="G60" s="2">
        <v>2.6</v>
      </c>
      <c r="H60" s="2">
        <v>9366</v>
      </c>
      <c r="I60" s="2" t="s">
        <v>227</v>
      </c>
      <c r="J60" s="2" t="s">
        <v>183</v>
      </c>
      <c r="K60" s="2" t="s">
        <v>183</v>
      </c>
      <c r="L60" s="2">
        <v>76</v>
      </c>
      <c r="M60" s="2" t="s">
        <v>14</v>
      </c>
      <c r="N60" s="2" t="s">
        <v>228</v>
      </c>
    </row>
    <row r="61" spans="1:14" x14ac:dyDescent="0.25">
      <c r="A61" s="2">
        <v>7120</v>
      </c>
      <c r="B61" s="2">
        <v>7601</v>
      </c>
      <c r="C61" s="2" t="s">
        <v>226</v>
      </c>
      <c r="D61" s="2">
        <v>76</v>
      </c>
      <c r="E61" s="2" t="s">
        <v>14</v>
      </c>
      <c r="F61" s="2">
        <v>20910</v>
      </c>
      <c r="G61" s="2">
        <v>2.2000000000000002</v>
      </c>
      <c r="H61" s="2">
        <v>6411</v>
      </c>
      <c r="I61" s="2" t="s">
        <v>227</v>
      </c>
      <c r="J61" s="2" t="s">
        <v>183</v>
      </c>
      <c r="K61" s="2" t="s">
        <v>183</v>
      </c>
      <c r="L61" s="2">
        <v>76</v>
      </c>
      <c r="M61" s="2" t="s">
        <v>14</v>
      </c>
      <c r="N61" s="2" t="s">
        <v>228</v>
      </c>
    </row>
    <row r="62" spans="1:14" x14ac:dyDescent="0.25">
      <c r="A62" s="2">
        <v>7121</v>
      </c>
      <c r="B62" s="2">
        <v>7601</v>
      </c>
      <c r="C62" s="2" t="s">
        <v>226</v>
      </c>
      <c r="D62" s="2">
        <v>643</v>
      </c>
      <c r="E62" s="2" t="s">
        <v>209</v>
      </c>
      <c r="F62" s="2">
        <v>19648</v>
      </c>
      <c r="G62" s="2">
        <v>2.1</v>
      </c>
      <c r="H62" s="2">
        <v>7043</v>
      </c>
      <c r="I62" s="2" t="s">
        <v>227</v>
      </c>
      <c r="J62" s="2" t="s">
        <v>183</v>
      </c>
      <c r="K62" s="2" t="s">
        <v>183</v>
      </c>
      <c r="L62" s="2">
        <v>76</v>
      </c>
      <c r="M62" s="2" t="s">
        <v>14</v>
      </c>
      <c r="N62" s="2" t="s">
        <v>228</v>
      </c>
    </row>
    <row r="63" spans="1:14" x14ac:dyDescent="0.25">
      <c r="A63" s="2">
        <v>7122</v>
      </c>
      <c r="B63" s="2">
        <v>7601</v>
      </c>
      <c r="C63" s="2" t="s">
        <v>226</v>
      </c>
      <c r="D63" s="2">
        <v>458</v>
      </c>
      <c r="E63" s="2" t="s">
        <v>66</v>
      </c>
      <c r="F63" s="2">
        <v>9422</v>
      </c>
      <c r="G63" s="2">
        <v>1</v>
      </c>
      <c r="H63" s="2">
        <v>2915</v>
      </c>
      <c r="I63" s="2" t="s">
        <v>227</v>
      </c>
      <c r="J63" s="2" t="s">
        <v>183</v>
      </c>
      <c r="K63" s="2" t="s">
        <v>183</v>
      </c>
      <c r="L63" s="2">
        <v>76</v>
      </c>
      <c r="M63" s="2" t="s">
        <v>14</v>
      </c>
      <c r="N63" s="2" t="s">
        <v>228</v>
      </c>
    </row>
    <row r="64" spans="1:14" x14ac:dyDescent="0.25">
      <c r="A64" s="2">
        <v>7123</v>
      </c>
      <c r="B64" s="2">
        <v>7601</v>
      </c>
      <c r="C64" s="2" t="s">
        <v>226</v>
      </c>
      <c r="D64" s="2">
        <v>554</v>
      </c>
      <c r="E64" s="2" t="s">
        <v>76</v>
      </c>
      <c r="F64" s="2">
        <v>8331</v>
      </c>
      <c r="G64" s="2">
        <v>0.9</v>
      </c>
      <c r="H64" s="2">
        <v>2778</v>
      </c>
      <c r="I64" s="2" t="s">
        <v>227</v>
      </c>
      <c r="J64" s="2" t="s">
        <v>183</v>
      </c>
      <c r="K64" s="2" t="s">
        <v>183</v>
      </c>
      <c r="L64" s="2">
        <v>76</v>
      </c>
      <c r="M64" s="2" t="s">
        <v>14</v>
      </c>
      <c r="N64" s="2" t="s">
        <v>228</v>
      </c>
    </row>
    <row r="65" spans="1:14" x14ac:dyDescent="0.25">
      <c r="A65" s="2">
        <v>7124</v>
      </c>
      <c r="B65" s="2">
        <v>7601</v>
      </c>
      <c r="C65" s="2" t="s">
        <v>226</v>
      </c>
      <c r="D65" s="2">
        <v>634</v>
      </c>
      <c r="E65" s="2" t="s">
        <v>88</v>
      </c>
      <c r="F65" s="2">
        <v>8263</v>
      </c>
      <c r="G65" s="2">
        <v>0.9</v>
      </c>
      <c r="H65" s="2">
        <v>2436</v>
      </c>
      <c r="I65" s="2" t="s">
        <v>227</v>
      </c>
      <c r="J65" s="2" t="s">
        <v>183</v>
      </c>
      <c r="K65" s="2" t="s">
        <v>183</v>
      </c>
      <c r="L65" s="2">
        <v>76</v>
      </c>
      <c r="M65" s="2" t="s">
        <v>14</v>
      </c>
      <c r="N65" s="2" t="s">
        <v>228</v>
      </c>
    </row>
    <row r="66" spans="1:14" x14ac:dyDescent="0.25">
      <c r="A66" s="2">
        <v>7125</v>
      </c>
      <c r="B66" s="2">
        <v>7601</v>
      </c>
      <c r="C66" s="2" t="s">
        <v>226</v>
      </c>
      <c r="D66" s="2">
        <v>704</v>
      </c>
      <c r="E66" s="2" t="s">
        <v>232</v>
      </c>
      <c r="F66" s="2">
        <v>6835</v>
      </c>
      <c r="G66" s="2">
        <v>0.7</v>
      </c>
      <c r="H66" s="2">
        <v>2389</v>
      </c>
      <c r="I66" s="2" t="s">
        <v>227</v>
      </c>
      <c r="J66" s="2" t="s">
        <v>183</v>
      </c>
      <c r="K66" s="2" t="s">
        <v>183</v>
      </c>
      <c r="L66" s="2">
        <v>76</v>
      </c>
      <c r="M66" s="2" t="s">
        <v>14</v>
      </c>
      <c r="N66" s="2" t="s">
        <v>228</v>
      </c>
    </row>
    <row r="67" spans="1:14" x14ac:dyDescent="0.25">
      <c r="A67" s="2">
        <v>7126</v>
      </c>
      <c r="B67" s="2">
        <v>7601</v>
      </c>
      <c r="C67" s="2" t="s">
        <v>226</v>
      </c>
      <c r="D67" s="2">
        <v>842</v>
      </c>
      <c r="E67" s="2" t="s">
        <v>229</v>
      </c>
      <c r="F67" s="2">
        <v>1206</v>
      </c>
      <c r="G67" s="2">
        <v>0.1</v>
      </c>
      <c r="H67" s="2">
        <v>197</v>
      </c>
      <c r="I67" s="2" t="s">
        <v>227</v>
      </c>
      <c r="J67" s="2" t="s">
        <v>183</v>
      </c>
      <c r="K67" s="2" t="s">
        <v>183</v>
      </c>
      <c r="L67" s="2">
        <v>76</v>
      </c>
      <c r="M67" s="2" t="s">
        <v>14</v>
      </c>
      <c r="N67" s="2" t="s">
        <v>228</v>
      </c>
    </row>
    <row r="68" spans="1:14" x14ac:dyDescent="0.25">
      <c r="A68" s="2">
        <v>7127</v>
      </c>
      <c r="B68" s="2">
        <v>7601</v>
      </c>
      <c r="C68" s="2" t="s">
        <v>226</v>
      </c>
      <c r="D68" s="2">
        <v>156</v>
      </c>
      <c r="E68" s="2" t="s">
        <v>18</v>
      </c>
      <c r="F68" s="2">
        <v>766</v>
      </c>
      <c r="G68" s="2">
        <v>0.1</v>
      </c>
      <c r="H68" s="2">
        <v>154</v>
      </c>
      <c r="I68" s="2" t="s">
        <v>227</v>
      </c>
      <c r="J68" s="2" t="s">
        <v>183</v>
      </c>
      <c r="K68" s="2" t="s">
        <v>183</v>
      </c>
      <c r="L68" s="2">
        <v>76</v>
      </c>
      <c r="M68" s="2" t="s">
        <v>14</v>
      </c>
      <c r="N68" s="2" t="s">
        <v>228</v>
      </c>
    </row>
    <row r="69" spans="1:14" x14ac:dyDescent="0.25">
      <c r="A69" s="2">
        <v>7128</v>
      </c>
      <c r="B69" s="2">
        <v>7601</v>
      </c>
      <c r="C69" s="2" t="s">
        <v>226</v>
      </c>
      <c r="D69" s="2">
        <v>233</v>
      </c>
      <c r="E69" s="2" t="s">
        <v>30</v>
      </c>
      <c r="F69" s="2">
        <v>697</v>
      </c>
      <c r="G69" s="2">
        <v>0.1</v>
      </c>
      <c r="H69" s="2">
        <v>170</v>
      </c>
      <c r="I69" s="2" t="s">
        <v>227</v>
      </c>
      <c r="J69" s="2" t="s">
        <v>183</v>
      </c>
      <c r="K69" s="2" t="s">
        <v>183</v>
      </c>
      <c r="L69" s="2">
        <v>76</v>
      </c>
      <c r="M69" s="2" t="s">
        <v>14</v>
      </c>
      <c r="N69" s="2" t="s">
        <v>228</v>
      </c>
    </row>
    <row r="70" spans="1:14" x14ac:dyDescent="0.25">
      <c r="A70" s="2">
        <v>7129</v>
      </c>
      <c r="B70" s="2">
        <v>7601</v>
      </c>
      <c r="C70" s="2" t="s">
        <v>226</v>
      </c>
      <c r="D70" s="2">
        <v>410</v>
      </c>
      <c r="E70" s="2" t="s">
        <v>230</v>
      </c>
      <c r="F70" s="2">
        <v>673</v>
      </c>
      <c r="G70" s="2">
        <v>0.1</v>
      </c>
      <c r="H70" s="2">
        <v>177</v>
      </c>
      <c r="I70" s="2" t="s">
        <v>227</v>
      </c>
      <c r="J70" s="2" t="s">
        <v>183</v>
      </c>
      <c r="K70" s="2" t="s">
        <v>183</v>
      </c>
      <c r="L70" s="2">
        <v>76</v>
      </c>
      <c r="M70" s="2" t="s">
        <v>14</v>
      </c>
      <c r="N70" s="2" t="s">
        <v>228</v>
      </c>
    </row>
    <row r="71" spans="1:14" x14ac:dyDescent="0.25">
      <c r="A71" s="2">
        <v>7130</v>
      </c>
      <c r="B71" s="2">
        <v>7601</v>
      </c>
      <c r="C71" s="2" t="s">
        <v>226</v>
      </c>
      <c r="D71" s="2">
        <v>792</v>
      </c>
      <c r="E71" s="2" t="s">
        <v>107</v>
      </c>
      <c r="F71" s="2">
        <v>610</v>
      </c>
      <c r="G71" s="2">
        <v>0.1</v>
      </c>
      <c r="H71" s="2">
        <v>187</v>
      </c>
      <c r="I71" s="2" t="s">
        <v>227</v>
      </c>
      <c r="J71" s="2" t="s">
        <v>183</v>
      </c>
      <c r="K71" s="2" t="s">
        <v>183</v>
      </c>
      <c r="L71" s="2">
        <v>76</v>
      </c>
      <c r="M71" s="2" t="s">
        <v>14</v>
      </c>
      <c r="N71" s="2" t="s">
        <v>228</v>
      </c>
    </row>
    <row r="72" spans="1:14" x14ac:dyDescent="0.25">
      <c r="A72" s="2">
        <v>7131</v>
      </c>
      <c r="B72" s="2">
        <v>7601</v>
      </c>
      <c r="C72" s="2" t="s">
        <v>226</v>
      </c>
      <c r="D72" s="2">
        <v>826</v>
      </c>
      <c r="E72" s="2" t="s">
        <v>110</v>
      </c>
      <c r="F72" s="2">
        <v>540</v>
      </c>
      <c r="G72" s="2">
        <v>0.1</v>
      </c>
      <c r="H72" s="2">
        <v>79</v>
      </c>
      <c r="I72" s="2" t="s">
        <v>227</v>
      </c>
      <c r="J72" s="2" t="s">
        <v>183</v>
      </c>
      <c r="K72" s="2" t="s">
        <v>183</v>
      </c>
      <c r="L72" s="2">
        <v>76</v>
      </c>
      <c r="M72" s="2" t="s">
        <v>14</v>
      </c>
      <c r="N72" s="2" t="s">
        <v>228</v>
      </c>
    </row>
    <row r="73" spans="1:14" x14ac:dyDescent="0.25">
      <c r="A73" s="2">
        <v>7132</v>
      </c>
      <c r="B73" s="2">
        <v>7601</v>
      </c>
      <c r="C73" s="2" t="s">
        <v>226</v>
      </c>
      <c r="D73" s="2">
        <v>158</v>
      </c>
      <c r="E73" s="2" t="s">
        <v>233</v>
      </c>
      <c r="F73" s="2">
        <v>475</v>
      </c>
      <c r="G73" s="2">
        <v>0</v>
      </c>
      <c r="H73" s="2">
        <v>149</v>
      </c>
      <c r="I73" s="2" t="s">
        <v>227</v>
      </c>
      <c r="J73" s="2" t="s">
        <v>183</v>
      </c>
      <c r="K73" s="2" t="s">
        <v>183</v>
      </c>
      <c r="L73" s="2">
        <v>76</v>
      </c>
      <c r="M73" s="2" t="s">
        <v>14</v>
      </c>
      <c r="N73" s="2" t="s">
        <v>228</v>
      </c>
    </row>
    <row r="74" spans="1:14" x14ac:dyDescent="0.25">
      <c r="A74" s="2">
        <v>7133</v>
      </c>
      <c r="B74" s="2">
        <v>7601</v>
      </c>
      <c r="C74" s="2" t="s">
        <v>226</v>
      </c>
      <c r="D74" s="2">
        <v>818</v>
      </c>
      <c r="E74" s="2" t="s">
        <v>28</v>
      </c>
      <c r="F74" s="2">
        <v>285</v>
      </c>
      <c r="G74" s="2">
        <v>0</v>
      </c>
      <c r="H74" s="2">
        <v>84</v>
      </c>
      <c r="I74" s="2" t="s">
        <v>227</v>
      </c>
      <c r="J74" s="2" t="s">
        <v>183</v>
      </c>
      <c r="K74" s="2" t="s">
        <v>183</v>
      </c>
      <c r="L74" s="2">
        <v>76</v>
      </c>
      <c r="M74" s="2" t="s">
        <v>14</v>
      </c>
      <c r="N74" s="2" t="s">
        <v>228</v>
      </c>
    </row>
    <row r="75" spans="1:14" x14ac:dyDescent="0.25">
      <c r="A75" s="2">
        <v>7134</v>
      </c>
      <c r="B75" s="2">
        <v>7601</v>
      </c>
      <c r="C75" s="2" t="s">
        <v>226</v>
      </c>
      <c r="D75" s="2">
        <v>643</v>
      </c>
      <c r="E75" s="2" t="s">
        <v>209</v>
      </c>
      <c r="F75" s="2">
        <v>1329527</v>
      </c>
      <c r="G75" s="2">
        <v>27.7</v>
      </c>
      <c r="H75" s="2">
        <v>519178</v>
      </c>
      <c r="I75" s="2" t="s">
        <v>227</v>
      </c>
      <c r="J75" s="2" t="s">
        <v>183</v>
      </c>
      <c r="K75" s="2" t="s">
        <v>183</v>
      </c>
      <c r="L75" s="2">
        <v>156</v>
      </c>
      <c r="M75" s="2" t="s">
        <v>18</v>
      </c>
      <c r="N75" s="2" t="s">
        <v>228</v>
      </c>
    </row>
    <row r="76" spans="1:14" x14ac:dyDescent="0.25">
      <c r="A76" s="2">
        <v>7135</v>
      </c>
      <c r="B76" s="2">
        <v>7601</v>
      </c>
      <c r="C76" s="2" t="s">
        <v>226</v>
      </c>
      <c r="D76" s="2">
        <v>458</v>
      </c>
      <c r="E76" s="2" t="s">
        <v>66</v>
      </c>
      <c r="F76" s="2">
        <v>988108</v>
      </c>
      <c r="G76" s="2">
        <v>20.6</v>
      </c>
      <c r="H76" s="2">
        <v>409109</v>
      </c>
      <c r="I76" s="2" t="s">
        <v>227</v>
      </c>
      <c r="J76" s="2" t="s">
        <v>183</v>
      </c>
      <c r="K76" s="2" t="s">
        <v>183</v>
      </c>
      <c r="L76" s="2">
        <v>156</v>
      </c>
      <c r="M76" s="2" t="s">
        <v>18</v>
      </c>
      <c r="N76" s="2" t="s">
        <v>228</v>
      </c>
    </row>
    <row r="77" spans="1:14" x14ac:dyDescent="0.25">
      <c r="A77" s="2">
        <v>7136</v>
      </c>
      <c r="B77" s="2">
        <v>7601</v>
      </c>
      <c r="C77" s="2" t="s">
        <v>226</v>
      </c>
      <c r="D77" s="2">
        <v>699</v>
      </c>
      <c r="E77" s="2" t="s">
        <v>45</v>
      </c>
      <c r="F77" s="2">
        <v>386368</v>
      </c>
      <c r="G77" s="2">
        <v>8</v>
      </c>
      <c r="H77" s="2">
        <v>151390</v>
      </c>
      <c r="I77" s="2" t="s">
        <v>227</v>
      </c>
      <c r="J77" s="2" t="s">
        <v>183</v>
      </c>
      <c r="K77" s="2" t="s">
        <v>183</v>
      </c>
      <c r="L77" s="2">
        <v>156</v>
      </c>
      <c r="M77" s="2" t="s">
        <v>18</v>
      </c>
      <c r="N77" s="2" t="s">
        <v>228</v>
      </c>
    </row>
    <row r="78" spans="1:14" x14ac:dyDescent="0.25">
      <c r="A78" s="2">
        <v>7137</v>
      </c>
      <c r="B78" s="2">
        <v>7601</v>
      </c>
      <c r="C78" s="2" t="s">
        <v>226</v>
      </c>
      <c r="D78" s="2">
        <v>410</v>
      </c>
      <c r="E78" s="2" t="s">
        <v>230</v>
      </c>
      <c r="F78" s="2">
        <v>305343</v>
      </c>
      <c r="G78" s="2">
        <v>6.4</v>
      </c>
      <c r="H78" s="2">
        <v>122627</v>
      </c>
      <c r="I78" s="2" t="s">
        <v>227</v>
      </c>
      <c r="J78" s="2" t="s">
        <v>183</v>
      </c>
      <c r="K78" s="2" t="s">
        <v>183</v>
      </c>
      <c r="L78" s="2">
        <v>156</v>
      </c>
      <c r="M78" s="2" t="s">
        <v>18</v>
      </c>
      <c r="N78" s="2" t="s">
        <v>228</v>
      </c>
    </row>
    <row r="79" spans="1:14" x14ac:dyDescent="0.25">
      <c r="A79" s="2">
        <v>7138</v>
      </c>
      <c r="B79" s="2">
        <v>7601</v>
      </c>
      <c r="C79" s="2" t="s">
        <v>226</v>
      </c>
      <c r="D79" s="2">
        <v>764</v>
      </c>
      <c r="E79" s="2" t="s">
        <v>103</v>
      </c>
      <c r="F79" s="2">
        <v>244969</v>
      </c>
      <c r="G79" s="2">
        <v>5.0999999999999996</v>
      </c>
      <c r="H79" s="2">
        <v>108633</v>
      </c>
      <c r="I79" s="2" t="s">
        <v>227</v>
      </c>
      <c r="J79" s="2" t="s">
        <v>183</v>
      </c>
      <c r="K79" s="2" t="s">
        <v>183</v>
      </c>
      <c r="L79" s="2">
        <v>156</v>
      </c>
      <c r="M79" s="2" t="s">
        <v>18</v>
      </c>
      <c r="N79" s="2" t="s">
        <v>228</v>
      </c>
    </row>
    <row r="80" spans="1:14" x14ac:dyDescent="0.25">
      <c r="A80" s="2">
        <v>7139</v>
      </c>
      <c r="B80" s="2">
        <v>7601</v>
      </c>
      <c r="C80" s="2" t="s">
        <v>226</v>
      </c>
      <c r="D80" s="2">
        <v>704</v>
      </c>
      <c r="E80" s="2" t="s">
        <v>232</v>
      </c>
      <c r="F80" s="2">
        <v>217521</v>
      </c>
      <c r="G80" s="2">
        <v>4.5</v>
      </c>
      <c r="H80" s="2">
        <v>97045</v>
      </c>
      <c r="I80" s="2" t="s">
        <v>227</v>
      </c>
      <c r="J80" s="2" t="s">
        <v>183</v>
      </c>
      <c r="K80" s="2" t="s">
        <v>183</v>
      </c>
      <c r="L80" s="2">
        <v>156</v>
      </c>
      <c r="M80" s="2" t="s">
        <v>18</v>
      </c>
      <c r="N80" s="2" t="s">
        <v>228</v>
      </c>
    </row>
    <row r="81" spans="1:14" x14ac:dyDescent="0.25">
      <c r="A81" s="2">
        <v>7140</v>
      </c>
      <c r="B81" s="2">
        <v>7601</v>
      </c>
      <c r="C81" s="2" t="s">
        <v>226</v>
      </c>
      <c r="D81" s="2">
        <v>364</v>
      </c>
      <c r="E81" s="2" t="s">
        <v>234</v>
      </c>
      <c r="F81" s="2">
        <v>133811</v>
      </c>
      <c r="G81" s="2">
        <v>2.8</v>
      </c>
      <c r="H81" s="2">
        <v>57828</v>
      </c>
      <c r="I81" s="2" t="s">
        <v>227</v>
      </c>
      <c r="J81" s="2" t="s">
        <v>183</v>
      </c>
      <c r="K81" s="2" t="s">
        <v>183</v>
      </c>
      <c r="L81" s="2">
        <v>156</v>
      </c>
      <c r="M81" s="2" t="s">
        <v>18</v>
      </c>
      <c r="N81" s="2" t="s">
        <v>228</v>
      </c>
    </row>
    <row r="82" spans="1:14" x14ac:dyDescent="0.25">
      <c r="A82" s="2">
        <v>7141</v>
      </c>
      <c r="B82" s="2">
        <v>7601</v>
      </c>
      <c r="C82" s="2" t="s">
        <v>226</v>
      </c>
      <c r="D82" s="2">
        <v>784</v>
      </c>
      <c r="E82" s="2" t="s">
        <v>109</v>
      </c>
      <c r="F82" s="2">
        <v>111564</v>
      </c>
      <c r="G82" s="2">
        <v>2.2999999999999998</v>
      </c>
      <c r="H82" s="2">
        <v>40543</v>
      </c>
      <c r="I82" s="2" t="s">
        <v>227</v>
      </c>
      <c r="J82" s="2" t="s">
        <v>183</v>
      </c>
      <c r="K82" s="2" t="s">
        <v>183</v>
      </c>
      <c r="L82" s="2">
        <v>156</v>
      </c>
      <c r="M82" s="2" t="s">
        <v>18</v>
      </c>
      <c r="N82" s="2" t="s">
        <v>228</v>
      </c>
    </row>
    <row r="83" spans="1:14" x14ac:dyDescent="0.25">
      <c r="A83" s="2">
        <v>7142</v>
      </c>
      <c r="B83" s="2">
        <v>7601</v>
      </c>
      <c r="C83" s="2" t="s">
        <v>226</v>
      </c>
      <c r="D83" s="2">
        <v>586</v>
      </c>
      <c r="E83" s="2" t="s">
        <v>81</v>
      </c>
      <c r="F83" s="2">
        <v>89723</v>
      </c>
      <c r="G83" s="2">
        <v>1.9</v>
      </c>
      <c r="H83" s="2">
        <v>36433</v>
      </c>
      <c r="I83" s="2" t="s">
        <v>227</v>
      </c>
      <c r="J83" s="2" t="s">
        <v>183</v>
      </c>
      <c r="K83" s="2" t="s">
        <v>183</v>
      </c>
      <c r="L83" s="2">
        <v>156</v>
      </c>
      <c r="M83" s="2" t="s">
        <v>18</v>
      </c>
      <c r="N83" s="2" t="s">
        <v>228</v>
      </c>
    </row>
    <row r="84" spans="1:14" x14ac:dyDescent="0.25">
      <c r="A84" s="2">
        <v>7143</v>
      </c>
      <c r="B84" s="2">
        <v>7601</v>
      </c>
      <c r="C84" s="2" t="s">
        <v>226</v>
      </c>
      <c r="D84" s="2">
        <v>36</v>
      </c>
      <c r="E84" s="2" t="s">
        <v>4</v>
      </c>
      <c r="F84" s="2">
        <v>82049</v>
      </c>
      <c r="G84" s="2">
        <v>1.7</v>
      </c>
      <c r="H84" s="2">
        <v>28233</v>
      </c>
      <c r="I84" s="2" t="s">
        <v>227</v>
      </c>
      <c r="J84" s="2" t="s">
        <v>183</v>
      </c>
      <c r="K84" s="2" t="s">
        <v>183</v>
      </c>
      <c r="L84" s="2">
        <v>156</v>
      </c>
      <c r="M84" s="2" t="s">
        <v>18</v>
      </c>
      <c r="N84" s="2" t="s">
        <v>228</v>
      </c>
    </row>
    <row r="85" spans="1:14" x14ac:dyDescent="0.25">
      <c r="A85" s="2">
        <v>7144</v>
      </c>
      <c r="B85" s="2">
        <v>7601</v>
      </c>
      <c r="C85" s="2" t="s">
        <v>226</v>
      </c>
      <c r="D85" s="2">
        <v>360</v>
      </c>
      <c r="E85" s="2" t="s">
        <v>46</v>
      </c>
      <c r="F85" s="2">
        <v>81903</v>
      </c>
      <c r="G85" s="2">
        <v>1.7</v>
      </c>
      <c r="H85" s="2">
        <v>34788</v>
      </c>
      <c r="I85" s="2" t="s">
        <v>227</v>
      </c>
      <c r="J85" s="2" t="s">
        <v>183</v>
      </c>
      <c r="K85" s="2" t="s">
        <v>183</v>
      </c>
      <c r="L85" s="2">
        <v>156</v>
      </c>
      <c r="M85" s="2" t="s">
        <v>18</v>
      </c>
      <c r="N85" s="2" t="s">
        <v>228</v>
      </c>
    </row>
    <row r="86" spans="1:14" x14ac:dyDescent="0.25">
      <c r="A86" s="2">
        <v>7145</v>
      </c>
      <c r="B86" s="2">
        <v>7601</v>
      </c>
      <c r="C86" s="2" t="s">
        <v>226</v>
      </c>
      <c r="D86" s="2">
        <v>566</v>
      </c>
      <c r="E86" s="2" t="s">
        <v>78</v>
      </c>
      <c r="F86" s="2">
        <v>81373</v>
      </c>
      <c r="G86" s="2">
        <v>1.7</v>
      </c>
      <c r="H86" s="2">
        <v>35283</v>
      </c>
      <c r="I86" s="2" t="s">
        <v>227</v>
      </c>
      <c r="J86" s="2" t="s">
        <v>183</v>
      </c>
      <c r="K86" s="2" t="s">
        <v>183</v>
      </c>
      <c r="L86" s="2">
        <v>156</v>
      </c>
      <c r="M86" s="2" t="s">
        <v>18</v>
      </c>
      <c r="N86" s="2" t="s">
        <v>228</v>
      </c>
    </row>
    <row r="87" spans="1:14" x14ac:dyDescent="0.25">
      <c r="A87" s="2">
        <v>7146</v>
      </c>
      <c r="B87" s="2">
        <v>7601</v>
      </c>
      <c r="C87" s="2" t="s">
        <v>226</v>
      </c>
      <c r="D87" s="2">
        <v>344</v>
      </c>
      <c r="E87" s="2" t="s">
        <v>42</v>
      </c>
      <c r="F87" s="2">
        <v>72442</v>
      </c>
      <c r="G87" s="2">
        <v>1.5</v>
      </c>
      <c r="H87" s="2">
        <v>28668</v>
      </c>
      <c r="I87" s="2" t="s">
        <v>227</v>
      </c>
      <c r="J87" s="2" t="s">
        <v>183</v>
      </c>
      <c r="K87" s="2" t="s">
        <v>183</v>
      </c>
      <c r="L87" s="2">
        <v>156</v>
      </c>
      <c r="M87" s="2" t="s">
        <v>18</v>
      </c>
      <c r="N87" s="2" t="s">
        <v>228</v>
      </c>
    </row>
    <row r="88" spans="1:14" x14ac:dyDescent="0.25">
      <c r="A88" s="2">
        <v>7147</v>
      </c>
      <c r="B88" s="2">
        <v>7601</v>
      </c>
      <c r="C88" s="2" t="s">
        <v>226</v>
      </c>
      <c r="D88" s="2">
        <v>48</v>
      </c>
      <c r="E88" s="2" t="s">
        <v>7</v>
      </c>
      <c r="F88" s="2">
        <v>61927</v>
      </c>
      <c r="G88" s="2">
        <v>1.3</v>
      </c>
      <c r="H88" s="2">
        <v>22929</v>
      </c>
      <c r="I88" s="2" t="s">
        <v>227</v>
      </c>
      <c r="J88" s="2" t="s">
        <v>183</v>
      </c>
      <c r="K88" s="2" t="s">
        <v>183</v>
      </c>
      <c r="L88" s="2">
        <v>156</v>
      </c>
      <c r="M88" s="2" t="s">
        <v>18</v>
      </c>
      <c r="N88" s="2" t="s">
        <v>228</v>
      </c>
    </row>
    <row r="89" spans="1:14" x14ac:dyDescent="0.25">
      <c r="A89" s="2">
        <v>7148</v>
      </c>
      <c r="B89" s="2">
        <v>7601</v>
      </c>
      <c r="C89" s="2" t="s">
        <v>226</v>
      </c>
      <c r="D89" s="2">
        <v>158</v>
      </c>
      <c r="E89" s="2" t="s">
        <v>233</v>
      </c>
      <c r="F89" s="2">
        <v>46252</v>
      </c>
      <c r="G89" s="2">
        <v>1</v>
      </c>
      <c r="H89" s="2">
        <v>19207</v>
      </c>
      <c r="I89" s="2" t="s">
        <v>227</v>
      </c>
      <c r="J89" s="2" t="s">
        <v>183</v>
      </c>
      <c r="K89" s="2" t="s">
        <v>183</v>
      </c>
      <c r="L89" s="2">
        <v>156</v>
      </c>
      <c r="M89" s="2" t="s">
        <v>18</v>
      </c>
      <c r="N89" s="2" t="s">
        <v>228</v>
      </c>
    </row>
    <row r="90" spans="1:14" x14ac:dyDescent="0.25">
      <c r="A90" s="2">
        <v>7149</v>
      </c>
      <c r="B90" s="2">
        <v>7601</v>
      </c>
      <c r="C90" s="2" t="s">
        <v>226</v>
      </c>
      <c r="D90" s="2">
        <v>104</v>
      </c>
      <c r="E90" s="2" t="s">
        <v>74</v>
      </c>
      <c r="F90" s="2">
        <v>46111</v>
      </c>
      <c r="G90" s="2">
        <v>1</v>
      </c>
      <c r="H90" s="2">
        <v>20498</v>
      </c>
      <c r="I90" s="2" t="s">
        <v>227</v>
      </c>
      <c r="J90" s="2" t="s">
        <v>183</v>
      </c>
      <c r="K90" s="2" t="s">
        <v>183</v>
      </c>
      <c r="L90" s="2">
        <v>156</v>
      </c>
      <c r="M90" s="2" t="s">
        <v>18</v>
      </c>
      <c r="N90" s="2" t="s">
        <v>228</v>
      </c>
    </row>
    <row r="91" spans="1:14" x14ac:dyDescent="0.25">
      <c r="A91" s="2">
        <v>7150</v>
      </c>
      <c r="B91" s="2">
        <v>7601</v>
      </c>
      <c r="C91" s="2" t="s">
        <v>226</v>
      </c>
      <c r="D91" s="2">
        <v>710</v>
      </c>
      <c r="E91" s="2" t="s">
        <v>97</v>
      </c>
      <c r="F91" s="2">
        <v>34281</v>
      </c>
      <c r="G91" s="2">
        <v>0.7</v>
      </c>
      <c r="H91" s="2">
        <v>15289</v>
      </c>
      <c r="I91" s="2" t="s">
        <v>227</v>
      </c>
      <c r="J91" s="2" t="s">
        <v>183</v>
      </c>
      <c r="K91" s="2" t="s">
        <v>183</v>
      </c>
      <c r="L91" s="2">
        <v>156</v>
      </c>
      <c r="M91" s="2" t="s">
        <v>18</v>
      </c>
      <c r="N91" s="2" t="s">
        <v>228</v>
      </c>
    </row>
    <row r="92" spans="1:14" x14ac:dyDescent="0.25">
      <c r="A92" s="2">
        <v>7151</v>
      </c>
      <c r="B92" s="2">
        <v>7601</v>
      </c>
      <c r="C92" s="2" t="s">
        <v>226</v>
      </c>
      <c r="D92" s="2">
        <v>862</v>
      </c>
      <c r="E92" s="2" t="s">
        <v>231</v>
      </c>
      <c r="F92" s="2">
        <v>33112</v>
      </c>
      <c r="G92" s="2">
        <v>0.7</v>
      </c>
      <c r="H92" s="2">
        <v>14450</v>
      </c>
      <c r="I92" s="2" t="s">
        <v>227</v>
      </c>
      <c r="J92" s="2" t="s">
        <v>183</v>
      </c>
      <c r="K92" s="2" t="s">
        <v>183</v>
      </c>
      <c r="L92" s="2">
        <v>156</v>
      </c>
      <c r="M92" s="2" t="s">
        <v>18</v>
      </c>
      <c r="N92" s="2" t="s">
        <v>228</v>
      </c>
    </row>
    <row r="93" spans="1:14" x14ac:dyDescent="0.25">
      <c r="A93" s="2">
        <v>7152</v>
      </c>
      <c r="B93" s="2">
        <v>7601</v>
      </c>
      <c r="C93" s="2" t="s">
        <v>226</v>
      </c>
      <c r="D93" s="2">
        <v>381</v>
      </c>
      <c r="E93" s="2" t="s">
        <v>50</v>
      </c>
      <c r="F93" s="2">
        <v>30862</v>
      </c>
      <c r="G93" s="2">
        <v>0.6</v>
      </c>
      <c r="H93" s="2">
        <v>12233</v>
      </c>
      <c r="I93" s="2" t="s">
        <v>227</v>
      </c>
      <c r="J93" s="2" t="s">
        <v>183</v>
      </c>
      <c r="K93" s="2" t="s">
        <v>183</v>
      </c>
      <c r="L93" s="2">
        <v>156</v>
      </c>
      <c r="M93" s="2" t="s">
        <v>18</v>
      </c>
      <c r="N93" s="2" t="s">
        <v>228</v>
      </c>
    </row>
    <row r="94" spans="1:14" x14ac:dyDescent="0.25">
      <c r="A94" s="2">
        <v>7502</v>
      </c>
      <c r="B94" s="2">
        <v>7601</v>
      </c>
      <c r="C94" s="2" t="s">
        <v>226</v>
      </c>
      <c r="D94" s="2">
        <v>699</v>
      </c>
      <c r="E94" s="2" t="s">
        <v>45</v>
      </c>
      <c r="F94" s="2">
        <v>1591623</v>
      </c>
      <c r="G94" s="2">
        <v>35.299999999999997</v>
      </c>
      <c r="H94" s="2">
        <v>539240</v>
      </c>
      <c r="I94" s="2" t="s">
        <v>227</v>
      </c>
      <c r="J94" s="2" t="s">
        <v>183</v>
      </c>
      <c r="K94" s="2" t="s">
        <v>183</v>
      </c>
      <c r="L94" s="2">
        <v>410</v>
      </c>
      <c r="M94" s="2" t="s">
        <v>230</v>
      </c>
      <c r="N94" s="2" t="s">
        <v>228</v>
      </c>
    </row>
    <row r="95" spans="1:14" x14ac:dyDescent="0.25">
      <c r="A95" s="2">
        <v>7154</v>
      </c>
      <c r="B95" s="2">
        <v>7601</v>
      </c>
      <c r="C95" s="2" t="s">
        <v>226</v>
      </c>
      <c r="D95" s="2">
        <v>50</v>
      </c>
      <c r="E95" s="2" t="s">
        <v>8</v>
      </c>
      <c r="F95" s="2">
        <v>25994</v>
      </c>
      <c r="G95" s="2">
        <v>0.5</v>
      </c>
      <c r="H95" s="2">
        <v>12542</v>
      </c>
      <c r="I95" s="2" t="s">
        <v>227</v>
      </c>
      <c r="J95" s="2" t="s">
        <v>183</v>
      </c>
      <c r="K95" s="2" t="s">
        <v>183</v>
      </c>
      <c r="L95" s="2">
        <v>156</v>
      </c>
      <c r="M95" s="2" t="s">
        <v>18</v>
      </c>
      <c r="N95" s="2" t="s">
        <v>228</v>
      </c>
    </row>
    <row r="96" spans="1:14" x14ac:dyDescent="0.25">
      <c r="A96" s="2">
        <v>7155</v>
      </c>
      <c r="B96" s="2">
        <v>7601</v>
      </c>
      <c r="C96" s="2" t="s">
        <v>226</v>
      </c>
      <c r="D96" s="2">
        <v>116</v>
      </c>
      <c r="E96" s="2" t="s">
        <v>126</v>
      </c>
      <c r="F96" s="2">
        <v>25629</v>
      </c>
      <c r="G96" s="2">
        <v>0.5</v>
      </c>
      <c r="H96" s="2">
        <v>11354</v>
      </c>
      <c r="I96" s="2" t="s">
        <v>227</v>
      </c>
      <c r="J96" s="2" t="s">
        <v>183</v>
      </c>
      <c r="K96" s="2" t="s">
        <v>183</v>
      </c>
      <c r="L96" s="2">
        <v>156</v>
      </c>
      <c r="M96" s="2" t="s">
        <v>18</v>
      </c>
      <c r="N96" s="2" t="s">
        <v>228</v>
      </c>
    </row>
    <row r="97" spans="1:14" x14ac:dyDescent="0.25">
      <c r="A97" s="2">
        <v>7156</v>
      </c>
      <c r="B97" s="2">
        <v>7601</v>
      </c>
      <c r="C97" s="2" t="s">
        <v>226</v>
      </c>
      <c r="D97" s="2">
        <v>512</v>
      </c>
      <c r="E97" s="2" t="s">
        <v>80</v>
      </c>
      <c r="F97" s="2">
        <v>24737</v>
      </c>
      <c r="G97" s="2">
        <v>0.5</v>
      </c>
      <c r="H97" s="2">
        <v>8005</v>
      </c>
      <c r="I97" s="2" t="s">
        <v>227</v>
      </c>
      <c r="J97" s="2" t="s">
        <v>183</v>
      </c>
      <c r="K97" s="2" t="s">
        <v>183</v>
      </c>
      <c r="L97" s="2">
        <v>156</v>
      </c>
      <c r="M97" s="2" t="s">
        <v>18</v>
      </c>
      <c r="N97" s="2" t="s">
        <v>228</v>
      </c>
    </row>
    <row r="98" spans="1:14" x14ac:dyDescent="0.25">
      <c r="A98" s="2">
        <v>7157</v>
      </c>
      <c r="B98" s="2">
        <v>7601</v>
      </c>
      <c r="C98" s="2" t="s">
        <v>226</v>
      </c>
      <c r="D98" s="2">
        <v>24</v>
      </c>
      <c r="E98" s="2" t="s">
        <v>1</v>
      </c>
      <c r="F98" s="2">
        <v>23620</v>
      </c>
      <c r="G98" s="2">
        <v>0.5</v>
      </c>
      <c r="H98" s="2">
        <v>10112</v>
      </c>
      <c r="I98" s="2" t="s">
        <v>227</v>
      </c>
      <c r="J98" s="2" t="s">
        <v>183</v>
      </c>
      <c r="K98" s="2" t="s">
        <v>183</v>
      </c>
      <c r="L98" s="2">
        <v>156</v>
      </c>
      <c r="M98" s="2" t="s">
        <v>18</v>
      </c>
      <c r="N98" s="2" t="s">
        <v>228</v>
      </c>
    </row>
    <row r="99" spans="1:14" x14ac:dyDescent="0.25">
      <c r="A99" s="2">
        <v>7158</v>
      </c>
      <c r="B99" s="2">
        <v>7601</v>
      </c>
      <c r="C99" s="2" t="s">
        <v>226</v>
      </c>
      <c r="D99" s="2">
        <v>352</v>
      </c>
      <c r="E99" s="2" t="s">
        <v>44</v>
      </c>
      <c r="F99" s="2">
        <v>121207</v>
      </c>
      <c r="G99" s="2">
        <v>13.6</v>
      </c>
      <c r="H99" s="2">
        <v>34987</v>
      </c>
      <c r="I99" s="2" t="s">
        <v>227</v>
      </c>
      <c r="J99" s="2" t="s">
        <v>183</v>
      </c>
      <c r="K99" s="2" t="s">
        <v>183</v>
      </c>
      <c r="L99" s="2">
        <v>203</v>
      </c>
      <c r="M99" s="2" t="s">
        <v>211</v>
      </c>
      <c r="N99" s="2" t="s">
        <v>228</v>
      </c>
    </row>
    <row r="100" spans="1:14" x14ac:dyDescent="0.25">
      <c r="A100" s="2">
        <v>7159</v>
      </c>
      <c r="B100" s="2">
        <v>7601</v>
      </c>
      <c r="C100" s="2" t="s">
        <v>226</v>
      </c>
      <c r="D100" s="2">
        <v>616</v>
      </c>
      <c r="E100" s="2" t="s">
        <v>86</v>
      </c>
      <c r="F100" s="2">
        <v>111087</v>
      </c>
      <c r="G100" s="2">
        <v>12.5</v>
      </c>
      <c r="H100" s="2">
        <v>41426</v>
      </c>
      <c r="I100" s="2" t="s">
        <v>227</v>
      </c>
      <c r="J100" s="2" t="s">
        <v>183</v>
      </c>
      <c r="K100" s="2" t="s">
        <v>183</v>
      </c>
      <c r="L100" s="2">
        <v>203</v>
      </c>
      <c r="M100" s="2" t="s">
        <v>211</v>
      </c>
      <c r="N100" s="2" t="s">
        <v>228</v>
      </c>
    </row>
    <row r="101" spans="1:14" x14ac:dyDescent="0.25">
      <c r="A101" s="2">
        <v>7160</v>
      </c>
      <c r="B101" s="2">
        <v>7601</v>
      </c>
      <c r="C101" s="2" t="s">
        <v>226</v>
      </c>
      <c r="D101" s="2">
        <v>579</v>
      </c>
      <c r="E101" s="2" t="s">
        <v>79</v>
      </c>
      <c r="F101" s="2">
        <v>107535</v>
      </c>
      <c r="G101" s="2">
        <v>12.1</v>
      </c>
      <c r="H101" s="2">
        <v>30109</v>
      </c>
      <c r="I101" s="2" t="s">
        <v>227</v>
      </c>
      <c r="J101" s="2" t="s">
        <v>183</v>
      </c>
      <c r="K101" s="2" t="s">
        <v>183</v>
      </c>
      <c r="L101" s="2">
        <v>203</v>
      </c>
      <c r="M101" s="2" t="s">
        <v>211</v>
      </c>
      <c r="N101" s="2" t="s">
        <v>228</v>
      </c>
    </row>
    <row r="102" spans="1:14" x14ac:dyDescent="0.25">
      <c r="A102" s="2">
        <v>7161</v>
      </c>
      <c r="B102" s="2">
        <v>7601</v>
      </c>
      <c r="C102" s="2" t="s">
        <v>226</v>
      </c>
      <c r="D102" s="2">
        <v>784</v>
      </c>
      <c r="E102" s="2" t="s">
        <v>109</v>
      </c>
      <c r="F102" s="2">
        <v>72935</v>
      </c>
      <c r="G102" s="2">
        <v>8.1999999999999993</v>
      </c>
      <c r="H102" s="2">
        <v>21443</v>
      </c>
      <c r="I102" s="2" t="s">
        <v>227</v>
      </c>
      <c r="J102" s="2" t="s">
        <v>183</v>
      </c>
      <c r="K102" s="2" t="s">
        <v>183</v>
      </c>
      <c r="L102" s="2">
        <v>203</v>
      </c>
      <c r="M102" s="2" t="s">
        <v>211</v>
      </c>
      <c r="N102" s="2" t="s">
        <v>228</v>
      </c>
    </row>
    <row r="103" spans="1:14" x14ac:dyDescent="0.25">
      <c r="A103" s="2">
        <v>7162</v>
      </c>
      <c r="B103" s="2">
        <v>7601</v>
      </c>
      <c r="C103" s="2" t="s">
        <v>226</v>
      </c>
      <c r="D103" s="2">
        <v>643</v>
      </c>
      <c r="E103" s="2" t="s">
        <v>209</v>
      </c>
      <c r="F103" s="2">
        <v>70247</v>
      </c>
      <c r="G103" s="2">
        <v>7.9</v>
      </c>
      <c r="H103" s="2">
        <v>21035</v>
      </c>
      <c r="I103" s="2" t="s">
        <v>227</v>
      </c>
      <c r="J103" s="2" t="s">
        <v>183</v>
      </c>
      <c r="K103" s="2" t="s">
        <v>183</v>
      </c>
      <c r="L103" s="2">
        <v>203</v>
      </c>
      <c r="M103" s="2" t="s">
        <v>211</v>
      </c>
      <c r="N103" s="2" t="s">
        <v>228</v>
      </c>
    </row>
    <row r="104" spans="1:14" x14ac:dyDescent="0.25">
      <c r="A104" s="2">
        <v>7163</v>
      </c>
      <c r="B104" s="2">
        <v>7601</v>
      </c>
      <c r="C104" s="2" t="s">
        <v>226</v>
      </c>
      <c r="D104" s="2">
        <v>276</v>
      </c>
      <c r="E104" s="2" t="s">
        <v>37</v>
      </c>
      <c r="F104" s="2">
        <v>49616</v>
      </c>
      <c r="G104" s="2">
        <v>5.6</v>
      </c>
      <c r="H104" s="2">
        <v>15073</v>
      </c>
      <c r="I104" s="2" t="s">
        <v>227</v>
      </c>
      <c r="J104" s="2" t="s">
        <v>183</v>
      </c>
      <c r="K104" s="2" t="s">
        <v>183</v>
      </c>
      <c r="L104" s="2">
        <v>203</v>
      </c>
      <c r="M104" s="2" t="s">
        <v>211</v>
      </c>
      <c r="N104" s="2" t="s">
        <v>228</v>
      </c>
    </row>
    <row r="105" spans="1:14" x14ac:dyDescent="0.25">
      <c r="A105" s="2">
        <v>7164</v>
      </c>
      <c r="B105" s="2">
        <v>7601</v>
      </c>
      <c r="C105" s="2" t="s">
        <v>226</v>
      </c>
      <c r="D105" s="2">
        <v>862</v>
      </c>
      <c r="E105" s="2" t="s">
        <v>231</v>
      </c>
      <c r="F105" s="2">
        <v>38871</v>
      </c>
      <c r="G105" s="2">
        <v>4.4000000000000004</v>
      </c>
      <c r="H105" s="2">
        <v>13025</v>
      </c>
      <c r="I105" s="2" t="s">
        <v>227</v>
      </c>
      <c r="J105" s="2" t="s">
        <v>183</v>
      </c>
      <c r="K105" s="2" t="s">
        <v>183</v>
      </c>
      <c r="L105" s="2">
        <v>203</v>
      </c>
      <c r="M105" s="2" t="s">
        <v>211</v>
      </c>
      <c r="N105" s="2" t="s">
        <v>228</v>
      </c>
    </row>
    <row r="106" spans="1:14" x14ac:dyDescent="0.25">
      <c r="A106" s="2">
        <v>7165</v>
      </c>
      <c r="B106" s="2">
        <v>7601</v>
      </c>
      <c r="C106" s="2" t="s">
        <v>226</v>
      </c>
      <c r="D106" s="2">
        <v>528</v>
      </c>
      <c r="E106" s="2" t="s">
        <v>75</v>
      </c>
      <c r="F106" s="2">
        <v>34300</v>
      </c>
      <c r="G106" s="2">
        <v>3.8</v>
      </c>
      <c r="H106" s="2">
        <v>9726</v>
      </c>
      <c r="I106" s="2" t="s">
        <v>227</v>
      </c>
      <c r="J106" s="2" t="s">
        <v>183</v>
      </c>
      <c r="K106" s="2" t="s">
        <v>183</v>
      </c>
      <c r="L106" s="2">
        <v>203</v>
      </c>
      <c r="M106" s="2" t="s">
        <v>211</v>
      </c>
      <c r="N106" s="2" t="s">
        <v>228</v>
      </c>
    </row>
    <row r="107" spans="1:14" x14ac:dyDescent="0.25">
      <c r="A107" s="2">
        <v>7166</v>
      </c>
      <c r="B107" s="2">
        <v>7601</v>
      </c>
      <c r="C107" s="2" t="s">
        <v>226</v>
      </c>
      <c r="D107" s="2">
        <v>124</v>
      </c>
      <c r="E107" s="2" t="s">
        <v>16</v>
      </c>
      <c r="F107" s="2">
        <v>32777</v>
      </c>
      <c r="G107" s="2">
        <v>3.7</v>
      </c>
      <c r="H107" s="2">
        <v>9170</v>
      </c>
      <c r="I107" s="2" t="s">
        <v>227</v>
      </c>
      <c r="J107" s="2" t="s">
        <v>183</v>
      </c>
      <c r="K107" s="2" t="s">
        <v>183</v>
      </c>
      <c r="L107" s="2">
        <v>203</v>
      </c>
      <c r="M107" s="2" t="s">
        <v>211</v>
      </c>
      <c r="N107" s="2" t="s">
        <v>228</v>
      </c>
    </row>
    <row r="108" spans="1:14" x14ac:dyDescent="0.25">
      <c r="A108" s="2">
        <v>7167</v>
      </c>
      <c r="B108" s="2">
        <v>7601</v>
      </c>
      <c r="C108" s="2" t="s">
        <v>226</v>
      </c>
      <c r="D108" s="2">
        <v>48</v>
      </c>
      <c r="E108" s="2" t="s">
        <v>7</v>
      </c>
      <c r="F108" s="2">
        <v>30888</v>
      </c>
      <c r="G108" s="2">
        <v>3.5</v>
      </c>
      <c r="H108" s="2">
        <v>8954</v>
      </c>
      <c r="I108" s="2" t="s">
        <v>227</v>
      </c>
      <c r="J108" s="2" t="s">
        <v>183</v>
      </c>
      <c r="K108" s="2" t="s">
        <v>183</v>
      </c>
      <c r="L108" s="2">
        <v>203</v>
      </c>
      <c r="M108" s="2" t="s">
        <v>211</v>
      </c>
      <c r="N108" s="2" t="s">
        <v>228</v>
      </c>
    </row>
    <row r="109" spans="1:14" x14ac:dyDescent="0.25">
      <c r="A109" s="2">
        <v>7168</v>
      </c>
      <c r="B109" s="2">
        <v>7601</v>
      </c>
      <c r="C109" s="2" t="s">
        <v>226</v>
      </c>
      <c r="D109" s="2">
        <v>710</v>
      </c>
      <c r="E109" s="2" t="s">
        <v>97</v>
      </c>
      <c r="F109" s="2">
        <v>28687</v>
      </c>
      <c r="G109" s="2">
        <v>3.2</v>
      </c>
      <c r="H109" s="2">
        <v>8697</v>
      </c>
      <c r="I109" s="2" t="s">
        <v>227</v>
      </c>
      <c r="J109" s="2" t="s">
        <v>183</v>
      </c>
      <c r="K109" s="2" t="s">
        <v>183</v>
      </c>
      <c r="L109" s="2">
        <v>203</v>
      </c>
      <c r="M109" s="2" t="s">
        <v>211</v>
      </c>
      <c r="N109" s="2" t="s">
        <v>228</v>
      </c>
    </row>
    <row r="110" spans="1:14" x14ac:dyDescent="0.25">
      <c r="A110" s="2">
        <v>7169</v>
      </c>
      <c r="B110" s="2">
        <v>7601</v>
      </c>
      <c r="C110" s="2" t="s">
        <v>226</v>
      </c>
      <c r="D110" s="2">
        <v>703</v>
      </c>
      <c r="E110" s="2" t="s">
        <v>95</v>
      </c>
      <c r="F110" s="2">
        <v>27704</v>
      </c>
      <c r="G110" s="2">
        <v>3.1</v>
      </c>
      <c r="H110" s="2">
        <v>14596</v>
      </c>
      <c r="I110" s="2" t="s">
        <v>227</v>
      </c>
      <c r="J110" s="2" t="s">
        <v>183</v>
      </c>
      <c r="K110" s="2" t="s">
        <v>183</v>
      </c>
      <c r="L110" s="2">
        <v>203</v>
      </c>
      <c r="M110" s="2" t="s">
        <v>211</v>
      </c>
      <c r="N110" s="2" t="s">
        <v>228</v>
      </c>
    </row>
    <row r="111" spans="1:14" x14ac:dyDescent="0.25">
      <c r="A111" s="2">
        <v>7170</v>
      </c>
      <c r="B111" s="2">
        <v>7601</v>
      </c>
      <c r="C111" s="2" t="s">
        <v>226</v>
      </c>
      <c r="D111" s="2">
        <v>381</v>
      </c>
      <c r="E111" s="2" t="s">
        <v>50</v>
      </c>
      <c r="F111" s="2">
        <v>20900</v>
      </c>
      <c r="G111" s="2">
        <v>2.2999999999999998</v>
      </c>
      <c r="H111" s="2">
        <v>6253</v>
      </c>
      <c r="I111" s="2" t="s">
        <v>227</v>
      </c>
      <c r="J111" s="2" t="s">
        <v>183</v>
      </c>
      <c r="K111" s="2" t="s">
        <v>183</v>
      </c>
      <c r="L111" s="2">
        <v>203</v>
      </c>
      <c r="M111" s="2" t="s">
        <v>211</v>
      </c>
      <c r="N111" s="2" t="s">
        <v>228</v>
      </c>
    </row>
    <row r="112" spans="1:14" x14ac:dyDescent="0.25">
      <c r="A112" s="2">
        <v>7172</v>
      </c>
      <c r="B112" s="2">
        <v>7601</v>
      </c>
      <c r="C112" s="2" t="s">
        <v>226</v>
      </c>
      <c r="D112" s="2">
        <v>699</v>
      </c>
      <c r="E112" s="2" t="s">
        <v>45</v>
      </c>
      <c r="F112" s="2">
        <v>16853</v>
      </c>
      <c r="G112" s="2">
        <v>1.9</v>
      </c>
      <c r="H112" s="2">
        <v>5982</v>
      </c>
      <c r="I112" s="2" t="s">
        <v>227</v>
      </c>
      <c r="J112" s="2" t="s">
        <v>183</v>
      </c>
      <c r="K112" s="2" t="s">
        <v>183</v>
      </c>
      <c r="L112" s="2">
        <v>203</v>
      </c>
      <c r="M112" s="2" t="s">
        <v>211</v>
      </c>
      <c r="N112" s="2" t="s">
        <v>228</v>
      </c>
    </row>
    <row r="113" spans="1:14" x14ac:dyDescent="0.25">
      <c r="A113" s="2">
        <v>7173</v>
      </c>
      <c r="B113" s="2">
        <v>7601</v>
      </c>
      <c r="C113" s="2" t="s">
        <v>226</v>
      </c>
      <c r="D113" s="2">
        <v>56</v>
      </c>
      <c r="E113" s="2" t="s">
        <v>11</v>
      </c>
      <c r="F113" s="2">
        <v>16538</v>
      </c>
      <c r="G113" s="2">
        <v>1.9</v>
      </c>
      <c r="H113" s="2">
        <v>5280</v>
      </c>
      <c r="I113" s="2" t="s">
        <v>227</v>
      </c>
      <c r="J113" s="2" t="s">
        <v>183</v>
      </c>
      <c r="K113" s="2" t="s">
        <v>183</v>
      </c>
      <c r="L113" s="2">
        <v>203</v>
      </c>
      <c r="M113" s="2" t="s">
        <v>211</v>
      </c>
      <c r="N113" s="2" t="s">
        <v>228</v>
      </c>
    </row>
    <row r="114" spans="1:14" x14ac:dyDescent="0.25">
      <c r="A114" s="2">
        <v>7174</v>
      </c>
      <c r="B114" s="2">
        <v>7601</v>
      </c>
      <c r="C114" s="2" t="s">
        <v>226</v>
      </c>
      <c r="D114" s="2">
        <v>36</v>
      </c>
      <c r="E114" s="2" t="s">
        <v>4</v>
      </c>
      <c r="F114" s="2">
        <v>15497</v>
      </c>
      <c r="G114" s="2">
        <v>1.7</v>
      </c>
      <c r="H114" s="2">
        <v>4278</v>
      </c>
      <c r="I114" s="2" t="s">
        <v>227</v>
      </c>
      <c r="J114" s="2" t="s">
        <v>183</v>
      </c>
      <c r="K114" s="2" t="s">
        <v>183</v>
      </c>
      <c r="L114" s="2">
        <v>203</v>
      </c>
      <c r="M114" s="2" t="s">
        <v>211</v>
      </c>
      <c r="N114" s="2" t="s">
        <v>228</v>
      </c>
    </row>
    <row r="115" spans="1:14" x14ac:dyDescent="0.25">
      <c r="A115" s="2">
        <v>7175</v>
      </c>
      <c r="B115" s="2">
        <v>7601</v>
      </c>
      <c r="C115" s="2" t="s">
        <v>226</v>
      </c>
      <c r="D115" s="2">
        <v>508</v>
      </c>
      <c r="E115" s="2" t="s">
        <v>123</v>
      </c>
      <c r="F115" s="2">
        <v>14577</v>
      </c>
      <c r="G115" s="2">
        <v>1.6</v>
      </c>
      <c r="H115" s="2">
        <v>4354</v>
      </c>
      <c r="I115" s="2" t="s">
        <v>227</v>
      </c>
      <c r="J115" s="2" t="s">
        <v>183</v>
      </c>
      <c r="K115" s="2" t="s">
        <v>183</v>
      </c>
      <c r="L115" s="2">
        <v>203</v>
      </c>
      <c r="M115" s="2" t="s">
        <v>211</v>
      </c>
      <c r="N115" s="2" t="s">
        <v>228</v>
      </c>
    </row>
    <row r="116" spans="1:14" x14ac:dyDescent="0.25">
      <c r="A116" s="2">
        <v>7176</v>
      </c>
      <c r="B116" s="2">
        <v>7601</v>
      </c>
      <c r="C116" s="2" t="s">
        <v>226</v>
      </c>
      <c r="D116" s="2">
        <v>360</v>
      </c>
      <c r="E116" s="2" t="s">
        <v>46</v>
      </c>
      <c r="F116" s="2">
        <v>9925</v>
      </c>
      <c r="G116" s="2">
        <v>1.1000000000000001</v>
      </c>
      <c r="H116" s="2">
        <v>3249</v>
      </c>
      <c r="I116" s="2" t="s">
        <v>227</v>
      </c>
      <c r="J116" s="2" t="s">
        <v>183</v>
      </c>
      <c r="K116" s="2" t="s">
        <v>183</v>
      </c>
      <c r="L116" s="2">
        <v>203</v>
      </c>
      <c r="M116" s="2" t="s">
        <v>211</v>
      </c>
      <c r="N116" s="2" t="s">
        <v>228</v>
      </c>
    </row>
    <row r="117" spans="1:14" x14ac:dyDescent="0.25">
      <c r="A117" s="2">
        <v>7177</v>
      </c>
      <c r="B117" s="2">
        <v>7601</v>
      </c>
      <c r="C117" s="2" t="s">
        <v>226</v>
      </c>
      <c r="D117" s="2">
        <v>752</v>
      </c>
      <c r="E117" s="2" t="s">
        <v>100</v>
      </c>
      <c r="F117" s="2">
        <v>7203</v>
      </c>
      <c r="G117" s="2">
        <v>0.8</v>
      </c>
      <c r="H117" s="2">
        <v>2816</v>
      </c>
      <c r="I117" s="2" t="s">
        <v>227</v>
      </c>
      <c r="J117" s="2" t="s">
        <v>183</v>
      </c>
      <c r="K117" s="2" t="s">
        <v>183</v>
      </c>
      <c r="L117" s="2">
        <v>203</v>
      </c>
      <c r="M117" s="2" t="s">
        <v>211</v>
      </c>
      <c r="N117" s="2" t="s">
        <v>228</v>
      </c>
    </row>
    <row r="118" spans="1:14" x14ac:dyDescent="0.25">
      <c r="A118" s="2">
        <v>7178</v>
      </c>
      <c r="B118" s="2">
        <v>7601</v>
      </c>
      <c r="C118" s="2" t="s">
        <v>226</v>
      </c>
      <c r="D118" s="2">
        <v>348</v>
      </c>
      <c r="E118" s="2" t="s">
        <v>43</v>
      </c>
      <c r="F118" s="2">
        <v>7082</v>
      </c>
      <c r="G118" s="2">
        <v>0.8</v>
      </c>
      <c r="H118" s="2">
        <v>2893</v>
      </c>
      <c r="I118" s="2" t="s">
        <v>227</v>
      </c>
      <c r="J118" s="2" t="s">
        <v>183</v>
      </c>
      <c r="K118" s="2" t="s">
        <v>183</v>
      </c>
      <c r="L118" s="2">
        <v>203</v>
      </c>
      <c r="M118" s="2" t="s">
        <v>211</v>
      </c>
      <c r="N118" s="2" t="s">
        <v>228</v>
      </c>
    </row>
    <row r="119" spans="1:14" x14ac:dyDescent="0.25">
      <c r="A119" s="2">
        <v>7179</v>
      </c>
      <c r="B119" s="2">
        <v>7601</v>
      </c>
      <c r="C119" s="2" t="s">
        <v>226</v>
      </c>
      <c r="D119" s="2">
        <v>804</v>
      </c>
      <c r="E119" s="2" t="s">
        <v>117</v>
      </c>
      <c r="F119" s="2">
        <v>5746</v>
      </c>
      <c r="G119" s="2">
        <v>0.6</v>
      </c>
      <c r="H119" s="2">
        <v>1841</v>
      </c>
      <c r="I119" s="2" t="s">
        <v>227</v>
      </c>
      <c r="J119" s="2" t="s">
        <v>183</v>
      </c>
      <c r="K119" s="2" t="s">
        <v>183</v>
      </c>
      <c r="L119" s="2">
        <v>203</v>
      </c>
      <c r="M119" s="2" t="s">
        <v>211</v>
      </c>
      <c r="N119" s="2" t="s">
        <v>228</v>
      </c>
    </row>
    <row r="120" spans="1:14" x14ac:dyDescent="0.25">
      <c r="A120" s="2">
        <v>7180</v>
      </c>
      <c r="B120" s="2">
        <v>7601</v>
      </c>
      <c r="C120" s="2" t="s">
        <v>226</v>
      </c>
      <c r="D120" s="2">
        <v>634</v>
      </c>
      <c r="E120" s="2" t="s">
        <v>88</v>
      </c>
      <c r="F120" s="2">
        <v>5366</v>
      </c>
      <c r="G120" s="2">
        <v>0.6</v>
      </c>
      <c r="H120" s="2">
        <v>1626</v>
      </c>
      <c r="I120" s="2" t="s">
        <v>227</v>
      </c>
      <c r="J120" s="2" t="s">
        <v>183</v>
      </c>
      <c r="K120" s="2" t="s">
        <v>183</v>
      </c>
      <c r="L120" s="2">
        <v>203</v>
      </c>
      <c r="M120" s="2" t="s">
        <v>211</v>
      </c>
      <c r="N120" s="2" t="s">
        <v>228</v>
      </c>
    </row>
    <row r="121" spans="1:14" x14ac:dyDescent="0.25">
      <c r="A121" s="2">
        <v>7181</v>
      </c>
      <c r="B121" s="2">
        <v>7601</v>
      </c>
      <c r="C121" s="2" t="s">
        <v>226</v>
      </c>
      <c r="D121" s="2">
        <v>724</v>
      </c>
      <c r="E121" s="2" t="s">
        <v>98</v>
      </c>
      <c r="F121" s="2">
        <v>5287</v>
      </c>
      <c r="G121" s="2">
        <v>0.6</v>
      </c>
      <c r="H121" s="2">
        <v>1842</v>
      </c>
      <c r="I121" s="2" t="s">
        <v>227</v>
      </c>
      <c r="J121" s="2" t="s">
        <v>183</v>
      </c>
      <c r="K121" s="2" t="s">
        <v>183</v>
      </c>
      <c r="L121" s="2">
        <v>203</v>
      </c>
      <c r="M121" s="2" t="s">
        <v>211</v>
      </c>
      <c r="N121" s="2" t="s">
        <v>228</v>
      </c>
    </row>
    <row r="122" spans="1:14" x14ac:dyDescent="0.25">
      <c r="A122" s="2">
        <v>7182</v>
      </c>
      <c r="B122" s="2">
        <v>7601</v>
      </c>
      <c r="C122" s="2" t="s">
        <v>226</v>
      </c>
      <c r="D122" s="2">
        <v>579</v>
      </c>
      <c r="E122" s="2" t="s">
        <v>79</v>
      </c>
      <c r="F122" s="2">
        <v>106327</v>
      </c>
      <c r="G122" s="2">
        <v>59.7</v>
      </c>
      <c r="H122" s="2">
        <v>26272</v>
      </c>
      <c r="I122" s="2" t="s">
        <v>227</v>
      </c>
      <c r="J122" s="2" t="s">
        <v>183</v>
      </c>
      <c r="K122" s="2" t="s">
        <v>183</v>
      </c>
      <c r="L122" s="2">
        <v>246</v>
      </c>
      <c r="M122" s="2" t="s">
        <v>32</v>
      </c>
      <c r="N122" s="2" t="s">
        <v>228</v>
      </c>
    </row>
    <row r="123" spans="1:14" x14ac:dyDescent="0.25">
      <c r="A123" s="2">
        <v>7183</v>
      </c>
      <c r="B123" s="2">
        <v>7601</v>
      </c>
      <c r="C123" s="2" t="s">
        <v>226</v>
      </c>
      <c r="D123" s="2">
        <v>752</v>
      </c>
      <c r="E123" s="2" t="s">
        <v>100</v>
      </c>
      <c r="F123" s="2">
        <v>42704</v>
      </c>
      <c r="G123" s="2">
        <v>24</v>
      </c>
      <c r="H123" s="2">
        <v>10534</v>
      </c>
      <c r="I123" s="2" t="s">
        <v>227</v>
      </c>
      <c r="J123" s="2" t="s">
        <v>183</v>
      </c>
      <c r="K123" s="2" t="s">
        <v>183</v>
      </c>
      <c r="L123" s="2">
        <v>246</v>
      </c>
      <c r="M123" s="2" t="s">
        <v>32</v>
      </c>
      <c r="N123" s="2" t="s">
        <v>228</v>
      </c>
    </row>
    <row r="124" spans="1:14" x14ac:dyDescent="0.25">
      <c r="A124" s="2">
        <v>7184</v>
      </c>
      <c r="B124" s="2">
        <v>7601</v>
      </c>
      <c r="C124" s="2" t="s">
        <v>226</v>
      </c>
      <c r="D124" s="2">
        <v>528</v>
      </c>
      <c r="E124" s="2" t="s">
        <v>75</v>
      </c>
      <c r="F124" s="2">
        <v>7657</v>
      </c>
      <c r="G124" s="2">
        <v>4.3</v>
      </c>
      <c r="H124" s="2">
        <v>1768</v>
      </c>
      <c r="I124" s="2" t="s">
        <v>227</v>
      </c>
      <c r="J124" s="2" t="s">
        <v>183</v>
      </c>
      <c r="K124" s="2" t="s">
        <v>183</v>
      </c>
      <c r="L124" s="2">
        <v>246</v>
      </c>
      <c r="M124" s="2" t="s">
        <v>32</v>
      </c>
      <c r="N124" s="2" t="s">
        <v>228</v>
      </c>
    </row>
    <row r="125" spans="1:14" x14ac:dyDescent="0.25">
      <c r="A125" s="2">
        <v>7185</v>
      </c>
      <c r="B125" s="2">
        <v>7601</v>
      </c>
      <c r="C125" s="2" t="s">
        <v>226</v>
      </c>
      <c r="D125" s="2">
        <v>784</v>
      </c>
      <c r="E125" s="2" t="s">
        <v>109</v>
      </c>
      <c r="F125" s="2">
        <v>6977</v>
      </c>
      <c r="G125" s="2">
        <v>3.9</v>
      </c>
      <c r="H125" s="2">
        <v>1757</v>
      </c>
      <c r="I125" s="2" t="s">
        <v>227</v>
      </c>
      <c r="J125" s="2" t="s">
        <v>183</v>
      </c>
      <c r="K125" s="2" t="s">
        <v>183</v>
      </c>
      <c r="L125" s="2">
        <v>246</v>
      </c>
      <c r="M125" s="2" t="s">
        <v>32</v>
      </c>
      <c r="N125" s="2" t="s">
        <v>228</v>
      </c>
    </row>
    <row r="126" spans="1:14" x14ac:dyDescent="0.25">
      <c r="A126" s="2">
        <v>7186</v>
      </c>
      <c r="B126" s="2">
        <v>7601</v>
      </c>
      <c r="C126" s="2" t="s">
        <v>226</v>
      </c>
      <c r="D126" s="2">
        <v>276</v>
      </c>
      <c r="E126" s="2" t="s">
        <v>37</v>
      </c>
      <c r="F126" s="2">
        <v>4963</v>
      </c>
      <c r="G126" s="2">
        <v>2.8</v>
      </c>
      <c r="H126" s="2">
        <v>1616</v>
      </c>
      <c r="I126" s="2" t="s">
        <v>227</v>
      </c>
      <c r="J126" s="2" t="s">
        <v>183</v>
      </c>
      <c r="K126" s="2" t="s">
        <v>183</v>
      </c>
      <c r="L126" s="2">
        <v>246</v>
      </c>
      <c r="M126" s="2" t="s">
        <v>32</v>
      </c>
      <c r="N126" s="2" t="s">
        <v>228</v>
      </c>
    </row>
    <row r="127" spans="1:14" x14ac:dyDescent="0.25">
      <c r="A127" s="2">
        <v>7187</v>
      </c>
      <c r="B127" s="2">
        <v>7601</v>
      </c>
      <c r="C127" s="2" t="s">
        <v>226</v>
      </c>
      <c r="D127" s="2">
        <v>48</v>
      </c>
      <c r="E127" s="2" t="s">
        <v>7</v>
      </c>
      <c r="F127" s="2">
        <v>3365</v>
      </c>
      <c r="G127" s="2">
        <v>1.9</v>
      </c>
      <c r="H127" s="2">
        <v>885</v>
      </c>
      <c r="I127" s="2" t="s">
        <v>227</v>
      </c>
      <c r="J127" s="2" t="s">
        <v>183</v>
      </c>
      <c r="K127" s="2" t="s">
        <v>183</v>
      </c>
      <c r="L127" s="2">
        <v>246</v>
      </c>
      <c r="M127" s="2" t="s">
        <v>32</v>
      </c>
      <c r="N127" s="2" t="s">
        <v>228</v>
      </c>
    </row>
    <row r="128" spans="1:14" x14ac:dyDescent="0.25">
      <c r="A128" s="2">
        <v>7188</v>
      </c>
      <c r="B128" s="2">
        <v>7601</v>
      </c>
      <c r="C128" s="2" t="s">
        <v>226</v>
      </c>
      <c r="D128" s="2">
        <v>40</v>
      </c>
      <c r="E128" s="2" t="s">
        <v>5</v>
      </c>
      <c r="F128" s="2">
        <v>1783</v>
      </c>
      <c r="G128" s="2">
        <v>1</v>
      </c>
      <c r="H128" s="2">
        <v>558</v>
      </c>
      <c r="I128" s="2" t="s">
        <v>227</v>
      </c>
      <c r="J128" s="2" t="s">
        <v>183</v>
      </c>
      <c r="K128" s="2" t="s">
        <v>183</v>
      </c>
      <c r="L128" s="2">
        <v>246</v>
      </c>
      <c r="M128" s="2" t="s">
        <v>32</v>
      </c>
      <c r="N128" s="2" t="s">
        <v>228</v>
      </c>
    </row>
    <row r="129" spans="1:14" x14ac:dyDescent="0.25">
      <c r="A129" s="2">
        <v>7189</v>
      </c>
      <c r="B129" s="2">
        <v>7601</v>
      </c>
      <c r="C129" s="2" t="s">
        <v>226</v>
      </c>
      <c r="D129" s="2">
        <v>704</v>
      </c>
      <c r="E129" s="2" t="s">
        <v>232</v>
      </c>
      <c r="F129" s="2">
        <v>1117</v>
      </c>
      <c r="G129" s="2">
        <v>0.6</v>
      </c>
      <c r="H129" s="2">
        <v>300</v>
      </c>
      <c r="I129" s="2" t="s">
        <v>227</v>
      </c>
      <c r="J129" s="2" t="s">
        <v>183</v>
      </c>
      <c r="K129" s="2" t="s">
        <v>183</v>
      </c>
      <c r="L129" s="2">
        <v>246</v>
      </c>
      <c r="M129" s="2" t="s">
        <v>32</v>
      </c>
      <c r="N129" s="2" t="s">
        <v>228</v>
      </c>
    </row>
    <row r="130" spans="1:14" x14ac:dyDescent="0.25">
      <c r="A130" s="2">
        <v>7190</v>
      </c>
      <c r="B130" s="2">
        <v>7601</v>
      </c>
      <c r="C130" s="2" t="s">
        <v>226</v>
      </c>
      <c r="D130" s="2">
        <v>643</v>
      </c>
      <c r="E130" s="2" t="s">
        <v>209</v>
      </c>
      <c r="F130" s="2">
        <v>670</v>
      </c>
      <c r="G130" s="2">
        <v>0.4</v>
      </c>
      <c r="H130" s="2">
        <v>203</v>
      </c>
      <c r="I130" s="2" t="s">
        <v>227</v>
      </c>
      <c r="J130" s="2" t="s">
        <v>183</v>
      </c>
      <c r="K130" s="2" t="s">
        <v>183</v>
      </c>
      <c r="L130" s="2">
        <v>246</v>
      </c>
      <c r="M130" s="2" t="s">
        <v>32</v>
      </c>
      <c r="N130" s="2" t="s">
        <v>228</v>
      </c>
    </row>
    <row r="131" spans="1:14" x14ac:dyDescent="0.25">
      <c r="A131" s="2">
        <v>7191</v>
      </c>
      <c r="B131" s="2">
        <v>7601</v>
      </c>
      <c r="C131" s="2" t="s">
        <v>226</v>
      </c>
      <c r="D131" s="2">
        <v>36</v>
      </c>
      <c r="E131" s="2" t="s">
        <v>4</v>
      </c>
      <c r="F131" s="2">
        <v>522</v>
      </c>
      <c r="G131" s="2">
        <v>0.3</v>
      </c>
      <c r="H131" s="2">
        <v>120</v>
      </c>
      <c r="I131" s="2" t="s">
        <v>227</v>
      </c>
      <c r="J131" s="2" t="s">
        <v>183</v>
      </c>
      <c r="K131" s="2" t="s">
        <v>183</v>
      </c>
      <c r="L131" s="2">
        <v>246</v>
      </c>
      <c r="M131" s="2" t="s">
        <v>32</v>
      </c>
      <c r="N131" s="2" t="s">
        <v>228</v>
      </c>
    </row>
    <row r="132" spans="1:14" x14ac:dyDescent="0.25">
      <c r="A132" s="2">
        <v>7192</v>
      </c>
      <c r="B132" s="2">
        <v>7601</v>
      </c>
      <c r="C132" s="2" t="s">
        <v>226</v>
      </c>
      <c r="D132" s="2">
        <v>442</v>
      </c>
      <c r="E132" s="2" t="s">
        <v>62</v>
      </c>
      <c r="F132" s="2">
        <v>501</v>
      </c>
      <c r="G132" s="2">
        <v>0.3</v>
      </c>
      <c r="H132" s="2">
        <v>188</v>
      </c>
      <c r="I132" s="2" t="s">
        <v>227</v>
      </c>
      <c r="J132" s="2" t="s">
        <v>183</v>
      </c>
      <c r="K132" s="2" t="s">
        <v>183</v>
      </c>
      <c r="L132" s="2">
        <v>246</v>
      </c>
      <c r="M132" s="2" t="s">
        <v>32</v>
      </c>
      <c r="N132" s="2" t="s">
        <v>228</v>
      </c>
    </row>
    <row r="133" spans="1:14" x14ac:dyDescent="0.25">
      <c r="A133" s="2">
        <v>7193</v>
      </c>
      <c r="B133" s="2">
        <v>7601</v>
      </c>
      <c r="C133" s="2" t="s">
        <v>226</v>
      </c>
      <c r="D133" s="2">
        <v>112</v>
      </c>
      <c r="E133" s="2" t="s">
        <v>10</v>
      </c>
      <c r="F133" s="2">
        <v>439</v>
      </c>
      <c r="G133" s="2">
        <v>0.2</v>
      </c>
      <c r="H133" s="2">
        <v>191</v>
      </c>
      <c r="I133" s="2" t="s">
        <v>227</v>
      </c>
      <c r="J133" s="2" t="s">
        <v>183</v>
      </c>
      <c r="K133" s="2" t="s">
        <v>183</v>
      </c>
      <c r="L133" s="2">
        <v>246</v>
      </c>
      <c r="M133" s="2" t="s">
        <v>32</v>
      </c>
      <c r="N133" s="2" t="s">
        <v>228</v>
      </c>
    </row>
    <row r="134" spans="1:14" x14ac:dyDescent="0.25">
      <c r="A134" s="2">
        <v>7194</v>
      </c>
      <c r="B134" s="2">
        <v>7601</v>
      </c>
      <c r="C134" s="2" t="s">
        <v>226</v>
      </c>
      <c r="D134" s="2">
        <v>348</v>
      </c>
      <c r="E134" s="2" t="s">
        <v>43</v>
      </c>
      <c r="F134" s="2">
        <v>333</v>
      </c>
      <c r="G134" s="2">
        <v>0.2</v>
      </c>
      <c r="H134" s="2">
        <v>139</v>
      </c>
      <c r="I134" s="2" t="s">
        <v>227</v>
      </c>
      <c r="J134" s="2" t="s">
        <v>183</v>
      </c>
      <c r="K134" s="2" t="s">
        <v>183</v>
      </c>
      <c r="L134" s="2">
        <v>246</v>
      </c>
      <c r="M134" s="2" t="s">
        <v>32</v>
      </c>
      <c r="N134" s="2" t="s">
        <v>228</v>
      </c>
    </row>
    <row r="135" spans="1:14" x14ac:dyDescent="0.25">
      <c r="A135" s="2">
        <v>7195</v>
      </c>
      <c r="B135" s="2">
        <v>7601</v>
      </c>
      <c r="C135" s="2" t="s">
        <v>226</v>
      </c>
      <c r="D135" s="2">
        <v>352</v>
      </c>
      <c r="E135" s="2" t="s">
        <v>44</v>
      </c>
      <c r="F135" s="2">
        <v>250</v>
      </c>
      <c r="G135" s="2">
        <v>0.1</v>
      </c>
      <c r="H135" s="2">
        <v>79</v>
      </c>
      <c r="I135" s="2" t="s">
        <v>227</v>
      </c>
      <c r="J135" s="2" t="s">
        <v>183</v>
      </c>
      <c r="K135" s="2" t="s">
        <v>183</v>
      </c>
      <c r="L135" s="2">
        <v>246</v>
      </c>
      <c r="M135" s="2" t="s">
        <v>32</v>
      </c>
      <c r="N135" s="2" t="s">
        <v>228</v>
      </c>
    </row>
    <row r="136" spans="1:14" x14ac:dyDescent="0.25">
      <c r="A136" s="2">
        <v>7196</v>
      </c>
      <c r="B136" s="2">
        <v>7601</v>
      </c>
      <c r="C136" s="2" t="s">
        <v>226</v>
      </c>
      <c r="D136" s="2">
        <v>440</v>
      </c>
      <c r="E136" s="2" t="s">
        <v>61</v>
      </c>
      <c r="F136" s="2">
        <v>166</v>
      </c>
      <c r="G136" s="2">
        <v>0.1</v>
      </c>
      <c r="H136" s="2">
        <v>6</v>
      </c>
      <c r="I136" s="2" t="s">
        <v>227</v>
      </c>
      <c r="J136" s="2" t="s">
        <v>183</v>
      </c>
      <c r="K136" s="2" t="s">
        <v>183</v>
      </c>
      <c r="L136" s="2">
        <v>246</v>
      </c>
      <c r="M136" s="2" t="s">
        <v>32</v>
      </c>
      <c r="N136" s="2" t="s">
        <v>228</v>
      </c>
    </row>
    <row r="137" spans="1:14" x14ac:dyDescent="0.25">
      <c r="A137" s="2">
        <v>7197</v>
      </c>
      <c r="B137" s="2">
        <v>7601</v>
      </c>
      <c r="C137" s="2" t="s">
        <v>226</v>
      </c>
      <c r="D137" s="2">
        <v>76</v>
      </c>
      <c r="E137" s="2" t="s">
        <v>14</v>
      </c>
      <c r="F137" s="2">
        <v>41</v>
      </c>
      <c r="G137" s="2">
        <v>0</v>
      </c>
      <c r="H137" s="2">
        <v>12.709999999999999</v>
      </c>
      <c r="I137" s="2" t="s">
        <v>227</v>
      </c>
      <c r="J137" s="2">
        <v>0</v>
      </c>
      <c r="K137" s="2" t="s">
        <v>235</v>
      </c>
      <c r="L137" s="2">
        <v>246</v>
      </c>
      <c r="M137" s="2" t="s">
        <v>32</v>
      </c>
      <c r="N137" s="2" t="s">
        <v>228</v>
      </c>
    </row>
    <row r="138" spans="1:14" x14ac:dyDescent="0.25">
      <c r="A138" s="2">
        <v>7198</v>
      </c>
      <c r="B138" s="2">
        <v>7601</v>
      </c>
      <c r="C138" s="2" t="s">
        <v>226</v>
      </c>
      <c r="D138" s="2">
        <v>56</v>
      </c>
      <c r="E138" s="2" t="s">
        <v>11</v>
      </c>
      <c r="F138" s="2">
        <v>25</v>
      </c>
      <c r="G138" s="2">
        <v>0</v>
      </c>
      <c r="H138" s="2">
        <v>4</v>
      </c>
      <c r="I138" s="2" t="s">
        <v>227</v>
      </c>
      <c r="J138" s="2" t="s">
        <v>183</v>
      </c>
      <c r="K138" s="2" t="s">
        <v>183</v>
      </c>
      <c r="L138" s="2">
        <v>246</v>
      </c>
      <c r="M138" s="2" t="s">
        <v>32</v>
      </c>
      <c r="N138" s="2" t="s">
        <v>228</v>
      </c>
    </row>
    <row r="139" spans="1:14" x14ac:dyDescent="0.25">
      <c r="A139" s="2">
        <v>7199</v>
      </c>
      <c r="B139" s="2">
        <v>7601</v>
      </c>
      <c r="C139" s="2" t="s">
        <v>226</v>
      </c>
      <c r="D139" s="2">
        <v>826</v>
      </c>
      <c r="E139" s="2" t="s">
        <v>110</v>
      </c>
      <c r="F139" s="2">
        <v>23</v>
      </c>
      <c r="G139" s="2">
        <v>0</v>
      </c>
      <c r="H139" s="2">
        <v>3</v>
      </c>
      <c r="I139" s="2" t="s">
        <v>227</v>
      </c>
      <c r="J139" s="2" t="s">
        <v>183</v>
      </c>
      <c r="K139" s="2" t="s">
        <v>183</v>
      </c>
      <c r="L139" s="2">
        <v>246</v>
      </c>
      <c r="M139" s="2" t="s">
        <v>32</v>
      </c>
      <c r="N139" s="2" t="s">
        <v>228</v>
      </c>
    </row>
    <row r="140" spans="1:14" x14ac:dyDescent="0.25">
      <c r="A140" s="2">
        <v>7200</v>
      </c>
      <c r="B140" s="2">
        <v>7601</v>
      </c>
      <c r="C140" s="2" t="s">
        <v>226</v>
      </c>
      <c r="D140" s="2">
        <v>156</v>
      </c>
      <c r="E140" s="2" t="s">
        <v>18</v>
      </c>
      <c r="F140" s="2">
        <v>19</v>
      </c>
      <c r="G140" s="2">
        <v>0</v>
      </c>
      <c r="H140" s="2">
        <v>0</v>
      </c>
      <c r="I140" s="2" t="s">
        <v>227</v>
      </c>
      <c r="J140" s="2" t="s">
        <v>183</v>
      </c>
      <c r="K140" s="2" t="s">
        <v>183</v>
      </c>
      <c r="L140" s="2">
        <v>246</v>
      </c>
      <c r="M140" s="2" t="s">
        <v>32</v>
      </c>
      <c r="N140" s="2" t="s">
        <v>228</v>
      </c>
    </row>
    <row r="141" spans="1:14" x14ac:dyDescent="0.25">
      <c r="A141" s="2">
        <v>7201</v>
      </c>
      <c r="B141" s="2">
        <v>7601</v>
      </c>
      <c r="C141" s="2" t="s">
        <v>226</v>
      </c>
      <c r="D141" s="2">
        <v>842</v>
      </c>
      <c r="E141" s="2" t="s">
        <v>229</v>
      </c>
      <c r="F141" s="2">
        <v>19</v>
      </c>
      <c r="G141" s="2">
        <v>0</v>
      </c>
      <c r="H141" s="2">
        <v>5.89</v>
      </c>
      <c r="I141" s="2" t="s">
        <v>227</v>
      </c>
      <c r="J141" s="2">
        <v>0</v>
      </c>
      <c r="K141" s="2" t="s">
        <v>235</v>
      </c>
      <c r="L141" s="2">
        <v>246</v>
      </c>
      <c r="M141" s="2" t="s">
        <v>32</v>
      </c>
      <c r="N141" s="2" t="s">
        <v>228</v>
      </c>
    </row>
    <row r="142" spans="1:14" x14ac:dyDescent="0.25">
      <c r="A142" s="2">
        <v>7202</v>
      </c>
      <c r="B142" s="2">
        <v>7601</v>
      </c>
      <c r="C142" s="2" t="s">
        <v>226</v>
      </c>
      <c r="D142" s="2">
        <v>703</v>
      </c>
      <c r="E142" s="2" t="s">
        <v>95</v>
      </c>
      <c r="F142" s="2">
        <v>16</v>
      </c>
      <c r="G142" s="2">
        <v>0</v>
      </c>
      <c r="H142" s="2">
        <v>2</v>
      </c>
      <c r="I142" s="2" t="s">
        <v>227</v>
      </c>
      <c r="J142" s="2" t="s">
        <v>183</v>
      </c>
      <c r="K142" s="2" t="s">
        <v>183</v>
      </c>
      <c r="L142" s="2">
        <v>246</v>
      </c>
      <c r="M142" s="2" t="s">
        <v>32</v>
      </c>
      <c r="N142" s="2" t="s">
        <v>228</v>
      </c>
    </row>
    <row r="143" spans="1:14" x14ac:dyDescent="0.25">
      <c r="A143" s="2">
        <v>7153</v>
      </c>
      <c r="B143" s="2">
        <v>7601</v>
      </c>
      <c r="C143" s="2" t="s">
        <v>226</v>
      </c>
      <c r="D143" s="2">
        <v>392</v>
      </c>
      <c r="E143" s="2" t="s">
        <v>51</v>
      </c>
      <c r="F143" s="2">
        <v>29096</v>
      </c>
      <c r="G143" s="2">
        <v>0.6</v>
      </c>
      <c r="H143" s="2">
        <v>6051</v>
      </c>
      <c r="I143" s="2" t="s">
        <v>227</v>
      </c>
      <c r="J143" s="2" t="s">
        <v>183</v>
      </c>
      <c r="K143" s="2" t="s">
        <v>183</v>
      </c>
      <c r="L143" s="2">
        <v>156</v>
      </c>
      <c r="M143" s="2" t="s">
        <v>18</v>
      </c>
      <c r="N143" s="2" t="s">
        <v>228</v>
      </c>
    </row>
    <row r="144" spans="1:14" x14ac:dyDescent="0.25">
      <c r="A144" s="2">
        <v>7204</v>
      </c>
      <c r="B144" s="2">
        <v>7601</v>
      </c>
      <c r="C144" s="2" t="s">
        <v>226</v>
      </c>
      <c r="D144" s="2">
        <v>381</v>
      </c>
      <c r="E144" s="2" t="s">
        <v>50</v>
      </c>
      <c r="F144" s="2">
        <v>12</v>
      </c>
      <c r="G144" s="2">
        <v>0</v>
      </c>
      <c r="H144" s="2">
        <v>1</v>
      </c>
      <c r="I144" s="2" t="s">
        <v>227</v>
      </c>
      <c r="J144" s="2" t="s">
        <v>183</v>
      </c>
      <c r="K144" s="2" t="s">
        <v>183</v>
      </c>
      <c r="L144" s="2">
        <v>246</v>
      </c>
      <c r="M144" s="2" t="s">
        <v>32</v>
      </c>
      <c r="N144" s="2" t="s">
        <v>228</v>
      </c>
    </row>
    <row r="145" spans="1:14" x14ac:dyDescent="0.25">
      <c r="A145" s="2">
        <v>7206</v>
      </c>
      <c r="B145" s="2">
        <v>7601</v>
      </c>
      <c r="C145" s="2" t="s">
        <v>226</v>
      </c>
      <c r="D145" s="2">
        <v>579</v>
      </c>
      <c r="E145" s="2" t="s">
        <v>79</v>
      </c>
      <c r="F145" s="2">
        <v>358652</v>
      </c>
      <c r="G145" s="2">
        <v>18.5</v>
      </c>
      <c r="H145" s="2">
        <v>98907</v>
      </c>
      <c r="I145" s="2" t="s">
        <v>227</v>
      </c>
      <c r="J145" s="2" t="s">
        <v>183</v>
      </c>
      <c r="K145" s="2" t="s">
        <v>183</v>
      </c>
      <c r="L145" s="2">
        <v>251</v>
      </c>
      <c r="M145" s="2" t="s">
        <v>33</v>
      </c>
      <c r="N145" s="2" t="s">
        <v>228</v>
      </c>
    </row>
    <row r="146" spans="1:14" x14ac:dyDescent="0.25">
      <c r="A146" s="2">
        <v>7207</v>
      </c>
      <c r="B146" s="2">
        <v>7601</v>
      </c>
      <c r="C146" s="2" t="s">
        <v>226</v>
      </c>
      <c r="D146" s="2">
        <v>643</v>
      </c>
      <c r="E146" s="2" t="s">
        <v>209</v>
      </c>
      <c r="F146" s="2">
        <v>189093</v>
      </c>
      <c r="G146" s="2">
        <v>9.8000000000000007</v>
      </c>
      <c r="H146" s="2">
        <v>55817</v>
      </c>
      <c r="I146" s="2" t="s">
        <v>227</v>
      </c>
      <c r="J146" s="2" t="s">
        <v>183</v>
      </c>
      <c r="K146" s="2" t="s">
        <v>183</v>
      </c>
      <c r="L146" s="2">
        <v>251</v>
      </c>
      <c r="M146" s="2" t="s">
        <v>33</v>
      </c>
      <c r="N146" s="2" t="s">
        <v>228</v>
      </c>
    </row>
    <row r="147" spans="1:14" x14ac:dyDescent="0.25">
      <c r="A147" s="2">
        <v>7208</v>
      </c>
      <c r="B147" s="2">
        <v>7601</v>
      </c>
      <c r="C147" s="2" t="s">
        <v>226</v>
      </c>
      <c r="D147" s="2">
        <v>756</v>
      </c>
      <c r="E147" s="2" t="s">
        <v>101</v>
      </c>
      <c r="F147" s="2">
        <v>142173</v>
      </c>
      <c r="G147" s="2">
        <v>7.3</v>
      </c>
      <c r="H147" s="2">
        <v>45778</v>
      </c>
      <c r="I147" s="2" t="s">
        <v>227</v>
      </c>
      <c r="J147" s="2" t="s">
        <v>183</v>
      </c>
      <c r="K147" s="2" t="s">
        <v>183</v>
      </c>
      <c r="L147" s="2">
        <v>251</v>
      </c>
      <c r="M147" s="2" t="s">
        <v>33</v>
      </c>
      <c r="N147" s="2" t="s">
        <v>228</v>
      </c>
    </row>
    <row r="148" spans="1:14" x14ac:dyDescent="0.25">
      <c r="A148" s="2">
        <v>7209</v>
      </c>
      <c r="B148" s="2">
        <v>7601</v>
      </c>
      <c r="C148" s="2" t="s">
        <v>226</v>
      </c>
      <c r="D148" s="2">
        <v>724</v>
      </c>
      <c r="E148" s="2" t="s">
        <v>98</v>
      </c>
      <c r="F148" s="2">
        <v>136361</v>
      </c>
      <c r="G148" s="2">
        <v>7</v>
      </c>
      <c r="H148" s="2">
        <v>39636</v>
      </c>
      <c r="I148" s="2" t="s">
        <v>227</v>
      </c>
      <c r="J148" s="2" t="s">
        <v>183</v>
      </c>
      <c r="K148" s="2" t="s">
        <v>183</v>
      </c>
      <c r="L148" s="2">
        <v>251</v>
      </c>
      <c r="M148" s="2" t="s">
        <v>33</v>
      </c>
      <c r="N148" s="2" t="s">
        <v>228</v>
      </c>
    </row>
    <row r="149" spans="1:14" x14ac:dyDescent="0.25">
      <c r="A149" s="2">
        <v>7210</v>
      </c>
      <c r="B149" s="2">
        <v>7601</v>
      </c>
      <c r="C149" s="2" t="s">
        <v>226</v>
      </c>
      <c r="D149" s="2">
        <v>352</v>
      </c>
      <c r="E149" s="2" t="s">
        <v>44</v>
      </c>
      <c r="F149" s="2">
        <v>136182</v>
      </c>
      <c r="G149" s="2">
        <v>7</v>
      </c>
      <c r="H149" s="2">
        <v>37341</v>
      </c>
      <c r="I149" s="2" t="s">
        <v>227</v>
      </c>
      <c r="J149" s="2" t="s">
        <v>183</v>
      </c>
      <c r="K149" s="2" t="s">
        <v>183</v>
      </c>
      <c r="L149" s="2">
        <v>251</v>
      </c>
      <c r="M149" s="2" t="s">
        <v>33</v>
      </c>
      <c r="N149" s="2" t="s">
        <v>228</v>
      </c>
    </row>
    <row r="150" spans="1:14" x14ac:dyDescent="0.25">
      <c r="A150" s="2">
        <v>7211</v>
      </c>
      <c r="B150" s="2">
        <v>7601</v>
      </c>
      <c r="C150" s="2" t="s">
        <v>226</v>
      </c>
      <c r="D150" s="2">
        <v>784</v>
      </c>
      <c r="E150" s="2" t="s">
        <v>109</v>
      </c>
      <c r="F150" s="2">
        <v>122246</v>
      </c>
      <c r="G150" s="2">
        <v>6.3</v>
      </c>
      <c r="H150" s="2">
        <v>35204</v>
      </c>
      <c r="I150" s="2" t="s">
        <v>227</v>
      </c>
      <c r="J150" s="2" t="s">
        <v>183</v>
      </c>
      <c r="K150" s="2" t="s">
        <v>183</v>
      </c>
      <c r="L150" s="2">
        <v>251</v>
      </c>
      <c r="M150" s="2" t="s">
        <v>33</v>
      </c>
      <c r="N150" s="2" t="s">
        <v>228</v>
      </c>
    </row>
    <row r="151" spans="1:14" x14ac:dyDescent="0.25">
      <c r="A151" s="2">
        <v>7212</v>
      </c>
      <c r="B151" s="2">
        <v>7601</v>
      </c>
      <c r="C151" s="2" t="s">
        <v>226</v>
      </c>
      <c r="D151" s="2">
        <v>276</v>
      </c>
      <c r="E151" s="2" t="s">
        <v>37</v>
      </c>
      <c r="F151" s="2">
        <v>113914</v>
      </c>
      <c r="G151" s="2">
        <v>5.9</v>
      </c>
      <c r="H151" s="2">
        <v>30534</v>
      </c>
      <c r="I151" s="2" t="s">
        <v>227</v>
      </c>
      <c r="J151" s="2" t="s">
        <v>183</v>
      </c>
      <c r="K151" s="2" t="s">
        <v>183</v>
      </c>
      <c r="L151" s="2">
        <v>251</v>
      </c>
      <c r="M151" s="2" t="s">
        <v>33</v>
      </c>
      <c r="N151" s="2" t="s">
        <v>228</v>
      </c>
    </row>
    <row r="152" spans="1:14" x14ac:dyDescent="0.25">
      <c r="A152" s="2">
        <v>7213</v>
      </c>
      <c r="B152" s="2">
        <v>7601</v>
      </c>
      <c r="C152" s="2" t="s">
        <v>226</v>
      </c>
      <c r="D152" s="2">
        <v>528</v>
      </c>
      <c r="E152" s="2" t="s">
        <v>75</v>
      </c>
      <c r="F152" s="2">
        <v>102635</v>
      </c>
      <c r="G152" s="2">
        <v>5.3</v>
      </c>
      <c r="H152" s="2">
        <v>26026</v>
      </c>
      <c r="I152" s="2" t="s">
        <v>227</v>
      </c>
      <c r="J152" s="2" t="s">
        <v>183</v>
      </c>
      <c r="K152" s="2" t="s">
        <v>183</v>
      </c>
      <c r="L152" s="2">
        <v>251</v>
      </c>
      <c r="M152" s="2" t="s">
        <v>33</v>
      </c>
      <c r="N152" s="2" t="s">
        <v>228</v>
      </c>
    </row>
    <row r="153" spans="1:14" x14ac:dyDescent="0.25">
      <c r="A153" s="2">
        <v>7214</v>
      </c>
      <c r="B153" s="2">
        <v>7601</v>
      </c>
      <c r="C153" s="2" t="s">
        <v>226</v>
      </c>
      <c r="D153" s="2">
        <v>442</v>
      </c>
      <c r="E153" s="2" t="s">
        <v>62</v>
      </c>
      <c r="F153" s="2">
        <v>71889</v>
      </c>
      <c r="G153" s="2">
        <v>3.7</v>
      </c>
      <c r="H153" s="2">
        <v>25942</v>
      </c>
      <c r="I153" s="2" t="s">
        <v>227</v>
      </c>
      <c r="J153" s="2" t="s">
        <v>183</v>
      </c>
      <c r="K153" s="2" t="s">
        <v>183</v>
      </c>
      <c r="L153" s="2">
        <v>251</v>
      </c>
      <c r="M153" s="2" t="s">
        <v>33</v>
      </c>
      <c r="N153" s="2" t="s">
        <v>228</v>
      </c>
    </row>
    <row r="154" spans="1:14" x14ac:dyDescent="0.25">
      <c r="A154" s="2">
        <v>7215</v>
      </c>
      <c r="B154" s="2">
        <v>7601</v>
      </c>
      <c r="C154" s="2" t="s">
        <v>226</v>
      </c>
      <c r="D154" s="2">
        <v>381</v>
      </c>
      <c r="E154" s="2" t="s">
        <v>50</v>
      </c>
      <c r="F154" s="2">
        <v>68219</v>
      </c>
      <c r="G154" s="2">
        <v>3.5</v>
      </c>
      <c r="H154" s="2">
        <v>23675</v>
      </c>
      <c r="I154" s="2" t="s">
        <v>227</v>
      </c>
      <c r="J154" s="2" t="s">
        <v>183</v>
      </c>
      <c r="K154" s="2" t="s">
        <v>183</v>
      </c>
      <c r="L154" s="2">
        <v>251</v>
      </c>
      <c r="M154" s="2" t="s">
        <v>33</v>
      </c>
      <c r="N154" s="2" t="s">
        <v>228</v>
      </c>
    </row>
    <row r="155" spans="1:14" x14ac:dyDescent="0.25">
      <c r="A155" s="2">
        <v>7216</v>
      </c>
      <c r="B155" s="2">
        <v>7601</v>
      </c>
      <c r="C155" s="2" t="s">
        <v>226</v>
      </c>
      <c r="D155" s="2">
        <v>710</v>
      </c>
      <c r="E155" s="2" t="s">
        <v>97</v>
      </c>
      <c r="F155" s="2">
        <v>58092</v>
      </c>
      <c r="G155" s="2">
        <v>3</v>
      </c>
      <c r="H155" s="2">
        <v>17703</v>
      </c>
      <c r="I155" s="2" t="s">
        <v>227</v>
      </c>
      <c r="J155" s="2" t="s">
        <v>183</v>
      </c>
      <c r="K155" s="2" t="s">
        <v>183</v>
      </c>
      <c r="L155" s="2">
        <v>251</v>
      </c>
      <c r="M155" s="2" t="s">
        <v>33</v>
      </c>
      <c r="N155" s="2" t="s">
        <v>228</v>
      </c>
    </row>
    <row r="156" spans="1:14" x14ac:dyDescent="0.25">
      <c r="A156" s="2">
        <v>7217</v>
      </c>
      <c r="B156" s="2">
        <v>7601</v>
      </c>
      <c r="C156" s="2" t="s">
        <v>226</v>
      </c>
      <c r="D156" s="2">
        <v>554</v>
      </c>
      <c r="E156" s="2" t="s">
        <v>76</v>
      </c>
      <c r="F156" s="2">
        <v>43059</v>
      </c>
      <c r="G156" s="2">
        <v>2.2000000000000002</v>
      </c>
      <c r="H156" s="2">
        <v>12613</v>
      </c>
      <c r="I156" s="2" t="s">
        <v>227</v>
      </c>
      <c r="J156" s="2" t="s">
        <v>183</v>
      </c>
      <c r="K156" s="2" t="s">
        <v>183</v>
      </c>
      <c r="L156" s="2">
        <v>251</v>
      </c>
      <c r="M156" s="2" t="s">
        <v>33</v>
      </c>
      <c r="N156" s="2" t="s">
        <v>228</v>
      </c>
    </row>
    <row r="157" spans="1:14" x14ac:dyDescent="0.25">
      <c r="A157" s="2">
        <v>7218</v>
      </c>
      <c r="B157" s="2">
        <v>7601</v>
      </c>
      <c r="C157" s="2" t="s">
        <v>226</v>
      </c>
      <c r="D157" s="2">
        <v>124</v>
      </c>
      <c r="E157" s="2" t="s">
        <v>16</v>
      </c>
      <c r="F157" s="2">
        <v>38869</v>
      </c>
      <c r="G157" s="2">
        <v>2</v>
      </c>
      <c r="H157" s="2">
        <v>12165</v>
      </c>
      <c r="I157" s="2" t="s">
        <v>227</v>
      </c>
      <c r="J157" s="2" t="s">
        <v>183</v>
      </c>
      <c r="K157" s="2" t="s">
        <v>183</v>
      </c>
      <c r="L157" s="2">
        <v>251</v>
      </c>
      <c r="M157" s="2" t="s">
        <v>33</v>
      </c>
      <c r="N157" s="2" t="s">
        <v>228</v>
      </c>
    </row>
    <row r="158" spans="1:14" x14ac:dyDescent="0.25">
      <c r="A158" s="2">
        <v>7219</v>
      </c>
      <c r="B158" s="2">
        <v>7601</v>
      </c>
      <c r="C158" s="2" t="s">
        <v>226</v>
      </c>
      <c r="D158" s="2">
        <v>512</v>
      </c>
      <c r="E158" s="2" t="s">
        <v>80</v>
      </c>
      <c r="F158" s="2">
        <v>36450</v>
      </c>
      <c r="G158" s="2">
        <v>1.9</v>
      </c>
      <c r="H158" s="2">
        <v>11567</v>
      </c>
      <c r="I158" s="2" t="s">
        <v>227</v>
      </c>
      <c r="J158" s="2" t="s">
        <v>183</v>
      </c>
      <c r="K158" s="2" t="s">
        <v>183</v>
      </c>
      <c r="L158" s="2">
        <v>251</v>
      </c>
      <c r="M158" s="2" t="s">
        <v>33</v>
      </c>
      <c r="N158" s="2" t="s">
        <v>228</v>
      </c>
    </row>
    <row r="159" spans="1:14" x14ac:dyDescent="0.25">
      <c r="A159" s="2">
        <v>7220</v>
      </c>
      <c r="B159" s="2">
        <v>7601</v>
      </c>
      <c r="C159" s="2" t="s">
        <v>226</v>
      </c>
      <c r="D159" s="2">
        <v>508</v>
      </c>
      <c r="E159" s="2" t="s">
        <v>123</v>
      </c>
      <c r="F159" s="2">
        <v>35485</v>
      </c>
      <c r="G159" s="2">
        <v>1.8</v>
      </c>
      <c r="H159" s="2">
        <v>11030</v>
      </c>
      <c r="I159" s="2" t="s">
        <v>227</v>
      </c>
      <c r="J159" s="2" t="s">
        <v>183</v>
      </c>
      <c r="K159" s="2" t="s">
        <v>183</v>
      </c>
      <c r="L159" s="2">
        <v>251</v>
      </c>
      <c r="M159" s="2" t="s">
        <v>33</v>
      </c>
      <c r="N159" s="2" t="s">
        <v>228</v>
      </c>
    </row>
    <row r="160" spans="1:14" x14ac:dyDescent="0.25">
      <c r="A160" s="2">
        <v>7221</v>
      </c>
      <c r="B160" s="2">
        <v>7601</v>
      </c>
      <c r="C160" s="2" t="s">
        <v>226</v>
      </c>
      <c r="D160" s="2">
        <v>842</v>
      </c>
      <c r="E160" s="2" t="s">
        <v>229</v>
      </c>
      <c r="F160" s="2">
        <v>33096</v>
      </c>
      <c r="G160" s="2">
        <v>1.7</v>
      </c>
      <c r="H160" s="2">
        <v>5050</v>
      </c>
      <c r="I160" s="2" t="s">
        <v>227</v>
      </c>
      <c r="J160" s="2" t="s">
        <v>183</v>
      </c>
      <c r="K160" s="2" t="s">
        <v>183</v>
      </c>
      <c r="L160" s="2">
        <v>251</v>
      </c>
      <c r="M160" s="2" t="s">
        <v>33</v>
      </c>
      <c r="N160" s="2" t="s">
        <v>228</v>
      </c>
    </row>
    <row r="161" spans="1:14" x14ac:dyDescent="0.25">
      <c r="A161" s="2">
        <v>7222</v>
      </c>
      <c r="B161" s="2">
        <v>7601</v>
      </c>
      <c r="C161" s="2" t="s">
        <v>226</v>
      </c>
      <c r="D161" s="2">
        <v>120</v>
      </c>
      <c r="E161" s="2" t="s">
        <v>120</v>
      </c>
      <c r="F161" s="2">
        <v>32701</v>
      </c>
      <c r="G161" s="2">
        <v>1.7</v>
      </c>
      <c r="H161" s="2">
        <v>10272</v>
      </c>
      <c r="I161" s="2" t="s">
        <v>227</v>
      </c>
      <c r="J161" s="2" t="s">
        <v>183</v>
      </c>
      <c r="K161" s="2" t="s">
        <v>183</v>
      </c>
      <c r="L161" s="2">
        <v>251</v>
      </c>
      <c r="M161" s="2" t="s">
        <v>33</v>
      </c>
      <c r="N161" s="2" t="s">
        <v>228</v>
      </c>
    </row>
    <row r="162" spans="1:14" x14ac:dyDescent="0.25">
      <c r="A162" s="2">
        <v>7223</v>
      </c>
      <c r="B162" s="2">
        <v>7601</v>
      </c>
      <c r="C162" s="2" t="s">
        <v>226</v>
      </c>
      <c r="D162" s="2">
        <v>682</v>
      </c>
      <c r="E162" s="2" t="s">
        <v>90</v>
      </c>
      <c r="F162" s="2">
        <v>31645</v>
      </c>
      <c r="G162" s="2">
        <v>1.6</v>
      </c>
      <c r="H162" s="2">
        <v>10667</v>
      </c>
      <c r="I162" s="2" t="s">
        <v>227</v>
      </c>
      <c r="J162" s="2" t="s">
        <v>183</v>
      </c>
      <c r="K162" s="2" t="s">
        <v>183</v>
      </c>
      <c r="L162" s="2">
        <v>251</v>
      </c>
      <c r="M162" s="2" t="s">
        <v>33</v>
      </c>
      <c r="N162" s="2" t="s">
        <v>228</v>
      </c>
    </row>
    <row r="163" spans="1:14" x14ac:dyDescent="0.25">
      <c r="A163" s="2">
        <v>7224</v>
      </c>
      <c r="B163" s="2">
        <v>7601</v>
      </c>
      <c r="C163" s="2" t="s">
        <v>226</v>
      </c>
      <c r="D163" s="2">
        <v>699</v>
      </c>
      <c r="E163" s="2" t="s">
        <v>45</v>
      </c>
      <c r="F163" s="2">
        <v>25789</v>
      </c>
      <c r="G163" s="2">
        <v>1.3</v>
      </c>
      <c r="H163" s="2">
        <v>7869</v>
      </c>
      <c r="I163" s="2" t="s">
        <v>227</v>
      </c>
      <c r="J163" s="2" t="s">
        <v>183</v>
      </c>
      <c r="K163" s="2" t="s">
        <v>183</v>
      </c>
      <c r="L163" s="2">
        <v>251</v>
      </c>
      <c r="M163" s="2" t="s">
        <v>33</v>
      </c>
      <c r="N163" s="2" t="s">
        <v>228</v>
      </c>
    </row>
    <row r="164" spans="1:14" x14ac:dyDescent="0.25">
      <c r="A164" s="2">
        <v>7225</v>
      </c>
      <c r="B164" s="2">
        <v>7601</v>
      </c>
      <c r="C164" s="2" t="s">
        <v>226</v>
      </c>
      <c r="D164" s="2">
        <v>56</v>
      </c>
      <c r="E164" s="2" t="s">
        <v>11</v>
      </c>
      <c r="F164" s="2">
        <v>24551</v>
      </c>
      <c r="G164" s="2">
        <v>1.3</v>
      </c>
      <c r="H164" s="2">
        <v>7246</v>
      </c>
      <c r="I164" s="2" t="s">
        <v>227</v>
      </c>
      <c r="J164" s="2" t="s">
        <v>183</v>
      </c>
      <c r="K164" s="2" t="s">
        <v>183</v>
      </c>
      <c r="L164" s="2">
        <v>251</v>
      </c>
      <c r="M164" s="2" t="s">
        <v>33</v>
      </c>
      <c r="N164" s="2" t="s">
        <v>228</v>
      </c>
    </row>
    <row r="165" spans="1:14" x14ac:dyDescent="0.25">
      <c r="A165" s="2">
        <v>7226</v>
      </c>
      <c r="B165" s="2">
        <v>7601</v>
      </c>
      <c r="C165" s="2" t="s">
        <v>226</v>
      </c>
      <c r="D165" s="2">
        <v>616</v>
      </c>
      <c r="E165" s="2" t="s">
        <v>86</v>
      </c>
      <c r="F165" s="2">
        <v>21775</v>
      </c>
      <c r="G165" s="2">
        <v>1.1000000000000001</v>
      </c>
      <c r="H165" s="2">
        <v>8510</v>
      </c>
      <c r="I165" s="2" t="s">
        <v>227</v>
      </c>
      <c r="J165" s="2" t="s">
        <v>183</v>
      </c>
      <c r="K165" s="2" t="s">
        <v>183</v>
      </c>
      <c r="L165" s="2">
        <v>251</v>
      </c>
      <c r="M165" s="2" t="s">
        <v>33</v>
      </c>
      <c r="N165" s="2" t="s">
        <v>228</v>
      </c>
    </row>
    <row r="166" spans="1:14" x14ac:dyDescent="0.25">
      <c r="A166" s="2">
        <v>7227</v>
      </c>
      <c r="B166" s="2">
        <v>7601</v>
      </c>
      <c r="C166" s="2" t="s">
        <v>226</v>
      </c>
      <c r="D166" s="2">
        <v>826</v>
      </c>
      <c r="E166" s="2" t="s">
        <v>110</v>
      </c>
      <c r="F166" s="2">
        <v>17857</v>
      </c>
      <c r="G166" s="2">
        <v>0.9</v>
      </c>
      <c r="H166" s="2">
        <v>5828</v>
      </c>
      <c r="I166" s="2" t="s">
        <v>227</v>
      </c>
      <c r="J166" s="2" t="s">
        <v>183</v>
      </c>
      <c r="K166" s="2" t="s">
        <v>183</v>
      </c>
      <c r="L166" s="2">
        <v>251</v>
      </c>
      <c r="M166" s="2" t="s">
        <v>33</v>
      </c>
      <c r="N166" s="2" t="s">
        <v>228</v>
      </c>
    </row>
    <row r="167" spans="1:14" x14ac:dyDescent="0.25">
      <c r="A167" s="2">
        <v>7228</v>
      </c>
      <c r="B167" s="2">
        <v>7601</v>
      </c>
      <c r="C167" s="2" t="s">
        <v>226</v>
      </c>
      <c r="D167" s="2">
        <v>48</v>
      </c>
      <c r="E167" s="2" t="s">
        <v>7</v>
      </c>
      <c r="F167" s="2">
        <v>15544</v>
      </c>
      <c r="G167" s="2">
        <v>0.8</v>
      </c>
      <c r="H167" s="2">
        <v>4141</v>
      </c>
      <c r="I167" s="2" t="s">
        <v>227</v>
      </c>
      <c r="J167" s="2" t="s">
        <v>183</v>
      </c>
      <c r="K167" s="2" t="s">
        <v>183</v>
      </c>
      <c r="L167" s="2">
        <v>251</v>
      </c>
      <c r="M167" s="2" t="s">
        <v>33</v>
      </c>
      <c r="N167" s="2" t="s">
        <v>228</v>
      </c>
    </row>
    <row r="168" spans="1:14" x14ac:dyDescent="0.25">
      <c r="A168" s="2">
        <v>7229</v>
      </c>
      <c r="B168" s="2">
        <v>7601</v>
      </c>
      <c r="C168" s="2" t="s">
        <v>226</v>
      </c>
      <c r="D168" s="2">
        <v>40</v>
      </c>
      <c r="E168" s="2" t="s">
        <v>5</v>
      </c>
      <c r="F168" s="2">
        <v>14133</v>
      </c>
      <c r="G168" s="2">
        <v>0.7</v>
      </c>
      <c r="H168" s="2">
        <v>5325</v>
      </c>
      <c r="I168" s="2" t="s">
        <v>227</v>
      </c>
      <c r="J168" s="2" t="s">
        <v>183</v>
      </c>
      <c r="K168" s="2" t="s">
        <v>183</v>
      </c>
      <c r="L168" s="2">
        <v>251</v>
      </c>
      <c r="M168" s="2" t="s">
        <v>33</v>
      </c>
      <c r="N168" s="2" t="s">
        <v>228</v>
      </c>
    </row>
    <row r="169" spans="1:14" x14ac:dyDescent="0.25">
      <c r="A169" s="2">
        <v>7237</v>
      </c>
      <c r="B169" s="2">
        <v>7601</v>
      </c>
      <c r="C169" s="2" t="s">
        <v>226</v>
      </c>
      <c r="D169" s="2">
        <v>40</v>
      </c>
      <c r="E169" s="2" t="s">
        <v>5</v>
      </c>
      <c r="F169" s="2">
        <v>451564</v>
      </c>
      <c r="G169" s="2">
        <v>5.2</v>
      </c>
      <c r="H169" s="2">
        <v>127420</v>
      </c>
      <c r="I169" s="2" t="s">
        <v>227</v>
      </c>
      <c r="J169" s="2" t="s">
        <v>183</v>
      </c>
      <c r="K169" s="2" t="s">
        <v>183</v>
      </c>
      <c r="L169" s="2">
        <v>276</v>
      </c>
      <c r="M169" s="2" t="s">
        <v>37</v>
      </c>
      <c r="N169" s="2" t="s">
        <v>228</v>
      </c>
    </row>
    <row r="170" spans="1:14" x14ac:dyDescent="0.25">
      <c r="A170" s="2">
        <v>7243</v>
      </c>
      <c r="B170" s="2">
        <v>7601</v>
      </c>
      <c r="C170" s="2" t="s">
        <v>226</v>
      </c>
      <c r="D170" s="2">
        <v>48</v>
      </c>
      <c r="E170" s="2" t="s">
        <v>7</v>
      </c>
      <c r="F170" s="2">
        <v>182707</v>
      </c>
      <c r="G170" s="2">
        <v>2.1</v>
      </c>
      <c r="H170" s="2">
        <v>53284</v>
      </c>
      <c r="I170" s="2" t="s">
        <v>227</v>
      </c>
      <c r="J170" s="2" t="s">
        <v>183</v>
      </c>
      <c r="K170" s="2" t="s">
        <v>183</v>
      </c>
      <c r="L170" s="2">
        <v>276</v>
      </c>
      <c r="M170" s="2" t="s">
        <v>37</v>
      </c>
      <c r="N170" s="2" t="s">
        <v>228</v>
      </c>
    </row>
    <row r="171" spans="1:14" x14ac:dyDescent="0.25">
      <c r="A171" s="2">
        <v>7253</v>
      </c>
      <c r="B171" s="2">
        <v>7601</v>
      </c>
      <c r="C171" s="2" t="s">
        <v>226</v>
      </c>
      <c r="D171" s="2">
        <v>56</v>
      </c>
      <c r="E171" s="2" t="s">
        <v>11</v>
      </c>
      <c r="F171" s="2">
        <v>48721</v>
      </c>
      <c r="G171" s="2">
        <v>0.6</v>
      </c>
      <c r="H171" s="2">
        <v>12746</v>
      </c>
      <c r="I171" s="2" t="s">
        <v>227</v>
      </c>
      <c r="J171" s="2" t="s">
        <v>183</v>
      </c>
      <c r="K171" s="2" t="s">
        <v>183</v>
      </c>
      <c r="L171" s="2">
        <v>276</v>
      </c>
      <c r="M171" s="2" t="s">
        <v>37</v>
      </c>
      <c r="N171" s="2" t="s">
        <v>228</v>
      </c>
    </row>
    <row r="172" spans="1:14" x14ac:dyDescent="0.25">
      <c r="A172" s="2">
        <v>7247</v>
      </c>
      <c r="B172" s="2">
        <v>7601</v>
      </c>
      <c r="C172" s="2" t="s">
        <v>226</v>
      </c>
      <c r="D172" s="2">
        <v>124</v>
      </c>
      <c r="E172" s="2" t="s">
        <v>16</v>
      </c>
      <c r="F172" s="2">
        <v>94028</v>
      </c>
      <c r="G172" s="2">
        <v>1.1000000000000001</v>
      </c>
      <c r="H172" s="2">
        <v>25336</v>
      </c>
      <c r="I172" s="2" t="s">
        <v>227</v>
      </c>
      <c r="J172" s="2" t="s">
        <v>183</v>
      </c>
      <c r="K172" s="2" t="s">
        <v>183</v>
      </c>
      <c r="L172" s="2">
        <v>276</v>
      </c>
      <c r="M172" s="2" t="s">
        <v>37</v>
      </c>
      <c r="N172" s="2" t="s">
        <v>228</v>
      </c>
    </row>
    <row r="173" spans="1:14" x14ac:dyDescent="0.25">
      <c r="A173" s="2">
        <v>7245</v>
      </c>
      <c r="B173" s="2">
        <v>7601</v>
      </c>
      <c r="C173" s="2" t="s">
        <v>226</v>
      </c>
      <c r="D173" s="2">
        <v>203</v>
      </c>
      <c r="E173" s="2" t="s">
        <v>211</v>
      </c>
      <c r="F173" s="2">
        <v>129293</v>
      </c>
      <c r="G173" s="2">
        <v>1.5</v>
      </c>
      <c r="H173" s="2">
        <v>44333</v>
      </c>
      <c r="I173" s="2" t="s">
        <v>227</v>
      </c>
      <c r="J173" s="2" t="s">
        <v>183</v>
      </c>
      <c r="K173" s="2" t="s">
        <v>183</v>
      </c>
      <c r="L173" s="2">
        <v>276</v>
      </c>
      <c r="M173" s="2" t="s">
        <v>37</v>
      </c>
      <c r="N173" s="2" t="s">
        <v>228</v>
      </c>
    </row>
    <row r="174" spans="1:14" x14ac:dyDescent="0.25">
      <c r="A174" s="2">
        <v>7088</v>
      </c>
      <c r="B174" s="2">
        <v>7601</v>
      </c>
      <c r="C174" s="2" t="s">
        <v>226</v>
      </c>
      <c r="D174" s="2">
        <v>251</v>
      </c>
      <c r="E174" s="2" t="s">
        <v>33</v>
      </c>
      <c r="F174" s="2">
        <v>102655</v>
      </c>
      <c r="G174" s="2">
        <v>8.8000000000000007</v>
      </c>
      <c r="H174" s="2">
        <v>31205</v>
      </c>
      <c r="I174" s="2" t="s">
        <v>227</v>
      </c>
      <c r="J174" s="2" t="s">
        <v>183</v>
      </c>
      <c r="K174" s="2" t="s">
        <v>183</v>
      </c>
      <c r="L174" s="2">
        <v>56</v>
      </c>
      <c r="M174" s="2" t="s">
        <v>11</v>
      </c>
      <c r="N174" s="2" t="s">
        <v>228</v>
      </c>
    </row>
    <row r="175" spans="1:14" x14ac:dyDescent="0.25">
      <c r="A175" s="2">
        <v>7235</v>
      </c>
      <c r="B175" s="2">
        <v>7601</v>
      </c>
      <c r="C175" s="2" t="s">
        <v>226</v>
      </c>
      <c r="D175" s="2">
        <v>251</v>
      </c>
      <c r="E175" s="2" t="s">
        <v>33</v>
      </c>
      <c r="F175" s="2">
        <v>574032</v>
      </c>
      <c r="G175" s="2">
        <v>6.6</v>
      </c>
      <c r="H175" s="2">
        <v>174268</v>
      </c>
      <c r="I175" s="2" t="s">
        <v>227</v>
      </c>
      <c r="J175" s="2" t="s">
        <v>183</v>
      </c>
      <c r="K175" s="2" t="s">
        <v>183</v>
      </c>
      <c r="L175" s="2">
        <v>276</v>
      </c>
      <c r="M175" s="2" t="s">
        <v>37</v>
      </c>
      <c r="N175" s="2" t="s">
        <v>228</v>
      </c>
    </row>
    <row r="176" spans="1:14" x14ac:dyDescent="0.25">
      <c r="A176" s="2">
        <v>7234</v>
      </c>
      <c r="B176" s="2">
        <v>7601</v>
      </c>
      <c r="C176" s="2" t="s">
        <v>226</v>
      </c>
      <c r="D176" s="2">
        <v>352</v>
      </c>
      <c r="E176" s="2" t="s">
        <v>44</v>
      </c>
      <c r="F176" s="2">
        <v>615703</v>
      </c>
      <c r="G176" s="2">
        <v>7.1</v>
      </c>
      <c r="H176" s="2">
        <v>172731</v>
      </c>
      <c r="I176" s="2" t="s">
        <v>227</v>
      </c>
      <c r="J176" s="2" t="s">
        <v>183</v>
      </c>
      <c r="K176" s="2" t="s">
        <v>183</v>
      </c>
      <c r="L176" s="2">
        <v>276</v>
      </c>
      <c r="M176" s="2" t="s">
        <v>37</v>
      </c>
      <c r="N176" s="2" t="s">
        <v>228</v>
      </c>
    </row>
    <row r="177" spans="1:14" x14ac:dyDescent="0.25">
      <c r="A177" s="2">
        <v>7242</v>
      </c>
      <c r="B177" s="2">
        <v>7601</v>
      </c>
      <c r="C177" s="2" t="s">
        <v>226</v>
      </c>
      <c r="D177" s="2">
        <v>699</v>
      </c>
      <c r="E177" s="2" t="s">
        <v>45</v>
      </c>
      <c r="F177" s="2">
        <v>184237</v>
      </c>
      <c r="G177" s="2">
        <v>2.1</v>
      </c>
      <c r="H177" s="2">
        <v>57918</v>
      </c>
      <c r="I177" s="2" t="s">
        <v>227</v>
      </c>
      <c r="J177" s="2" t="s">
        <v>183</v>
      </c>
      <c r="K177" s="2" t="s">
        <v>183</v>
      </c>
      <c r="L177" s="2">
        <v>276</v>
      </c>
      <c r="M177" s="2" t="s">
        <v>37</v>
      </c>
      <c r="N177" s="2" t="s">
        <v>228</v>
      </c>
    </row>
    <row r="178" spans="1:14" x14ac:dyDescent="0.25">
      <c r="A178" s="2">
        <v>7238</v>
      </c>
      <c r="B178" s="2">
        <v>7601</v>
      </c>
      <c r="C178" s="2" t="s">
        <v>226</v>
      </c>
      <c r="D178" s="2">
        <v>381</v>
      </c>
      <c r="E178" s="2" t="s">
        <v>50</v>
      </c>
      <c r="F178" s="2">
        <v>274970</v>
      </c>
      <c r="G178" s="2">
        <v>3.2</v>
      </c>
      <c r="H178" s="2">
        <v>88405</v>
      </c>
      <c r="I178" s="2" t="s">
        <v>227</v>
      </c>
      <c r="J178" s="2" t="s">
        <v>183</v>
      </c>
      <c r="K178" s="2" t="s">
        <v>183</v>
      </c>
      <c r="L178" s="2">
        <v>276</v>
      </c>
      <c r="M178" s="2" t="s">
        <v>37</v>
      </c>
      <c r="N178" s="2" t="s">
        <v>228</v>
      </c>
    </row>
    <row r="179" spans="1:14" x14ac:dyDescent="0.25">
      <c r="A179" s="2">
        <v>7240</v>
      </c>
      <c r="B179" s="2">
        <v>7601</v>
      </c>
      <c r="C179" s="2" t="s">
        <v>226</v>
      </c>
      <c r="D179" s="2">
        <v>442</v>
      </c>
      <c r="E179" s="2" t="s">
        <v>62</v>
      </c>
      <c r="F179" s="2">
        <v>256696</v>
      </c>
      <c r="G179" s="2">
        <v>3</v>
      </c>
      <c r="H179" s="2">
        <v>70528</v>
      </c>
      <c r="I179" s="2" t="s">
        <v>227</v>
      </c>
      <c r="J179" s="2" t="s">
        <v>183</v>
      </c>
      <c r="K179" s="2" t="s">
        <v>183</v>
      </c>
      <c r="L179" s="2">
        <v>276</v>
      </c>
      <c r="M179" s="2" t="s">
        <v>37</v>
      </c>
      <c r="N179" s="2" t="s">
        <v>228</v>
      </c>
    </row>
    <row r="180" spans="1:14" x14ac:dyDescent="0.25">
      <c r="A180" s="2">
        <v>7248</v>
      </c>
      <c r="B180" s="2">
        <v>7601</v>
      </c>
      <c r="C180" s="2" t="s">
        <v>226</v>
      </c>
      <c r="D180" s="2">
        <v>508</v>
      </c>
      <c r="E180" s="2" t="s">
        <v>123</v>
      </c>
      <c r="F180" s="2">
        <v>82414</v>
      </c>
      <c r="G180" s="2">
        <v>1</v>
      </c>
      <c r="H180" s="2">
        <v>26229</v>
      </c>
      <c r="I180" s="2" t="s">
        <v>227</v>
      </c>
      <c r="J180" s="2" t="s">
        <v>183</v>
      </c>
      <c r="K180" s="2" t="s">
        <v>183</v>
      </c>
      <c r="L180" s="2">
        <v>276</v>
      </c>
      <c r="M180" s="2" t="s">
        <v>37</v>
      </c>
      <c r="N180" s="2" t="s">
        <v>228</v>
      </c>
    </row>
    <row r="181" spans="1:14" x14ac:dyDescent="0.25">
      <c r="A181" s="2">
        <v>7230</v>
      </c>
      <c r="B181" s="2">
        <v>7601</v>
      </c>
      <c r="C181" s="2" t="s">
        <v>226</v>
      </c>
      <c r="D181" s="2">
        <v>528</v>
      </c>
      <c r="E181" s="2" t="s">
        <v>75</v>
      </c>
      <c r="F181" s="2">
        <v>1596398</v>
      </c>
      <c r="G181" s="2">
        <v>18.399999999999999</v>
      </c>
      <c r="H181" s="2">
        <v>475517</v>
      </c>
      <c r="I181" s="2" t="s">
        <v>227</v>
      </c>
      <c r="J181" s="2" t="s">
        <v>183</v>
      </c>
      <c r="K181" s="2" t="s">
        <v>183</v>
      </c>
      <c r="L181" s="2">
        <v>276</v>
      </c>
      <c r="M181" s="2" t="s">
        <v>37</v>
      </c>
      <c r="N181" s="2" t="s">
        <v>228</v>
      </c>
    </row>
    <row r="182" spans="1:14" x14ac:dyDescent="0.25">
      <c r="A182" s="2">
        <v>7231</v>
      </c>
      <c r="B182" s="2">
        <v>7601</v>
      </c>
      <c r="C182" s="2" t="s">
        <v>226</v>
      </c>
      <c r="D182" s="2">
        <v>579</v>
      </c>
      <c r="E182" s="2" t="s">
        <v>79</v>
      </c>
      <c r="F182" s="2">
        <v>834278</v>
      </c>
      <c r="G182" s="2">
        <v>9.6</v>
      </c>
      <c r="H182" s="2">
        <v>236431</v>
      </c>
      <c r="I182" s="2" t="s">
        <v>227</v>
      </c>
      <c r="J182" s="2" t="s">
        <v>183</v>
      </c>
      <c r="K182" s="2" t="s">
        <v>183</v>
      </c>
      <c r="L182" s="2">
        <v>276</v>
      </c>
      <c r="M182" s="2" t="s">
        <v>37</v>
      </c>
      <c r="N182" s="2" t="s">
        <v>228</v>
      </c>
    </row>
    <row r="183" spans="1:14" x14ac:dyDescent="0.25">
      <c r="A183" s="2">
        <v>7241</v>
      </c>
      <c r="B183" s="2">
        <v>7601</v>
      </c>
      <c r="C183" s="2" t="s">
        <v>226</v>
      </c>
      <c r="D183" s="2">
        <v>616</v>
      </c>
      <c r="E183" s="2" t="s">
        <v>86</v>
      </c>
      <c r="F183" s="2">
        <v>203291</v>
      </c>
      <c r="G183" s="2">
        <v>2.2999999999999998</v>
      </c>
      <c r="H183" s="2">
        <v>63596</v>
      </c>
      <c r="I183" s="2" t="s">
        <v>227</v>
      </c>
      <c r="J183" s="2" t="s">
        <v>183</v>
      </c>
      <c r="K183" s="2" t="s">
        <v>183</v>
      </c>
      <c r="L183" s="2">
        <v>276</v>
      </c>
      <c r="M183" s="2" t="s">
        <v>37</v>
      </c>
      <c r="N183" s="2" t="s">
        <v>228</v>
      </c>
    </row>
    <row r="184" spans="1:14" x14ac:dyDescent="0.25">
      <c r="A184" s="2">
        <v>7250</v>
      </c>
      <c r="B184" s="2">
        <v>7601</v>
      </c>
      <c r="C184" s="2" t="s">
        <v>226</v>
      </c>
      <c r="D184" s="2">
        <v>642</v>
      </c>
      <c r="E184" s="2" t="s">
        <v>89</v>
      </c>
      <c r="F184" s="2">
        <v>77183</v>
      </c>
      <c r="G184" s="2">
        <v>0.9</v>
      </c>
      <c r="H184" s="2">
        <v>25751</v>
      </c>
      <c r="I184" s="2" t="s">
        <v>227</v>
      </c>
      <c r="J184" s="2" t="s">
        <v>183</v>
      </c>
      <c r="K184" s="2" t="s">
        <v>183</v>
      </c>
      <c r="L184" s="2">
        <v>276</v>
      </c>
      <c r="M184" s="2" t="s">
        <v>37</v>
      </c>
      <c r="N184" s="2" t="s">
        <v>228</v>
      </c>
    </row>
    <row r="185" spans="1:14" x14ac:dyDescent="0.25">
      <c r="A185" s="2">
        <v>7236</v>
      </c>
      <c r="B185" s="2">
        <v>7601</v>
      </c>
      <c r="C185" s="2" t="s">
        <v>226</v>
      </c>
      <c r="D185" s="2">
        <v>643</v>
      </c>
      <c r="E185" s="2" t="s">
        <v>209</v>
      </c>
      <c r="F185" s="2">
        <v>469628</v>
      </c>
      <c r="G185" s="2">
        <v>5.4</v>
      </c>
      <c r="H185" s="2">
        <v>147659</v>
      </c>
      <c r="I185" s="2" t="s">
        <v>227</v>
      </c>
      <c r="J185" s="2" t="s">
        <v>183</v>
      </c>
      <c r="K185" s="2" t="s">
        <v>183</v>
      </c>
      <c r="L185" s="2">
        <v>276</v>
      </c>
      <c r="M185" s="2" t="s">
        <v>37</v>
      </c>
      <c r="N185" s="2" t="s">
        <v>228</v>
      </c>
    </row>
    <row r="186" spans="1:14" x14ac:dyDescent="0.25">
      <c r="A186" s="2">
        <v>7239</v>
      </c>
      <c r="B186" s="2">
        <v>7601</v>
      </c>
      <c r="C186" s="2" t="s">
        <v>226</v>
      </c>
      <c r="D186" s="2">
        <v>710</v>
      </c>
      <c r="E186" s="2" t="s">
        <v>97</v>
      </c>
      <c r="F186" s="2">
        <v>271672</v>
      </c>
      <c r="G186" s="2">
        <v>3.1</v>
      </c>
      <c r="H186" s="2">
        <v>83276</v>
      </c>
      <c r="I186" s="2" t="s">
        <v>227</v>
      </c>
      <c r="J186" s="2" t="s">
        <v>183</v>
      </c>
      <c r="K186" s="2" t="s">
        <v>183</v>
      </c>
      <c r="L186" s="2">
        <v>276</v>
      </c>
      <c r="M186" s="2" t="s">
        <v>37</v>
      </c>
      <c r="N186" s="2" t="s">
        <v>228</v>
      </c>
    </row>
    <row r="187" spans="1:14" x14ac:dyDescent="0.25">
      <c r="A187" s="2">
        <v>7251</v>
      </c>
      <c r="B187" s="2">
        <v>7601</v>
      </c>
      <c r="C187" s="2" t="s">
        <v>226</v>
      </c>
      <c r="D187" s="2">
        <v>724</v>
      </c>
      <c r="E187" s="2" t="s">
        <v>98</v>
      </c>
      <c r="F187" s="2">
        <v>76295</v>
      </c>
      <c r="G187" s="2">
        <v>0.9</v>
      </c>
      <c r="H187" s="2">
        <v>24627</v>
      </c>
      <c r="I187" s="2" t="s">
        <v>227</v>
      </c>
      <c r="J187" s="2" t="s">
        <v>183</v>
      </c>
      <c r="K187" s="2" t="s">
        <v>183</v>
      </c>
      <c r="L187" s="2">
        <v>276</v>
      </c>
      <c r="M187" s="2" t="s">
        <v>37</v>
      </c>
      <c r="N187" s="2" t="s">
        <v>228</v>
      </c>
    </row>
    <row r="188" spans="1:14" x14ac:dyDescent="0.25">
      <c r="A188" s="2">
        <v>7249</v>
      </c>
      <c r="B188" s="2">
        <v>7601</v>
      </c>
      <c r="C188" s="2" t="s">
        <v>226</v>
      </c>
      <c r="D188" s="2">
        <v>752</v>
      </c>
      <c r="E188" s="2" t="s">
        <v>100</v>
      </c>
      <c r="F188" s="2">
        <v>78147</v>
      </c>
      <c r="G188" s="2">
        <v>0.9</v>
      </c>
      <c r="H188" s="2">
        <v>25730</v>
      </c>
      <c r="I188" s="2" t="s">
        <v>227</v>
      </c>
      <c r="J188" s="2" t="s">
        <v>183</v>
      </c>
      <c r="K188" s="2" t="s">
        <v>183</v>
      </c>
      <c r="L188" s="2">
        <v>276</v>
      </c>
      <c r="M188" s="2" t="s">
        <v>37</v>
      </c>
      <c r="N188" s="2" t="s">
        <v>228</v>
      </c>
    </row>
    <row r="189" spans="1:14" x14ac:dyDescent="0.25">
      <c r="A189" s="2">
        <v>7246</v>
      </c>
      <c r="B189" s="2">
        <v>7601</v>
      </c>
      <c r="C189" s="2" t="s">
        <v>226</v>
      </c>
      <c r="D189" s="2">
        <v>756</v>
      </c>
      <c r="E189" s="2" t="s">
        <v>101</v>
      </c>
      <c r="F189" s="2">
        <v>104868</v>
      </c>
      <c r="G189" s="2">
        <v>1.2</v>
      </c>
      <c r="H189" s="2">
        <v>28117</v>
      </c>
      <c r="I189" s="2" t="s">
        <v>227</v>
      </c>
      <c r="J189" s="2" t="s">
        <v>183</v>
      </c>
      <c r="K189" s="2" t="s">
        <v>183</v>
      </c>
      <c r="L189" s="2">
        <v>276</v>
      </c>
      <c r="M189" s="2" t="s">
        <v>37</v>
      </c>
      <c r="N189" s="2" t="s">
        <v>228</v>
      </c>
    </row>
    <row r="190" spans="1:14" x14ac:dyDescent="0.25">
      <c r="A190" s="2">
        <v>7252</v>
      </c>
      <c r="B190" s="2">
        <v>7601</v>
      </c>
      <c r="C190" s="2" t="s">
        <v>226</v>
      </c>
      <c r="D190" s="2">
        <v>792</v>
      </c>
      <c r="E190" s="2" t="s">
        <v>107</v>
      </c>
      <c r="F190" s="2">
        <v>52714</v>
      </c>
      <c r="G190" s="2">
        <v>0.6</v>
      </c>
      <c r="H190" s="2">
        <v>12355</v>
      </c>
      <c r="I190" s="2" t="s">
        <v>227</v>
      </c>
      <c r="J190" s="2" t="s">
        <v>183</v>
      </c>
      <c r="K190" s="2" t="s">
        <v>183</v>
      </c>
      <c r="L190" s="2">
        <v>276</v>
      </c>
      <c r="M190" s="2" t="s">
        <v>37</v>
      </c>
      <c r="N190" s="2" t="s">
        <v>228</v>
      </c>
    </row>
    <row r="191" spans="1:14" x14ac:dyDescent="0.25">
      <c r="A191" s="2">
        <v>7232</v>
      </c>
      <c r="B191" s="2">
        <v>7601</v>
      </c>
      <c r="C191" s="2" t="s">
        <v>226</v>
      </c>
      <c r="D191" s="2">
        <v>784</v>
      </c>
      <c r="E191" s="2" t="s">
        <v>109</v>
      </c>
      <c r="F191" s="2">
        <v>817311</v>
      </c>
      <c r="G191" s="2">
        <v>9.4</v>
      </c>
      <c r="H191" s="2">
        <v>234342</v>
      </c>
      <c r="I191" s="2" t="s">
        <v>227</v>
      </c>
      <c r="J191" s="2" t="s">
        <v>183</v>
      </c>
      <c r="K191" s="2" t="s">
        <v>183</v>
      </c>
      <c r="L191" s="2">
        <v>276</v>
      </c>
      <c r="M191" s="2" t="s">
        <v>37</v>
      </c>
      <c r="N191" s="2" t="s">
        <v>228</v>
      </c>
    </row>
    <row r="192" spans="1:14" x14ac:dyDescent="0.25">
      <c r="A192" s="2">
        <v>7233</v>
      </c>
      <c r="B192" s="2">
        <v>7601</v>
      </c>
      <c r="C192" s="2" t="s">
        <v>226</v>
      </c>
      <c r="D192" s="2">
        <v>826</v>
      </c>
      <c r="E192" s="2" t="s">
        <v>110</v>
      </c>
      <c r="F192" s="2">
        <v>670470</v>
      </c>
      <c r="G192" s="2">
        <v>7.7</v>
      </c>
      <c r="H192" s="2">
        <v>198041</v>
      </c>
      <c r="I192" s="2" t="s">
        <v>227</v>
      </c>
      <c r="J192" s="2" t="s">
        <v>183</v>
      </c>
      <c r="K192" s="2" t="s">
        <v>183</v>
      </c>
      <c r="L192" s="2">
        <v>276</v>
      </c>
      <c r="M192" s="2" t="s">
        <v>37</v>
      </c>
      <c r="N192" s="2" t="s">
        <v>228</v>
      </c>
    </row>
    <row r="193" spans="1:14" x14ac:dyDescent="0.25">
      <c r="A193" s="2">
        <v>7254</v>
      </c>
      <c r="B193" s="2">
        <v>7601</v>
      </c>
      <c r="C193" s="2" t="s">
        <v>226</v>
      </c>
      <c r="D193" s="2">
        <v>528</v>
      </c>
      <c r="E193" s="2" t="s">
        <v>75</v>
      </c>
      <c r="F193" s="2">
        <v>308510</v>
      </c>
      <c r="G193" s="2">
        <v>33.5</v>
      </c>
      <c r="H193" s="2">
        <v>91889</v>
      </c>
      <c r="I193" s="2" t="s">
        <v>227</v>
      </c>
      <c r="J193" s="2" t="s">
        <v>183</v>
      </c>
      <c r="K193" s="2" t="s">
        <v>183</v>
      </c>
      <c r="L193" s="2">
        <v>348</v>
      </c>
      <c r="M193" s="2" t="s">
        <v>43</v>
      </c>
      <c r="N193" s="2" t="s">
        <v>228</v>
      </c>
    </row>
    <row r="194" spans="1:14" x14ac:dyDescent="0.25">
      <c r="A194" s="2">
        <v>7255</v>
      </c>
      <c r="B194" s="2">
        <v>7601</v>
      </c>
      <c r="C194" s="2" t="s">
        <v>226</v>
      </c>
      <c r="D194" s="2">
        <v>381</v>
      </c>
      <c r="E194" s="2" t="s">
        <v>50</v>
      </c>
      <c r="F194" s="2">
        <v>171030</v>
      </c>
      <c r="G194" s="2">
        <v>18.600000000000001</v>
      </c>
      <c r="H194" s="2">
        <v>53019.3</v>
      </c>
      <c r="I194" s="2" t="s">
        <v>227</v>
      </c>
      <c r="J194" s="2">
        <v>0</v>
      </c>
      <c r="K194" s="2" t="s">
        <v>235</v>
      </c>
      <c r="L194" s="2">
        <v>348</v>
      </c>
      <c r="M194" s="2" t="s">
        <v>43</v>
      </c>
      <c r="N194" s="2" t="s">
        <v>228</v>
      </c>
    </row>
    <row r="195" spans="1:14" x14ac:dyDescent="0.25">
      <c r="A195" s="2">
        <v>7256</v>
      </c>
      <c r="B195" s="2">
        <v>7601</v>
      </c>
      <c r="C195" s="2" t="s">
        <v>226</v>
      </c>
      <c r="D195" s="2">
        <v>642</v>
      </c>
      <c r="E195" s="2" t="s">
        <v>89</v>
      </c>
      <c r="F195" s="2">
        <v>148813</v>
      </c>
      <c r="G195" s="2">
        <v>16.2</v>
      </c>
      <c r="H195" s="2">
        <v>46132.03</v>
      </c>
      <c r="I195" s="2" t="s">
        <v>227</v>
      </c>
      <c r="J195" s="2">
        <v>0</v>
      </c>
      <c r="K195" s="2" t="s">
        <v>235</v>
      </c>
      <c r="L195" s="2">
        <v>348</v>
      </c>
      <c r="M195" s="2" t="s">
        <v>43</v>
      </c>
      <c r="N195" s="2" t="s">
        <v>228</v>
      </c>
    </row>
    <row r="196" spans="1:14" x14ac:dyDescent="0.25">
      <c r="A196" s="2">
        <v>7257</v>
      </c>
      <c r="B196" s="2">
        <v>7601</v>
      </c>
      <c r="C196" s="2" t="s">
        <v>226</v>
      </c>
      <c r="D196" s="2">
        <v>40</v>
      </c>
      <c r="E196" s="2" t="s">
        <v>5</v>
      </c>
      <c r="F196" s="2">
        <v>105935</v>
      </c>
      <c r="G196" s="2">
        <v>11.5</v>
      </c>
      <c r="H196" s="2">
        <v>32839.85</v>
      </c>
      <c r="I196" s="2" t="s">
        <v>227</v>
      </c>
      <c r="J196" s="2">
        <v>0</v>
      </c>
      <c r="K196" s="2" t="s">
        <v>235</v>
      </c>
      <c r="L196" s="2">
        <v>348</v>
      </c>
      <c r="M196" s="2" t="s">
        <v>43</v>
      </c>
      <c r="N196" s="2" t="s">
        <v>228</v>
      </c>
    </row>
    <row r="197" spans="1:14" x14ac:dyDescent="0.25">
      <c r="A197" s="2">
        <v>7258</v>
      </c>
      <c r="B197" s="2">
        <v>7601</v>
      </c>
      <c r="C197" s="2" t="s">
        <v>226</v>
      </c>
      <c r="D197" s="2">
        <v>616</v>
      </c>
      <c r="E197" s="2" t="s">
        <v>86</v>
      </c>
      <c r="F197" s="2">
        <v>33615</v>
      </c>
      <c r="G197" s="2">
        <v>3.7</v>
      </c>
      <c r="H197" s="2">
        <v>10420.65</v>
      </c>
      <c r="I197" s="2" t="s">
        <v>227</v>
      </c>
      <c r="J197" s="2">
        <v>0</v>
      </c>
      <c r="K197" s="2" t="s">
        <v>235</v>
      </c>
      <c r="L197" s="2">
        <v>348</v>
      </c>
      <c r="M197" s="2" t="s">
        <v>43</v>
      </c>
      <c r="N197" s="2" t="s">
        <v>228</v>
      </c>
    </row>
    <row r="198" spans="1:14" x14ac:dyDescent="0.25">
      <c r="A198" s="2">
        <v>7260</v>
      </c>
      <c r="B198" s="2">
        <v>7601</v>
      </c>
      <c r="C198" s="2" t="s">
        <v>226</v>
      </c>
      <c r="D198" s="2">
        <v>703</v>
      </c>
      <c r="E198" s="2" t="s">
        <v>95</v>
      </c>
      <c r="F198" s="2">
        <v>28236</v>
      </c>
      <c r="G198" s="2">
        <v>3.1</v>
      </c>
      <c r="H198" s="2">
        <v>8753.16</v>
      </c>
      <c r="I198" s="2" t="s">
        <v>227</v>
      </c>
      <c r="J198" s="2">
        <v>0</v>
      </c>
      <c r="K198" s="2" t="s">
        <v>235</v>
      </c>
      <c r="L198" s="2">
        <v>348</v>
      </c>
      <c r="M198" s="2" t="s">
        <v>43</v>
      </c>
      <c r="N198" s="2" t="s">
        <v>228</v>
      </c>
    </row>
    <row r="199" spans="1:14" x14ac:dyDescent="0.25">
      <c r="A199" s="2">
        <v>7261</v>
      </c>
      <c r="B199" s="2">
        <v>7601</v>
      </c>
      <c r="C199" s="2" t="s">
        <v>226</v>
      </c>
      <c r="D199" s="2">
        <v>56</v>
      </c>
      <c r="E199" s="2" t="s">
        <v>11</v>
      </c>
      <c r="F199" s="2">
        <v>26837</v>
      </c>
      <c r="G199" s="2">
        <v>2.9</v>
      </c>
      <c r="H199" s="2">
        <v>7699</v>
      </c>
      <c r="I199" s="2" t="s">
        <v>227</v>
      </c>
      <c r="J199" s="2" t="s">
        <v>183</v>
      </c>
      <c r="K199" s="2" t="s">
        <v>183</v>
      </c>
      <c r="L199" s="2">
        <v>348</v>
      </c>
      <c r="M199" s="2" t="s">
        <v>43</v>
      </c>
      <c r="N199" s="2" t="s">
        <v>228</v>
      </c>
    </row>
    <row r="200" spans="1:14" x14ac:dyDescent="0.25">
      <c r="A200" s="2">
        <v>7262</v>
      </c>
      <c r="B200" s="2">
        <v>7601</v>
      </c>
      <c r="C200" s="2" t="s">
        <v>226</v>
      </c>
      <c r="D200" s="2">
        <v>203</v>
      </c>
      <c r="E200" s="2" t="s">
        <v>211</v>
      </c>
      <c r="F200" s="2">
        <v>18473</v>
      </c>
      <c r="G200" s="2">
        <v>2</v>
      </c>
      <c r="H200" s="2">
        <v>5726.63</v>
      </c>
      <c r="I200" s="2" t="s">
        <v>227</v>
      </c>
      <c r="J200" s="2">
        <v>0</v>
      </c>
      <c r="K200" s="2" t="s">
        <v>235</v>
      </c>
      <c r="L200" s="2">
        <v>348</v>
      </c>
      <c r="M200" s="2" t="s">
        <v>43</v>
      </c>
      <c r="N200" s="2" t="s">
        <v>228</v>
      </c>
    </row>
    <row r="201" spans="1:14" x14ac:dyDescent="0.25">
      <c r="A201" s="2">
        <v>7263</v>
      </c>
      <c r="B201" s="2">
        <v>7601</v>
      </c>
      <c r="C201" s="2" t="s">
        <v>226</v>
      </c>
      <c r="D201" s="2">
        <v>705</v>
      </c>
      <c r="E201" s="2" t="s">
        <v>96</v>
      </c>
      <c r="F201" s="2">
        <v>16961</v>
      </c>
      <c r="G201" s="2">
        <v>1.8</v>
      </c>
      <c r="H201" s="2">
        <v>5257.91</v>
      </c>
      <c r="I201" s="2" t="s">
        <v>227</v>
      </c>
      <c r="J201" s="2">
        <v>0</v>
      </c>
      <c r="K201" s="2" t="s">
        <v>235</v>
      </c>
      <c r="L201" s="2">
        <v>348</v>
      </c>
      <c r="M201" s="2" t="s">
        <v>43</v>
      </c>
      <c r="N201" s="2" t="s">
        <v>228</v>
      </c>
    </row>
    <row r="202" spans="1:14" x14ac:dyDescent="0.25">
      <c r="A202" s="2">
        <v>7264</v>
      </c>
      <c r="B202" s="2">
        <v>7601</v>
      </c>
      <c r="C202" s="2" t="s">
        <v>226</v>
      </c>
      <c r="D202" s="2">
        <v>276</v>
      </c>
      <c r="E202" s="2" t="s">
        <v>37</v>
      </c>
      <c r="F202" s="2">
        <v>8744</v>
      </c>
      <c r="G202" s="2">
        <v>1</v>
      </c>
      <c r="H202" s="2">
        <v>2710.64</v>
      </c>
      <c r="I202" s="2" t="s">
        <v>227</v>
      </c>
      <c r="J202" s="2">
        <v>0</v>
      </c>
      <c r="K202" s="2" t="s">
        <v>235</v>
      </c>
      <c r="L202" s="2">
        <v>348</v>
      </c>
      <c r="M202" s="2" t="s">
        <v>43</v>
      </c>
      <c r="N202" s="2" t="s">
        <v>228</v>
      </c>
    </row>
    <row r="203" spans="1:14" x14ac:dyDescent="0.25">
      <c r="A203" s="2">
        <v>7265</v>
      </c>
      <c r="B203" s="2">
        <v>7601</v>
      </c>
      <c r="C203" s="2" t="s">
        <v>226</v>
      </c>
      <c r="D203" s="2">
        <v>699</v>
      </c>
      <c r="E203" s="2" t="s">
        <v>45</v>
      </c>
      <c r="F203" s="2">
        <v>5243</v>
      </c>
      <c r="G203" s="2">
        <v>0.6</v>
      </c>
      <c r="H203" s="2">
        <v>1500</v>
      </c>
      <c r="I203" s="2" t="s">
        <v>227</v>
      </c>
      <c r="J203" s="2" t="s">
        <v>183</v>
      </c>
      <c r="K203" s="2" t="s">
        <v>183</v>
      </c>
      <c r="L203" s="2">
        <v>348</v>
      </c>
      <c r="M203" s="2" t="s">
        <v>43</v>
      </c>
      <c r="N203" s="2" t="s">
        <v>228</v>
      </c>
    </row>
    <row r="204" spans="1:14" x14ac:dyDescent="0.25">
      <c r="A204" s="2">
        <v>7266</v>
      </c>
      <c r="B204" s="2">
        <v>7601</v>
      </c>
      <c r="C204" s="2" t="s">
        <v>226</v>
      </c>
      <c r="D204" s="2">
        <v>752</v>
      </c>
      <c r="E204" s="2" t="s">
        <v>100</v>
      </c>
      <c r="F204" s="2">
        <v>4837</v>
      </c>
      <c r="G204" s="2">
        <v>0.5</v>
      </c>
      <c r="H204" s="2">
        <v>1499.47</v>
      </c>
      <c r="I204" s="2" t="s">
        <v>227</v>
      </c>
      <c r="J204" s="2">
        <v>0</v>
      </c>
      <c r="K204" s="2" t="s">
        <v>235</v>
      </c>
      <c r="L204" s="2">
        <v>348</v>
      </c>
      <c r="M204" s="2" t="s">
        <v>43</v>
      </c>
      <c r="N204" s="2" t="s">
        <v>228</v>
      </c>
    </row>
    <row r="205" spans="1:14" x14ac:dyDescent="0.25">
      <c r="A205" s="2">
        <v>7267</v>
      </c>
      <c r="B205" s="2">
        <v>7601</v>
      </c>
      <c r="C205" s="2" t="s">
        <v>226</v>
      </c>
      <c r="D205" s="2">
        <v>499</v>
      </c>
      <c r="E205" s="2" t="s">
        <v>72</v>
      </c>
      <c r="F205" s="2">
        <v>4268</v>
      </c>
      <c r="G205" s="2">
        <v>0.5</v>
      </c>
      <c r="H205" s="2">
        <v>1153</v>
      </c>
      <c r="I205" s="2" t="s">
        <v>227</v>
      </c>
      <c r="J205" s="2" t="s">
        <v>183</v>
      </c>
      <c r="K205" s="2" t="s">
        <v>183</v>
      </c>
      <c r="L205" s="2">
        <v>348</v>
      </c>
      <c r="M205" s="2" t="s">
        <v>43</v>
      </c>
      <c r="N205" s="2" t="s">
        <v>228</v>
      </c>
    </row>
    <row r="206" spans="1:14" x14ac:dyDescent="0.25">
      <c r="A206" s="2">
        <v>7268</v>
      </c>
      <c r="B206" s="2">
        <v>7601</v>
      </c>
      <c r="C206" s="2" t="s">
        <v>226</v>
      </c>
      <c r="D206" s="2">
        <v>710</v>
      </c>
      <c r="E206" s="2" t="s">
        <v>97</v>
      </c>
      <c r="F206" s="2">
        <v>1204</v>
      </c>
      <c r="G206" s="2">
        <v>0.1</v>
      </c>
      <c r="H206" s="2">
        <v>412</v>
      </c>
      <c r="I206" s="2" t="s">
        <v>227</v>
      </c>
      <c r="J206" s="2" t="s">
        <v>183</v>
      </c>
      <c r="K206" s="2" t="s">
        <v>183</v>
      </c>
      <c r="L206" s="2">
        <v>348</v>
      </c>
      <c r="M206" s="2" t="s">
        <v>43</v>
      </c>
      <c r="N206" s="2" t="s">
        <v>228</v>
      </c>
    </row>
    <row r="207" spans="1:14" x14ac:dyDescent="0.25">
      <c r="A207" s="2">
        <v>7269</v>
      </c>
      <c r="B207" s="2">
        <v>7601</v>
      </c>
      <c r="C207" s="2" t="s">
        <v>226</v>
      </c>
      <c r="D207" s="2">
        <v>643</v>
      </c>
      <c r="E207" s="2" t="s">
        <v>209</v>
      </c>
      <c r="F207" s="2">
        <v>1186</v>
      </c>
      <c r="G207" s="2">
        <v>0.1</v>
      </c>
      <c r="H207" s="2">
        <v>320</v>
      </c>
      <c r="I207" s="2" t="s">
        <v>227</v>
      </c>
      <c r="J207" s="2" t="s">
        <v>183</v>
      </c>
      <c r="K207" s="2" t="s">
        <v>183</v>
      </c>
      <c r="L207" s="2">
        <v>348</v>
      </c>
      <c r="M207" s="2" t="s">
        <v>43</v>
      </c>
      <c r="N207" s="2" t="s">
        <v>228</v>
      </c>
    </row>
    <row r="208" spans="1:14" x14ac:dyDescent="0.25">
      <c r="A208" s="2">
        <v>7270</v>
      </c>
      <c r="B208" s="2">
        <v>7601</v>
      </c>
      <c r="C208" s="2" t="s">
        <v>226</v>
      </c>
      <c r="D208" s="2">
        <v>688</v>
      </c>
      <c r="E208" s="2" t="s">
        <v>92</v>
      </c>
      <c r="F208" s="2">
        <v>741</v>
      </c>
      <c r="G208" s="2">
        <v>0.1</v>
      </c>
      <c r="H208" s="2">
        <v>312</v>
      </c>
      <c r="I208" s="2" t="s">
        <v>227</v>
      </c>
      <c r="J208" s="2" t="s">
        <v>183</v>
      </c>
      <c r="K208" s="2" t="s">
        <v>183</v>
      </c>
      <c r="L208" s="2">
        <v>348</v>
      </c>
      <c r="M208" s="2" t="s">
        <v>43</v>
      </c>
      <c r="N208" s="2" t="s">
        <v>228</v>
      </c>
    </row>
    <row r="209" spans="1:14" x14ac:dyDescent="0.25">
      <c r="A209" s="2">
        <v>7271</v>
      </c>
      <c r="B209" s="2">
        <v>7601</v>
      </c>
      <c r="C209" s="2" t="s">
        <v>226</v>
      </c>
      <c r="D209" s="2">
        <v>428</v>
      </c>
      <c r="E209" s="2" t="s">
        <v>58</v>
      </c>
      <c r="F209" s="2">
        <v>615</v>
      </c>
      <c r="G209" s="2">
        <v>0.1</v>
      </c>
      <c r="H209" s="2">
        <v>167</v>
      </c>
      <c r="I209" s="2" t="s">
        <v>227</v>
      </c>
      <c r="J209" s="2" t="s">
        <v>183</v>
      </c>
      <c r="K209" s="2" t="s">
        <v>183</v>
      </c>
      <c r="L209" s="2">
        <v>348</v>
      </c>
      <c r="M209" s="2" t="s">
        <v>43</v>
      </c>
      <c r="N209" s="2" t="s">
        <v>228</v>
      </c>
    </row>
    <row r="210" spans="1:14" x14ac:dyDescent="0.25">
      <c r="A210" s="2">
        <v>7272</v>
      </c>
      <c r="B210" s="2">
        <v>7601</v>
      </c>
      <c r="C210" s="2" t="s">
        <v>226</v>
      </c>
      <c r="D210" s="2">
        <v>724</v>
      </c>
      <c r="E210" s="2" t="s">
        <v>98</v>
      </c>
      <c r="F210" s="2">
        <v>565</v>
      </c>
      <c r="G210" s="2">
        <v>0.1</v>
      </c>
      <c r="H210" s="2">
        <v>107</v>
      </c>
      <c r="I210" s="2" t="s">
        <v>227</v>
      </c>
      <c r="J210" s="2" t="s">
        <v>183</v>
      </c>
      <c r="K210" s="2" t="s">
        <v>183</v>
      </c>
      <c r="L210" s="2">
        <v>348</v>
      </c>
      <c r="M210" s="2" t="s">
        <v>43</v>
      </c>
      <c r="N210" s="2" t="s">
        <v>228</v>
      </c>
    </row>
    <row r="211" spans="1:14" x14ac:dyDescent="0.25">
      <c r="A211" s="2">
        <v>7273</v>
      </c>
      <c r="B211" s="2">
        <v>7601</v>
      </c>
      <c r="C211" s="2" t="s">
        <v>226</v>
      </c>
      <c r="D211" s="2">
        <v>792</v>
      </c>
      <c r="E211" s="2" t="s">
        <v>107</v>
      </c>
      <c r="F211" s="2">
        <v>360</v>
      </c>
      <c r="G211" s="2">
        <v>0</v>
      </c>
      <c r="H211" s="2">
        <v>96</v>
      </c>
      <c r="I211" s="2" t="s">
        <v>227</v>
      </c>
      <c r="J211" s="2" t="s">
        <v>183</v>
      </c>
      <c r="K211" s="2" t="s">
        <v>183</v>
      </c>
      <c r="L211" s="2">
        <v>348</v>
      </c>
      <c r="M211" s="2" t="s">
        <v>43</v>
      </c>
      <c r="N211" s="2" t="s">
        <v>228</v>
      </c>
    </row>
    <row r="212" spans="1:14" x14ac:dyDescent="0.25">
      <c r="A212" s="2">
        <v>7274</v>
      </c>
      <c r="B212" s="2">
        <v>7601</v>
      </c>
      <c r="C212" s="2" t="s">
        <v>226</v>
      </c>
      <c r="D212" s="2">
        <v>100</v>
      </c>
      <c r="E212" s="2" t="s">
        <v>15</v>
      </c>
      <c r="F212" s="2">
        <v>299</v>
      </c>
      <c r="G212" s="2">
        <v>0</v>
      </c>
      <c r="H212" s="2">
        <v>92.69</v>
      </c>
      <c r="I212" s="2" t="s">
        <v>227</v>
      </c>
      <c r="J212" s="2">
        <v>0</v>
      </c>
      <c r="K212" s="2" t="s">
        <v>235</v>
      </c>
      <c r="L212" s="2">
        <v>348</v>
      </c>
      <c r="M212" s="2" t="s">
        <v>43</v>
      </c>
      <c r="N212" s="2" t="s">
        <v>228</v>
      </c>
    </row>
    <row r="213" spans="1:14" x14ac:dyDescent="0.25">
      <c r="A213" s="2">
        <v>7275</v>
      </c>
      <c r="B213" s="2">
        <v>7601</v>
      </c>
      <c r="C213" s="2" t="s">
        <v>226</v>
      </c>
      <c r="D213" s="2">
        <v>156</v>
      </c>
      <c r="E213" s="2" t="s">
        <v>18</v>
      </c>
      <c r="F213" s="2">
        <v>148</v>
      </c>
      <c r="G213" s="2">
        <v>0</v>
      </c>
      <c r="H213" s="2">
        <v>2</v>
      </c>
      <c r="I213" s="2" t="s">
        <v>227</v>
      </c>
      <c r="J213" s="2" t="s">
        <v>183</v>
      </c>
      <c r="K213" s="2" t="s">
        <v>183</v>
      </c>
      <c r="L213" s="2">
        <v>348</v>
      </c>
      <c r="M213" s="2" t="s">
        <v>43</v>
      </c>
      <c r="N213" s="2" t="s">
        <v>228</v>
      </c>
    </row>
    <row r="214" spans="1:14" x14ac:dyDescent="0.25">
      <c r="A214" s="2">
        <v>7276</v>
      </c>
      <c r="B214" s="2">
        <v>7601</v>
      </c>
      <c r="C214" s="2" t="s">
        <v>226</v>
      </c>
      <c r="D214" s="2">
        <v>440</v>
      </c>
      <c r="E214" s="2" t="s">
        <v>61</v>
      </c>
      <c r="F214" s="2">
        <v>89</v>
      </c>
      <c r="G214" s="2">
        <v>0</v>
      </c>
      <c r="H214" s="2">
        <v>24</v>
      </c>
      <c r="I214" s="2" t="s">
        <v>227</v>
      </c>
      <c r="J214" s="2" t="s">
        <v>183</v>
      </c>
      <c r="K214" s="2" t="s">
        <v>183</v>
      </c>
      <c r="L214" s="2">
        <v>348</v>
      </c>
      <c r="M214" s="2" t="s">
        <v>43</v>
      </c>
      <c r="N214" s="2" t="s">
        <v>228</v>
      </c>
    </row>
    <row r="215" spans="1:14" x14ac:dyDescent="0.25">
      <c r="A215" s="2">
        <v>7277</v>
      </c>
      <c r="B215" s="2">
        <v>7601</v>
      </c>
      <c r="C215" s="2" t="s">
        <v>226</v>
      </c>
      <c r="D215" s="2">
        <v>682</v>
      </c>
      <c r="E215" s="2" t="s">
        <v>90</v>
      </c>
      <c r="F215" s="2">
        <v>72</v>
      </c>
      <c r="G215" s="2">
        <v>0</v>
      </c>
      <c r="H215" s="2">
        <v>24</v>
      </c>
      <c r="I215" s="2" t="s">
        <v>227</v>
      </c>
      <c r="J215" s="2" t="s">
        <v>183</v>
      </c>
      <c r="K215" s="2" t="s">
        <v>183</v>
      </c>
      <c r="L215" s="2">
        <v>348</v>
      </c>
      <c r="M215" s="2" t="s">
        <v>43</v>
      </c>
      <c r="N215" s="2" t="s">
        <v>228</v>
      </c>
    </row>
    <row r="216" spans="1:14" x14ac:dyDescent="0.25">
      <c r="A216" s="2">
        <v>7278</v>
      </c>
      <c r="B216" s="2">
        <v>7601</v>
      </c>
      <c r="C216" s="2" t="s">
        <v>226</v>
      </c>
      <c r="D216" s="2">
        <v>634</v>
      </c>
      <c r="E216" s="2" t="s">
        <v>88</v>
      </c>
      <c r="F216" s="2">
        <v>180087</v>
      </c>
      <c r="G216" s="2">
        <v>22.4</v>
      </c>
      <c r="H216" s="2">
        <v>58888</v>
      </c>
      <c r="I216" s="2" t="s">
        <v>227</v>
      </c>
      <c r="J216" s="2" t="s">
        <v>183</v>
      </c>
      <c r="K216" s="2" t="s">
        <v>183</v>
      </c>
      <c r="L216" s="2">
        <v>699</v>
      </c>
      <c r="M216" s="2" t="s">
        <v>45</v>
      </c>
      <c r="N216" s="2" t="s">
        <v>228</v>
      </c>
    </row>
    <row r="217" spans="1:14" x14ac:dyDescent="0.25">
      <c r="A217" s="2">
        <v>7279</v>
      </c>
      <c r="B217" s="2">
        <v>7601</v>
      </c>
      <c r="C217" s="2" t="s">
        <v>226</v>
      </c>
      <c r="D217" s="2">
        <v>48</v>
      </c>
      <c r="E217" s="2" t="s">
        <v>7</v>
      </c>
      <c r="F217" s="2">
        <v>172966</v>
      </c>
      <c r="G217" s="2">
        <v>21.5</v>
      </c>
      <c r="H217" s="2">
        <v>55351</v>
      </c>
      <c r="I217" s="2" t="s">
        <v>227</v>
      </c>
      <c r="J217" s="2" t="s">
        <v>183</v>
      </c>
      <c r="K217" s="2" t="s">
        <v>183</v>
      </c>
      <c r="L217" s="2">
        <v>699</v>
      </c>
      <c r="M217" s="2" t="s">
        <v>45</v>
      </c>
      <c r="N217" s="2" t="s">
        <v>228</v>
      </c>
    </row>
    <row r="218" spans="1:14" x14ac:dyDescent="0.25">
      <c r="A218" s="2">
        <v>7280</v>
      </c>
      <c r="B218" s="2">
        <v>7601</v>
      </c>
      <c r="C218" s="2" t="s">
        <v>226</v>
      </c>
      <c r="D218" s="2">
        <v>458</v>
      </c>
      <c r="E218" s="2" t="s">
        <v>66</v>
      </c>
      <c r="F218" s="2">
        <v>126481</v>
      </c>
      <c r="G218" s="2">
        <v>15.7</v>
      </c>
      <c r="H218" s="2">
        <v>39305</v>
      </c>
      <c r="I218" s="2" t="s">
        <v>227</v>
      </c>
      <c r="J218" s="2" t="s">
        <v>183</v>
      </c>
      <c r="K218" s="2" t="s">
        <v>183</v>
      </c>
      <c r="L218" s="2">
        <v>699</v>
      </c>
      <c r="M218" s="2" t="s">
        <v>45</v>
      </c>
      <c r="N218" s="2" t="s">
        <v>228</v>
      </c>
    </row>
    <row r="219" spans="1:14" x14ac:dyDescent="0.25">
      <c r="A219" s="2">
        <v>7281</v>
      </c>
      <c r="B219" s="2">
        <v>7601</v>
      </c>
      <c r="C219" s="2" t="s">
        <v>226</v>
      </c>
      <c r="D219" s="2">
        <v>784</v>
      </c>
      <c r="E219" s="2" t="s">
        <v>109</v>
      </c>
      <c r="F219" s="2">
        <v>107836</v>
      </c>
      <c r="G219" s="2">
        <v>13.4</v>
      </c>
      <c r="H219" s="2">
        <v>32912</v>
      </c>
      <c r="I219" s="2" t="s">
        <v>227</v>
      </c>
      <c r="J219" s="2" t="s">
        <v>183</v>
      </c>
      <c r="K219" s="2" t="s">
        <v>183</v>
      </c>
      <c r="L219" s="2">
        <v>699</v>
      </c>
      <c r="M219" s="2" t="s">
        <v>45</v>
      </c>
      <c r="N219" s="2" t="s">
        <v>228</v>
      </c>
    </row>
    <row r="220" spans="1:14" x14ac:dyDescent="0.25">
      <c r="A220" s="2">
        <v>7282</v>
      </c>
      <c r="B220" s="2">
        <v>7601</v>
      </c>
      <c r="C220" s="2" t="s">
        <v>226</v>
      </c>
      <c r="D220" s="2">
        <v>512</v>
      </c>
      <c r="E220" s="2" t="s">
        <v>80</v>
      </c>
      <c r="F220" s="2">
        <v>96418</v>
      </c>
      <c r="G220" s="2">
        <v>12</v>
      </c>
      <c r="H220" s="2">
        <v>30795</v>
      </c>
      <c r="I220" s="2" t="s">
        <v>227</v>
      </c>
      <c r="J220" s="2" t="s">
        <v>183</v>
      </c>
      <c r="K220" s="2" t="s">
        <v>183</v>
      </c>
      <c r="L220" s="2">
        <v>699</v>
      </c>
      <c r="M220" s="2" t="s">
        <v>45</v>
      </c>
      <c r="N220" s="2" t="s">
        <v>228</v>
      </c>
    </row>
    <row r="221" spans="1:14" x14ac:dyDescent="0.25">
      <c r="A221" s="2">
        <v>7283</v>
      </c>
      <c r="B221" s="2">
        <v>7601</v>
      </c>
      <c r="C221" s="2" t="s">
        <v>226</v>
      </c>
      <c r="D221" s="2">
        <v>360</v>
      </c>
      <c r="E221" s="2" t="s">
        <v>46</v>
      </c>
      <c r="F221" s="2">
        <v>27277</v>
      </c>
      <c r="G221" s="2">
        <v>3.4</v>
      </c>
      <c r="H221" s="2">
        <v>8679</v>
      </c>
      <c r="I221" s="2" t="s">
        <v>227</v>
      </c>
      <c r="J221" s="2" t="s">
        <v>183</v>
      </c>
      <c r="K221" s="2" t="s">
        <v>183</v>
      </c>
      <c r="L221" s="2">
        <v>699</v>
      </c>
      <c r="M221" s="2" t="s">
        <v>45</v>
      </c>
      <c r="N221" s="2" t="s">
        <v>228</v>
      </c>
    </row>
    <row r="222" spans="1:14" x14ac:dyDescent="0.25">
      <c r="A222" s="2">
        <v>7284</v>
      </c>
      <c r="B222" s="2">
        <v>7601</v>
      </c>
      <c r="C222" s="2" t="s">
        <v>226</v>
      </c>
      <c r="D222" s="2">
        <v>410</v>
      </c>
      <c r="E222" s="2" t="s">
        <v>230</v>
      </c>
      <c r="F222" s="2">
        <v>26781</v>
      </c>
      <c r="G222" s="2">
        <v>3.3</v>
      </c>
      <c r="H222" s="2">
        <v>9602</v>
      </c>
      <c r="I222" s="2" t="s">
        <v>227</v>
      </c>
      <c r="J222" s="2" t="s">
        <v>183</v>
      </c>
      <c r="K222" s="2" t="s">
        <v>183</v>
      </c>
      <c r="L222" s="2">
        <v>699</v>
      </c>
      <c r="M222" s="2" t="s">
        <v>45</v>
      </c>
      <c r="N222" s="2" t="s">
        <v>228</v>
      </c>
    </row>
    <row r="223" spans="1:14" x14ac:dyDescent="0.25">
      <c r="A223" s="2">
        <v>7285</v>
      </c>
      <c r="B223" s="2">
        <v>7601</v>
      </c>
      <c r="C223" s="2" t="s">
        <v>226</v>
      </c>
      <c r="D223" s="2">
        <v>643</v>
      </c>
      <c r="E223" s="2" t="s">
        <v>209</v>
      </c>
      <c r="F223" s="2">
        <v>23405</v>
      </c>
      <c r="G223" s="2">
        <v>2.9</v>
      </c>
      <c r="H223" s="2">
        <v>8328</v>
      </c>
      <c r="I223" s="2" t="s">
        <v>227</v>
      </c>
      <c r="J223" s="2" t="s">
        <v>183</v>
      </c>
      <c r="K223" s="2" t="s">
        <v>183</v>
      </c>
      <c r="L223" s="2">
        <v>699</v>
      </c>
      <c r="M223" s="2" t="s">
        <v>45</v>
      </c>
      <c r="N223" s="2" t="s">
        <v>228</v>
      </c>
    </row>
    <row r="224" spans="1:14" x14ac:dyDescent="0.25">
      <c r="A224" s="2">
        <v>7286</v>
      </c>
      <c r="B224" s="2">
        <v>7601</v>
      </c>
      <c r="C224" s="2" t="s">
        <v>226</v>
      </c>
      <c r="D224" s="2">
        <v>702</v>
      </c>
      <c r="E224" s="2" t="s">
        <v>93</v>
      </c>
      <c r="F224" s="2">
        <v>4809</v>
      </c>
      <c r="G224" s="2">
        <v>0.6</v>
      </c>
      <c r="H224" s="2">
        <v>1454</v>
      </c>
      <c r="I224" s="2" t="s">
        <v>227</v>
      </c>
      <c r="J224" s="2" t="s">
        <v>183</v>
      </c>
      <c r="K224" s="2" t="s">
        <v>183</v>
      </c>
      <c r="L224" s="2">
        <v>699</v>
      </c>
      <c r="M224" s="2" t="s">
        <v>45</v>
      </c>
      <c r="N224" s="2" t="s">
        <v>228</v>
      </c>
    </row>
    <row r="225" spans="1:14" x14ac:dyDescent="0.25">
      <c r="A225" s="2">
        <v>7287</v>
      </c>
      <c r="B225" s="2">
        <v>7601</v>
      </c>
      <c r="C225" s="2" t="s">
        <v>226</v>
      </c>
      <c r="D225" s="2">
        <v>842</v>
      </c>
      <c r="E225" s="2" t="s">
        <v>229</v>
      </c>
      <c r="F225" s="2">
        <v>4694</v>
      </c>
      <c r="G225" s="2">
        <v>0.6</v>
      </c>
      <c r="H225" s="2">
        <v>1407</v>
      </c>
      <c r="I225" s="2" t="s">
        <v>227</v>
      </c>
      <c r="J225" s="2" t="s">
        <v>183</v>
      </c>
      <c r="K225" s="2" t="s">
        <v>183</v>
      </c>
      <c r="L225" s="2">
        <v>699</v>
      </c>
      <c r="M225" s="2" t="s">
        <v>45</v>
      </c>
      <c r="N225" s="2" t="s">
        <v>228</v>
      </c>
    </row>
    <row r="226" spans="1:14" x14ac:dyDescent="0.25">
      <c r="A226" s="2">
        <v>7288</v>
      </c>
      <c r="B226" s="2">
        <v>7601</v>
      </c>
      <c r="C226" s="2" t="s">
        <v>226</v>
      </c>
      <c r="D226" s="2">
        <v>729</v>
      </c>
      <c r="E226" s="2" t="s">
        <v>129</v>
      </c>
      <c r="F226" s="2">
        <v>4609</v>
      </c>
      <c r="G226" s="2">
        <v>0.6</v>
      </c>
      <c r="H226" s="2">
        <v>1835</v>
      </c>
      <c r="I226" s="2" t="s">
        <v>227</v>
      </c>
      <c r="J226" s="2" t="s">
        <v>183</v>
      </c>
      <c r="K226" s="2" t="s">
        <v>183</v>
      </c>
      <c r="L226" s="2">
        <v>699</v>
      </c>
      <c r="M226" s="2" t="s">
        <v>45</v>
      </c>
      <c r="N226" s="2" t="s">
        <v>228</v>
      </c>
    </row>
    <row r="227" spans="1:14" x14ac:dyDescent="0.25">
      <c r="A227" s="2">
        <v>7289</v>
      </c>
      <c r="B227" s="2">
        <v>7601</v>
      </c>
      <c r="C227" s="2" t="s">
        <v>226</v>
      </c>
      <c r="D227" s="2">
        <v>682</v>
      </c>
      <c r="E227" s="2" t="s">
        <v>90</v>
      </c>
      <c r="F227" s="2">
        <v>3908</v>
      </c>
      <c r="G227" s="2">
        <v>0.5</v>
      </c>
      <c r="H227" s="2">
        <v>1463</v>
      </c>
      <c r="I227" s="2" t="s">
        <v>227</v>
      </c>
      <c r="J227" s="2" t="s">
        <v>183</v>
      </c>
      <c r="K227" s="2" t="s">
        <v>183</v>
      </c>
      <c r="L227" s="2">
        <v>699</v>
      </c>
      <c r="M227" s="2" t="s">
        <v>45</v>
      </c>
      <c r="N227" s="2" t="s">
        <v>228</v>
      </c>
    </row>
    <row r="228" spans="1:14" x14ac:dyDescent="0.25">
      <c r="A228" s="2">
        <v>7290</v>
      </c>
      <c r="B228" s="2">
        <v>7601</v>
      </c>
      <c r="C228" s="2" t="s">
        <v>226</v>
      </c>
      <c r="D228" s="2">
        <v>710</v>
      </c>
      <c r="E228" s="2" t="s">
        <v>97</v>
      </c>
      <c r="F228" s="2">
        <v>3277</v>
      </c>
      <c r="G228" s="2">
        <v>0.4</v>
      </c>
      <c r="H228" s="2">
        <v>1079</v>
      </c>
      <c r="I228" s="2" t="s">
        <v>227</v>
      </c>
      <c r="J228" s="2" t="s">
        <v>183</v>
      </c>
      <c r="K228" s="2" t="s">
        <v>183</v>
      </c>
      <c r="L228" s="2">
        <v>699</v>
      </c>
      <c r="M228" s="2" t="s">
        <v>45</v>
      </c>
      <c r="N228" s="2" t="s">
        <v>228</v>
      </c>
    </row>
    <row r="229" spans="1:14" x14ac:dyDescent="0.25">
      <c r="A229" s="2">
        <v>7291</v>
      </c>
      <c r="B229" s="2">
        <v>7601</v>
      </c>
      <c r="C229" s="2" t="s">
        <v>226</v>
      </c>
      <c r="D229" s="2">
        <v>566</v>
      </c>
      <c r="E229" s="2" t="s">
        <v>78</v>
      </c>
      <c r="F229" s="2">
        <v>3143</v>
      </c>
      <c r="G229" s="2">
        <v>0.4</v>
      </c>
      <c r="H229" s="2">
        <v>1415</v>
      </c>
      <c r="I229" s="2" t="s">
        <v>227</v>
      </c>
      <c r="J229" s="2" t="s">
        <v>183</v>
      </c>
      <c r="K229" s="2" t="s">
        <v>183</v>
      </c>
      <c r="L229" s="2">
        <v>699</v>
      </c>
      <c r="M229" s="2" t="s">
        <v>45</v>
      </c>
      <c r="N229" s="2" t="s">
        <v>228</v>
      </c>
    </row>
    <row r="230" spans="1:14" x14ac:dyDescent="0.25">
      <c r="A230" s="2">
        <v>7292</v>
      </c>
      <c r="B230" s="2">
        <v>7601</v>
      </c>
      <c r="C230" s="2" t="s">
        <v>226</v>
      </c>
      <c r="D230" s="2">
        <v>124</v>
      </c>
      <c r="E230" s="2" t="s">
        <v>16</v>
      </c>
      <c r="F230" s="2">
        <v>2242</v>
      </c>
      <c r="G230" s="2">
        <v>0.3</v>
      </c>
      <c r="H230" s="2">
        <v>452</v>
      </c>
      <c r="I230" s="2" t="s">
        <v>227</v>
      </c>
      <c r="J230" s="2" t="s">
        <v>183</v>
      </c>
      <c r="K230" s="2" t="s">
        <v>183</v>
      </c>
      <c r="L230" s="2">
        <v>699</v>
      </c>
      <c r="M230" s="2" t="s">
        <v>45</v>
      </c>
      <c r="N230" s="2" t="s">
        <v>228</v>
      </c>
    </row>
    <row r="231" spans="1:14" x14ac:dyDescent="0.25">
      <c r="A231" s="2">
        <v>7293</v>
      </c>
      <c r="B231" s="2">
        <v>7601</v>
      </c>
      <c r="C231" s="2" t="s">
        <v>226</v>
      </c>
      <c r="D231" s="2">
        <v>792</v>
      </c>
      <c r="E231" s="2" t="s">
        <v>107</v>
      </c>
      <c r="F231" s="2">
        <v>2149</v>
      </c>
      <c r="G231" s="2">
        <v>0.3</v>
      </c>
      <c r="H231" s="2">
        <v>694</v>
      </c>
      <c r="I231" s="2" t="s">
        <v>227</v>
      </c>
      <c r="J231" s="2" t="s">
        <v>183</v>
      </c>
      <c r="K231" s="2" t="s">
        <v>183</v>
      </c>
      <c r="L231" s="2">
        <v>699</v>
      </c>
      <c r="M231" s="2" t="s">
        <v>45</v>
      </c>
      <c r="N231" s="2" t="s">
        <v>228</v>
      </c>
    </row>
    <row r="232" spans="1:14" x14ac:dyDescent="0.25">
      <c r="A232" s="2">
        <v>7294</v>
      </c>
      <c r="B232" s="2">
        <v>7601</v>
      </c>
      <c r="C232" s="2" t="s">
        <v>226</v>
      </c>
      <c r="D232" s="2">
        <v>826</v>
      </c>
      <c r="E232" s="2" t="s">
        <v>110</v>
      </c>
      <c r="F232" s="2">
        <v>1956</v>
      </c>
      <c r="G232" s="2">
        <v>0.2</v>
      </c>
      <c r="H232" s="2">
        <v>333</v>
      </c>
      <c r="I232" s="2" t="s">
        <v>227</v>
      </c>
      <c r="J232" s="2" t="s">
        <v>183</v>
      </c>
      <c r="K232" s="2" t="s">
        <v>183</v>
      </c>
      <c r="L232" s="2">
        <v>699</v>
      </c>
      <c r="M232" s="2" t="s">
        <v>45</v>
      </c>
      <c r="N232" s="2" t="s">
        <v>228</v>
      </c>
    </row>
    <row r="233" spans="1:14" x14ac:dyDescent="0.25">
      <c r="A233" s="2">
        <v>7295</v>
      </c>
      <c r="B233" s="2">
        <v>7601</v>
      </c>
      <c r="C233" s="2" t="s">
        <v>226</v>
      </c>
      <c r="D233" s="2">
        <v>764</v>
      </c>
      <c r="E233" s="2" t="s">
        <v>103</v>
      </c>
      <c r="F233" s="2">
        <v>1868</v>
      </c>
      <c r="G233" s="2">
        <v>0.2</v>
      </c>
      <c r="H233" s="2">
        <v>686</v>
      </c>
      <c r="I233" s="2" t="s">
        <v>227</v>
      </c>
      <c r="J233" s="2" t="s">
        <v>183</v>
      </c>
      <c r="K233" s="2" t="s">
        <v>183</v>
      </c>
      <c r="L233" s="2">
        <v>699</v>
      </c>
      <c r="M233" s="2" t="s">
        <v>45</v>
      </c>
      <c r="N233" s="2" t="s">
        <v>228</v>
      </c>
    </row>
    <row r="234" spans="1:14" x14ac:dyDescent="0.25">
      <c r="A234" s="2">
        <v>7296</v>
      </c>
      <c r="B234" s="2">
        <v>7601</v>
      </c>
      <c r="C234" s="2" t="s">
        <v>226</v>
      </c>
      <c r="D234" s="2">
        <v>894</v>
      </c>
      <c r="E234" s="2" t="s">
        <v>130</v>
      </c>
      <c r="F234" s="2">
        <v>1729</v>
      </c>
      <c r="G234" s="2">
        <v>0.2</v>
      </c>
      <c r="H234" s="2">
        <v>810</v>
      </c>
      <c r="I234" s="2" t="s">
        <v>227</v>
      </c>
      <c r="J234" s="2" t="s">
        <v>183</v>
      </c>
      <c r="K234" s="2" t="s">
        <v>183</v>
      </c>
      <c r="L234" s="2">
        <v>699</v>
      </c>
      <c r="M234" s="2" t="s">
        <v>45</v>
      </c>
      <c r="N234" s="2" t="s">
        <v>228</v>
      </c>
    </row>
    <row r="235" spans="1:14" x14ac:dyDescent="0.25">
      <c r="A235" s="2">
        <v>7297</v>
      </c>
      <c r="B235" s="2">
        <v>7601</v>
      </c>
      <c r="C235" s="2" t="s">
        <v>226</v>
      </c>
      <c r="D235" s="2">
        <v>76</v>
      </c>
      <c r="E235" s="2" t="s">
        <v>14</v>
      </c>
      <c r="F235" s="2">
        <v>1620</v>
      </c>
      <c r="G235" s="2">
        <v>0.2</v>
      </c>
      <c r="H235" s="2">
        <v>262</v>
      </c>
      <c r="I235" s="2" t="s">
        <v>227</v>
      </c>
      <c r="J235" s="2" t="s">
        <v>183</v>
      </c>
      <c r="K235" s="2" t="s">
        <v>183</v>
      </c>
      <c r="L235" s="2">
        <v>699</v>
      </c>
      <c r="M235" s="2" t="s">
        <v>45</v>
      </c>
      <c r="N235" s="2" t="s">
        <v>228</v>
      </c>
    </row>
    <row r="236" spans="1:14" x14ac:dyDescent="0.25">
      <c r="A236" s="2">
        <v>7298</v>
      </c>
      <c r="B236" s="2">
        <v>7601</v>
      </c>
      <c r="C236" s="2" t="s">
        <v>226</v>
      </c>
      <c r="D236" s="2">
        <v>156</v>
      </c>
      <c r="E236" s="2" t="s">
        <v>18</v>
      </c>
      <c r="F236" s="2">
        <v>1593</v>
      </c>
      <c r="G236" s="2">
        <v>0.2</v>
      </c>
      <c r="H236" s="2">
        <v>305</v>
      </c>
      <c r="I236" s="2" t="s">
        <v>227</v>
      </c>
      <c r="J236" s="2" t="s">
        <v>183</v>
      </c>
      <c r="K236" s="2" t="s">
        <v>183</v>
      </c>
      <c r="L236" s="2">
        <v>699</v>
      </c>
      <c r="M236" s="2" t="s">
        <v>45</v>
      </c>
      <c r="N236" s="2" t="s">
        <v>228</v>
      </c>
    </row>
    <row r="237" spans="1:14" x14ac:dyDescent="0.25">
      <c r="A237" s="2">
        <v>7299</v>
      </c>
      <c r="B237" s="2">
        <v>7601</v>
      </c>
      <c r="C237" s="2" t="s">
        <v>226</v>
      </c>
      <c r="D237" s="2">
        <v>704</v>
      </c>
      <c r="E237" s="2" t="s">
        <v>232</v>
      </c>
      <c r="F237" s="2">
        <v>1209</v>
      </c>
      <c r="G237" s="2">
        <v>0.2</v>
      </c>
      <c r="H237" s="2">
        <v>417</v>
      </c>
      <c r="I237" s="2" t="s">
        <v>227</v>
      </c>
      <c r="J237" s="2" t="s">
        <v>183</v>
      </c>
      <c r="K237" s="2" t="s">
        <v>183</v>
      </c>
      <c r="L237" s="2">
        <v>699</v>
      </c>
      <c r="M237" s="2" t="s">
        <v>45</v>
      </c>
      <c r="N237" s="2" t="s">
        <v>228</v>
      </c>
    </row>
    <row r="238" spans="1:14" x14ac:dyDescent="0.25">
      <c r="A238" s="2">
        <v>7300</v>
      </c>
      <c r="B238" s="2">
        <v>7601</v>
      </c>
      <c r="C238" s="2" t="s">
        <v>226</v>
      </c>
      <c r="D238" s="2">
        <v>344</v>
      </c>
      <c r="E238" s="2" t="s">
        <v>42</v>
      </c>
      <c r="F238" s="2">
        <v>939</v>
      </c>
      <c r="G238" s="2">
        <v>0.1</v>
      </c>
      <c r="H238" s="2">
        <v>212</v>
      </c>
      <c r="I238" s="2" t="s">
        <v>227</v>
      </c>
      <c r="J238" s="2" t="s">
        <v>183</v>
      </c>
      <c r="K238" s="2" t="s">
        <v>183</v>
      </c>
      <c r="L238" s="2">
        <v>699</v>
      </c>
      <c r="M238" s="2" t="s">
        <v>45</v>
      </c>
      <c r="N238" s="2" t="s">
        <v>228</v>
      </c>
    </row>
    <row r="239" spans="1:14" x14ac:dyDescent="0.25">
      <c r="A239" s="2">
        <v>7301</v>
      </c>
      <c r="B239" s="2">
        <v>7601</v>
      </c>
      <c r="C239" s="2" t="s">
        <v>226</v>
      </c>
      <c r="D239" s="2">
        <v>999</v>
      </c>
      <c r="E239" s="2" t="s">
        <v>210</v>
      </c>
      <c r="F239" s="2">
        <v>816</v>
      </c>
      <c r="G239" s="2">
        <v>0.1</v>
      </c>
      <c r="H239" s="2">
        <v>200</v>
      </c>
      <c r="I239" s="2" t="s">
        <v>227</v>
      </c>
      <c r="J239" s="2" t="s">
        <v>183</v>
      </c>
      <c r="K239" s="2" t="s">
        <v>183</v>
      </c>
      <c r="L239" s="2">
        <v>699</v>
      </c>
      <c r="M239" s="2" t="s">
        <v>45</v>
      </c>
      <c r="N239" s="2" t="s">
        <v>228</v>
      </c>
    </row>
    <row r="240" spans="1:14" x14ac:dyDescent="0.25">
      <c r="A240" s="2">
        <v>7302</v>
      </c>
      <c r="B240" s="2">
        <v>7601</v>
      </c>
      <c r="C240" s="2" t="s">
        <v>226</v>
      </c>
      <c r="D240" s="2">
        <v>784</v>
      </c>
      <c r="E240" s="2" t="s">
        <v>109</v>
      </c>
      <c r="F240" s="2">
        <v>153447</v>
      </c>
      <c r="G240" s="2">
        <v>21.1</v>
      </c>
      <c r="H240" s="2">
        <v>50016</v>
      </c>
      <c r="I240" s="2" t="s">
        <v>227</v>
      </c>
      <c r="J240" s="2" t="s">
        <v>183</v>
      </c>
      <c r="K240" s="2" t="s">
        <v>183</v>
      </c>
      <c r="L240" s="2">
        <v>360</v>
      </c>
      <c r="M240" s="2" t="s">
        <v>46</v>
      </c>
      <c r="N240" s="2" t="s">
        <v>228</v>
      </c>
    </row>
    <row r="241" spans="1:14" x14ac:dyDescent="0.25">
      <c r="A241" s="2">
        <v>7303</v>
      </c>
      <c r="B241" s="2">
        <v>7601</v>
      </c>
      <c r="C241" s="2" t="s">
        <v>226</v>
      </c>
      <c r="D241" s="2">
        <v>36</v>
      </c>
      <c r="E241" s="2" t="s">
        <v>4</v>
      </c>
      <c r="F241" s="2">
        <v>108354</v>
      </c>
      <c r="G241" s="2">
        <v>14.9</v>
      </c>
      <c r="H241" s="2">
        <v>36524</v>
      </c>
      <c r="I241" s="2" t="s">
        <v>227</v>
      </c>
      <c r="J241" s="2" t="s">
        <v>183</v>
      </c>
      <c r="K241" s="2" t="s">
        <v>183</v>
      </c>
      <c r="L241" s="2">
        <v>360</v>
      </c>
      <c r="M241" s="2" t="s">
        <v>46</v>
      </c>
      <c r="N241" s="2" t="s">
        <v>228</v>
      </c>
    </row>
    <row r="242" spans="1:14" x14ac:dyDescent="0.25">
      <c r="A242" s="2">
        <v>7304</v>
      </c>
      <c r="B242" s="2">
        <v>7601</v>
      </c>
      <c r="C242" s="2" t="s">
        <v>226</v>
      </c>
      <c r="D242" s="2">
        <v>458</v>
      </c>
      <c r="E242" s="2" t="s">
        <v>66</v>
      </c>
      <c r="F242" s="2">
        <v>98727</v>
      </c>
      <c r="G242" s="2">
        <v>13.6</v>
      </c>
      <c r="H242" s="2">
        <v>32494</v>
      </c>
      <c r="I242" s="2" t="s">
        <v>227</v>
      </c>
      <c r="J242" s="2" t="s">
        <v>183</v>
      </c>
      <c r="K242" s="2" t="s">
        <v>183</v>
      </c>
      <c r="L242" s="2">
        <v>360</v>
      </c>
      <c r="M242" s="2" t="s">
        <v>46</v>
      </c>
      <c r="N242" s="2" t="s">
        <v>228</v>
      </c>
    </row>
    <row r="243" spans="1:14" x14ac:dyDescent="0.25">
      <c r="A243" s="2">
        <v>7305</v>
      </c>
      <c r="B243" s="2">
        <v>7601</v>
      </c>
      <c r="C243" s="2" t="s">
        <v>226</v>
      </c>
      <c r="D243" s="2">
        <v>699</v>
      </c>
      <c r="E243" s="2" t="s">
        <v>45</v>
      </c>
      <c r="F243" s="2">
        <v>69512</v>
      </c>
      <c r="G243" s="2">
        <v>9.6</v>
      </c>
      <c r="H243" s="2">
        <v>24214</v>
      </c>
      <c r="I243" s="2" t="s">
        <v>227</v>
      </c>
      <c r="J243" s="2" t="s">
        <v>183</v>
      </c>
      <c r="K243" s="2" t="s">
        <v>183</v>
      </c>
      <c r="L243" s="2">
        <v>360</v>
      </c>
      <c r="M243" s="2" t="s">
        <v>46</v>
      </c>
      <c r="N243" s="2" t="s">
        <v>228</v>
      </c>
    </row>
    <row r="244" spans="1:14" x14ac:dyDescent="0.25">
      <c r="A244" s="2">
        <v>7306</v>
      </c>
      <c r="B244" s="2">
        <v>7601</v>
      </c>
      <c r="C244" s="2" t="s">
        <v>226</v>
      </c>
      <c r="D244" s="2">
        <v>643</v>
      </c>
      <c r="E244" s="2" t="s">
        <v>209</v>
      </c>
      <c r="F244" s="2">
        <v>50703</v>
      </c>
      <c r="G244" s="2">
        <v>7</v>
      </c>
      <c r="H244" s="2">
        <v>16654</v>
      </c>
      <c r="I244" s="2" t="s">
        <v>227</v>
      </c>
      <c r="J244" s="2" t="s">
        <v>183</v>
      </c>
      <c r="K244" s="2" t="s">
        <v>183</v>
      </c>
      <c r="L244" s="2">
        <v>360</v>
      </c>
      <c r="M244" s="2" t="s">
        <v>46</v>
      </c>
      <c r="N244" s="2" t="s">
        <v>228</v>
      </c>
    </row>
    <row r="245" spans="1:14" x14ac:dyDescent="0.25">
      <c r="A245" s="2">
        <v>7307</v>
      </c>
      <c r="B245" s="2">
        <v>7601</v>
      </c>
      <c r="C245" s="2" t="s">
        <v>226</v>
      </c>
      <c r="D245" s="2">
        <v>634</v>
      </c>
      <c r="E245" s="2" t="s">
        <v>88</v>
      </c>
      <c r="F245" s="2">
        <v>43276</v>
      </c>
      <c r="G245" s="2">
        <v>6</v>
      </c>
      <c r="H245" s="2">
        <v>14290</v>
      </c>
      <c r="I245" s="2" t="s">
        <v>227</v>
      </c>
      <c r="J245" s="2" t="s">
        <v>183</v>
      </c>
      <c r="K245" s="2" t="s">
        <v>183</v>
      </c>
      <c r="L245" s="2">
        <v>360</v>
      </c>
      <c r="M245" s="2" t="s">
        <v>46</v>
      </c>
      <c r="N245" s="2" t="s">
        <v>228</v>
      </c>
    </row>
    <row r="246" spans="1:14" x14ac:dyDescent="0.25">
      <c r="A246" s="2">
        <v>7308</v>
      </c>
      <c r="B246" s="2">
        <v>7601</v>
      </c>
      <c r="C246" s="2" t="s">
        <v>226</v>
      </c>
      <c r="D246" s="2">
        <v>410</v>
      </c>
      <c r="E246" s="2" t="s">
        <v>230</v>
      </c>
      <c r="F246" s="2">
        <v>41466</v>
      </c>
      <c r="G246" s="2">
        <v>5.7</v>
      </c>
      <c r="H246" s="2">
        <v>12232</v>
      </c>
      <c r="I246" s="2" t="s">
        <v>227</v>
      </c>
      <c r="J246" s="2" t="s">
        <v>183</v>
      </c>
      <c r="K246" s="2" t="s">
        <v>183</v>
      </c>
      <c r="L246" s="2">
        <v>360</v>
      </c>
      <c r="M246" s="2" t="s">
        <v>46</v>
      </c>
      <c r="N246" s="2" t="s">
        <v>228</v>
      </c>
    </row>
    <row r="247" spans="1:14" x14ac:dyDescent="0.25">
      <c r="A247" s="2">
        <v>7309</v>
      </c>
      <c r="B247" s="2">
        <v>7601</v>
      </c>
      <c r="C247" s="2" t="s">
        <v>226</v>
      </c>
      <c r="D247" s="2">
        <v>710</v>
      </c>
      <c r="E247" s="2" t="s">
        <v>97</v>
      </c>
      <c r="F247" s="2">
        <v>18959</v>
      </c>
      <c r="G247" s="2">
        <v>2.6</v>
      </c>
      <c r="H247" s="2">
        <v>7148</v>
      </c>
      <c r="I247" s="2" t="s">
        <v>227</v>
      </c>
      <c r="J247" s="2" t="s">
        <v>183</v>
      </c>
      <c r="K247" s="2" t="s">
        <v>183</v>
      </c>
      <c r="L247" s="2">
        <v>360</v>
      </c>
      <c r="M247" s="2" t="s">
        <v>46</v>
      </c>
      <c r="N247" s="2" t="s">
        <v>228</v>
      </c>
    </row>
    <row r="248" spans="1:14" x14ac:dyDescent="0.25">
      <c r="A248" s="2">
        <v>7310</v>
      </c>
      <c r="B248" s="2">
        <v>7601</v>
      </c>
      <c r="C248" s="2" t="s">
        <v>226</v>
      </c>
      <c r="D248" s="2">
        <v>724</v>
      </c>
      <c r="E248" s="2" t="s">
        <v>98</v>
      </c>
      <c r="F248" s="2">
        <v>16476</v>
      </c>
      <c r="G248" s="2">
        <v>2.2999999999999998</v>
      </c>
      <c r="H248" s="2">
        <v>6260</v>
      </c>
      <c r="I248" s="2" t="s">
        <v>227</v>
      </c>
      <c r="J248" s="2" t="s">
        <v>183</v>
      </c>
      <c r="K248" s="2" t="s">
        <v>183</v>
      </c>
      <c r="L248" s="2">
        <v>360</v>
      </c>
      <c r="M248" s="2" t="s">
        <v>46</v>
      </c>
      <c r="N248" s="2" t="s">
        <v>228</v>
      </c>
    </row>
    <row r="249" spans="1:14" x14ac:dyDescent="0.25">
      <c r="A249" s="2">
        <v>7311</v>
      </c>
      <c r="B249" s="2">
        <v>7601</v>
      </c>
      <c r="C249" s="2" t="s">
        <v>226</v>
      </c>
      <c r="D249" s="2">
        <v>48</v>
      </c>
      <c r="E249" s="2" t="s">
        <v>7</v>
      </c>
      <c r="F249" s="2">
        <v>15620</v>
      </c>
      <c r="G249" s="2">
        <v>2.1</v>
      </c>
      <c r="H249" s="2">
        <v>4824</v>
      </c>
      <c r="I249" s="2" t="s">
        <v>227</v>
      </c>
      <c r="J249" s="2" t="s">
        <v>183</v>
      </c>
      <c r="K249" s="2" t="s">
        <v>183</v>
      </c>
      <c r="L249" s="2">
        <v>360</v>
      </c>
      <c r="M249" s="2" t="s">
        <v>46</v>
      </c>
      <c r="N249" s="2" t="s">
        <v>228</v>
      </c>
    </row>
    <row r="250" spans="1:14" x14ac:dyDescent="0.25">
      <c r="A250" s="2">
        <v>7312</v>
      </c>
      <c r="B250" s="2">
        <v>7601</v>
      </c>
      <c r="C250" s="2" t="s">
        <v>226</v>
      </c>
      <c r="D250" s="2">
        <v>158</v>
      </c>
      <c r="E250" s="2" t="s">
        <v>233</v>
      </c>
      <c r="F250" s="2">
        <v>15351</v>
      </c>
      <c r="G250" s="2">
        <v>2.1</v>
      </c>
      <c r="H250" s="2">
        <v>5080</v>
      </c>
      <c r="I250" s="2" t="s">
        <v>227</v>
      </c>
      <c r="J250" s="2" t="s">
        <v>183</v>
      </c>
      <c r="K250" s="2" t="s">
        <v>183</v>
      </c>
      <c r="L250" s="2">
        <v>360</v>
      </c>
      <c r="M250" s="2" t="s">
        <v>46</v>
      </c>
      <c r="N250" s="2" t="s">
        <v>228</v>
      </c>
    </row>
    <row r="251" spans="1:14" x14ac:dyDescent="0.25">
      <c r="A251" s="2">
        <v>7313</v>
      </c>
      <c r="B251" s="2">
        <v>7601</v>
      </c>
      <c r="C251" s="2" t="s">
        <v>226</v>
      </c>
      <c r="D251" s="2">
        <v>566</v>
      </c>
      <c r="E251" s="2" t="s">
        <v>78</v>
      </c>
      <c r="F251" s="2">
        <v>14356</v>
      </c>
      <c r="G251" s="2">
        <v>2</v>
      </c>
      <c r="H251" s="2">
        <v>5696</v>
      </c>
      <c r="I251" s="2" t="s">
        <v>227</v>
      </c>
      <c r="J251" s="2" t="s">
        <v>183</v>
      </c>
      <c r="K251" s="2" t="s">
        <v>183</v>
      </c>
      <c r="L251" s="2">
        <v>360</v>
      </c>
      <c r="M251" s="2" t="s">
        <v>46</v>
      </c>
      <c r="N251" s="2" t="s">
        <v>228</v>
      </c>
    </row>
    <row r="252" spans="1:14" x14ac:dyDescent="0.25">
      <c r="A252" s="2">
        <v>7314</v>
      </c>
      <c r="B252" s="2">
        <v>7601</v>
      </c>
      <c r="C252" s="2" t="s">
        <v>226</v>
      </c>
      <c r="D252" s="2">
        <v>702</v>
      </c>
      <c r="E252" s="2" t="s">
        <v>93</v>
      </c>
      <c r="F252" s="2">
        <v>14036</v>
      </c>
      <c r="G252" s="2">
        <v>1.9</v>
      </c>
      <c r="H252" s="2">
        <v>4443</v>
      </c>
      <c r="I252" s="2" t="s">
        <v>227</v>
      </c>
      <c r="J252" s="2" t="s">
        <v>183</v>
      </c>
      <c r="K252" s="2" t="s">
        <v>183</v>
      </c>
      <c r="L252" s="2">
        <v>360</v>
      </c>
      <c r="M252" s="2" t="s">
        <v>46</v>
      </c>
      <c r="N252" s="2" t="s">
        <v>228</v>
      </c>
    </row>
    <row r="253" spans="1:14" x14ac:dyDescent="0.25">
      <c r="A253" s="2">
        <v>7315</v>
      </c>
      <c r="B253" s="2">
        <v>7601</v>
      </c>
      <c r="C253" s="2" t="s">
        <v>226</v>
      </c>
      <c r="D253" s="2">
        <v>756</v>
      </c>
      <c r="E253" s="2" t="s">
        <v>101</v>
      </c>
      <c r="F253" s="2">
        <v>13913</v>
      </c>
      <c r="G253" s="2">
        <v>1.9</v>
      </c>
      <c r="H253" s="2">
        <v>4711</v>
      </c>
      <c r="I253" s="2" t="s">
        <v>227</v>
      </c>
      <c r="J253" s="2" t="s">
        <v>183</v>
      </c>
      <c r="K253" s="2" t="s">
        <v>183</v>
      </c>
      <c r="L253" s="2">
        <v>360</v>
      </c>
      <c r="M253" s="2" t="s">
        <v>46</v>
      </c>
      <c r="N253" s="2" t="s">
        <v>228</v>
      </c>
    </row>
    <row r="254" spans="1:14" x14ac:dyDescent="0.25">
      <c r="A254" s="2">
        <v>7316</v>
      </c>
      <c r="B254" s="2">
        <v>7601</v>
      </c>
      <c r="C254" s="2" t="s">
        <v>226</v>
      </c>
      <c r="D254" s="2">
        <v>512</v>
      </c>
      <c r="E254" s="2" t="s">
        <v>80</v>
      </c>
      <c r="F254" s="2">
        <v>13278</v>
      </c>
      <c r="G254" s="2">
        <v>1.8</v>
      </c>
      <c r="H254" s="2">
        <v>4397</v>
      </c>
      <c r="I254" s="2" t="s">
        <v>227</v>
      </c>
      <c r="J254" s="2" t="s">
        <v>183</v>
      </c>
      <c r="K254" s="2" t="s">
        <v>183</v>
      </c>
      <c r="L254" s="2">
        <v>360</v>
      </c>
      <c r="M254" s="2" t="s">
        <v>46</v>
      </c>
      <c r="N254" s="2" t="s">
        <v>228</v>
      </c>
    </row>
    <row r="255" spans="1:14" x14ac:dyDescent="0.25">
      <c r="A255" s="2">
        <v>7317</v>
      </c>
      <c r="B255" s="2">
        <v>7601</v>
      </c>
      <c r="C255" s="2" t="s">
        <v>226</v>
      </c>
      <c r="D255" s="2">
        <v>764</v>
      </c>
      <c r="E255" s="2" t="s">
        <v>103</v>
      </c>
      <c r="F255" s="2">
        <v>6511</v>
      </c>
      <c r="G255" s="2">
        <v>0.9</v>
      </c>
      <c r="H255" s="2">
        <v>2002</v>
      </c>
      <c r="I255" s="2" t="s">
        <v>227</v>
      </c>
      <c r="J255" s="2" t="s">
        <v>183</v>
      </c>
      <c r="K255" s="2" t="s">
        <v>183</v>
      </c>
      <c r="L255" s="2">
        <v>360</v>
      </c>
      <c r="M255" s="2" t="s">
        <v>46</v>
      </c>
      <c r="N255" s="2" t="s">
        <v>228</v>
      </c>
    </row>
    <row r="256" spans="1:14" x14ac:dyDescent="0.25">
      <c r="A256" s="2">
        <v>7318</v>
      </c>
      <c r="B256" s="2">
        <v>7601</v>
      </c>
      <c r="C256" s="2" t="s">
        <v>226</v>
      </c>
      <c r="D256" s="2">
        <v>24</v>
      </c>
      <c r="E256" s="2" t="s">
        <v>1</v>
      </c>
      <c r="F256" s="2">
        <v>5921</v>
      </c>
      <c r="G256" s="2">
        <v>0.8</v>
      </c>
      <c r="H256" s="2">
        <v>2669</v>
      </c>
      <c r="I256" s="2" t="s">
        <v>227</v>
      </c>
      <c r="J256" s="2" t="s">
        <v>183</v>
      </c>
      <c r="K256" s="2" t="s">
        <v>183</v>
      </c>
      <c r="L256" s="2">
        <v>360</v>
      </c>
      <c r="M256" s="2" t="s">
        <v>46</v>
      </c>
      <c r="N256" s="2" t="s">
        <v>228</v>
      </c>
    </row>
    <row r="257" spans="1:14" x14ac:dyDescent="0.25">
      <c r="A257" s="2">
        <v>7319</v>
      </c>
      <c r="B257" s="2">
        <v>7601</v>
      </c>
      <c r="C257" s="2" t="s">
        <v>226</v>
      </c>
      <c r="D257" s="2">
        <v>156</v>
      </c>
      <c r="E257" s="2" t="s">
        <v>18</v>
      </c>
      <c r="F257" s="2">
        <v>5778</v>
      </c>
      <c r="G257" s="2">
        <v>0.8</v>
      </c>
      <c r="H257" s="2">
        <v>1769</v>
      </c>
      <c r="I257" s="2" t="s">
        <v>227</v>
      </c>
      <c r="J257" s="2" t="s">
        <v>183</v>
      </c>
      <c r="K257" s="2" t="s">
        <v>183</v>
      </c>
      <c r="L257" s="2">
        <v>360</v>
      </c>
      <c r="M257" s="2" t="s">
        <v>46</v>
      </c>
      <c r="N257" s="2" t="s">
        <v>228</v>
      </c>
    </row>
    <row r="258" spans="1:14" x14ac:dyDescent="0.25">
      <c r="A258" s="2">
        <v>7320</v>
      </c>
      <c r="B258" s="2">
        <v>7601</v>
      </c>
      <c r="C258" s="2" t="s">
        <v>226</v>
      </c>
      <c r="D258" s="2">
        <v>554</v>
      </c>
      <c r="E258" s="2" t="s">
        <v>76</v>
      </c>
      <c r="F258" s="2">
        <v>4784</v>
      </c>
      <c r="G258" s="2">
        <v>0.7</v>
      </c>
      <c r="H258" s="2">
        <v>1676</v>
      </c>
      <c r="I258" s="2" t="s">
        <v>227</v>
      </c>
      <c r="J258" s="2" t="s">
        <v>183</v>
      </c>
      <c r="K258" s="2" t="s">
        <v>183</v>
      </c>
      <c r="L258" s="2">
        <v>360</v>
      </c>
      <c r="M258" s="2" t="s">
        <v>46</v>
      </c>
      <c r="N258" s="2" t="s">
        <v>228</v>
      </c>
    </row>
    <row r="259" spans="1:14" x14ac:dyDescent="0.25">
      <c r="A259" s="2">
        <v>7321</v>
      </c>
      <c r="B259" s="2">
        <v>7601</v>
      </c>
      <c r="C259" s="2" t="s">
        <v>226</v>
      </c>
      <c r="D259" s="2">
        <v>381</v>
      </c>
      <c r="E259" s="2" t="s">
        <v>50</v>
      </c>
      <c r="F259" s="2">
        <v>2600</v>
      </c>
      <c r="G259" s="2">
        <v>0.4</v>
      </c>
      <c r="H259" s="2">
        <v>962</v>
      </c>
      <c r="I259" s="2" t="s">
        <v>227</v>
      </c>
      <c r="J259" s="2" t="s">
        <v>183</v>
      </c>
      <c r="K259" s="2" t="s">
        <v>183</v>
      </c>
      <c r="L259" s="2">
        <v>360</v>
      </c>
      <c r="M259" s="2" t="s">
        <v>46</v>
      </c>
      <c r="N259" s="2" t="s">
        <v>228</v>
      </c>
    </row>
    <row r="260" spans="1:14" x14ac:dyDescent="0.25">
      <c r="A260" s="2">
        <v>7322</v>
      </c>
      <c r="B260" s="2">
        <v>7601</v>
      </c>
      <c r="C260" s="2" t="s">
        <v>226</v>
      </c>
      <c r="D260" s="2">
        <v>704</v>
      </c>
      <c r="E260" s="2" t="s">
        <v>232</v>
      </c>
      <c r="F260" s="2">
        <v>2573</v>
      </c>
      <c r="G260" s="2">
        <v>0.4</v>
      </c>
      <c r="H260" s="2">
        <v>925</v>
      </c>
      <c r="I260" s="2" t="s">
        <v>227</v>
      </c>
      <c r="J260" s="2" t="s">
        <v>183</v>
      </c>
      <c r="K260" s="2" t="s">
        <v>183</v>
      </c>
      <c r="L260" s="2">
        <v>360</v>
      </c>
      <c r="M260" s="2" t="s">
        <v>46</v>
      </c>
      <c r="N260" s="2" t="s">
        <v>228</v>
      </c>
    </row>
    <row r="261" spans="1:14" x14ac:dyDescent="0.25">
      <c r="A261" s="2">
        <v>7323</v>
      </c>
      <c r="B261" s="2">
        <v>7601</v>
      </c>
      <c r="C261" s="2" t="s">
        <v>226</v>
      </c>
      <c r="D261" s="2">
        <v>120</v>
      </c>
      <c r="E261" s="2" t="s">
        <v>120</v>
      </c>
      <c r="F261" s="2">
        <v>2313</v>
      </c>
      <c r="G261" s="2">
        <v>0.3</v>
      </c>
      <c r="H261" s="2">
        <v>1001</v>
      </c>
      <c r="I261" s="2" t="s">
        <v>227</v>
      </c>
      <c r="J261" s="2" t="s">
        <v>183</v>
      </c>
      <c r="K261" s="2" t="s">
        <v>183</v>
      </c>
      <c r="L261" s="2">
        <v>360</v>
      </c>
      <c r="M261" s="2" t="s">
        <v>46</v>
      </c>
      <c r="N261" s="2" t="s">
        <v>228</v>
      </c>
    </row>
    <row r="262" spans="1:14" x14ac:dyDescent="0.25">
      <c r="A262" s="2">
        <v>7324</v>
      </c>
      <c r="B262" s="2">
        <v>7601</v>
      </c>
      <c r="C262" s="2" t="s">
        <v>226</v>
      </c>
      <c r="D262" s="2">
        <v>818</v>
      </c>
      <c r="E262" s="2" t="s">
        <v>28</v>
      </c>
      <c r="F262" s="2">
        <v>1392</v>
      </c>
      <c r="G262" s="2">
        <v>0.2</v>
      </c>
      <c r="H262" s="2">
        <v>616</v>
      </c>
      <c r="I262" s="2" t="s">
        <v>227</v>
      </c>
      <c r="J262" s="2" t="s">
        <v>183</v>
      </c>
      <c r="K262" s="2" t="s">
        <v>183</v>
      </c>
      <c r="L262" s="2">
        <v>360</v>
      </c>
      <c r="M262" s="2" t="s">
        <v>46</v>
      </c>
      <c r="N262" s="2" t="s">
        <v>228</v>
      </c>
    </row>
    <row r="263" spans="1:14" x14ac:dyDescent="0.25">
      <c r="A263" s="2">
        <v>7325</v>
      </c>
      <c r="B263" s="2">
        <v>7601</v>
      </c>
      <c r="C263" s="2" t="s">
        <v>226</v>
      </c>
      <c r="D263" s="2">
        <v>268</v>
      </c>
      <c r="E263" s="2" t="s">
        <v>36</v>
      </c>
      <c r="F263" s="2">
        <v>1161</v>
      </c>
      <c r="G263" s="2">
        <v>0.2</v>
      </c>
      <c r="H263" s="2">
        <v>445</v>
      </c>
      <c r="I263" s="2" t="s">
        <v>227</v>
      </c>
      <c r="J263" s="2" t="s">
        <v>183</v>
      </c>
      <c r="K263" s="2" t="s">
        <v>183</v>
      </c>
      <c r="L263" s="2">
        <v>360</v>
      </c>
      <c r="M263" s="2" t="s">
        <v>46</v>
      </c>
      <c r="N263" s="2" t="s">
        <v>228</v>
      </c>
    </row>
    <row r="264" spans="1:14" x14ac:dyDescent="0.25">
      <c r="A264" s="2">
        <v>7326</v>
      </c>
      <c r="B264" s="2">
        <v>7601</v>
      </c>
      <c r="C264" s="2" t="s">
        <v>226</v>
      </c>
      <c r="D264" s="2">
        <v>508</v>
      </c>
      <c r="E264" s="2" t="s">
        <v>123</v>
      </c>
      <c r="F264" s="2">
        <v>603265</v>
      </c>
      <c r="G264" s="2">
        <v>12.5</v>
      </c>
      <c r="H264" s="2">
        <v>199089</v>
      </c>
      <c r="I264" s="2" t="s">
        <v>227</v>
      </c>
      <c r="J264" s="2" t="s">
        <v>183</v>
      </c>
      <c r="K264" s="2" t="s">
        <v>183</v>
      </c>
      <c r="L264" s="2">
        <v>381</v>
      </c>
      <c r="M264" s="2" t="s">
        <v>50</v>
      </c>
      <c r="N264" s="2" t="s">
        <v>228</v>
      </c>
    </row>
    <row r="265" spans="1:14" x14ac:dyDescent="0.25">
      <c r="A265" s="2">
        <v>7327</v>
      </c>
      <c r="B265" s="2">
        <v>7601</v>
      </c>
      <c r="C265" s="2" t="s">
        <v>226</v>
      </c>
      <c r="D265" s="2">
        <v>699</v>
      </c>
      <c r="E265" s="2" t="s">
        <v>45</v>
      </c>
      <c r="F265" s="2">
        <v>565883</v>
      </c>
      <c r="G265" s="2">
        <v>11.8</v>
      </c>
      <c r="H265" s="2">
        <v>179695</v>
      </c>
      <c r="I265" s="2" t="s">
        <v>227</v>
      </c>
      <c r="J265" s="2" t="s">
        <v>183</v>
      </c>
      <c r="K265" s="2" t="s">
        <v>183</v>
      </c>
      <c r="L265" s="2">
        <v>381</v>
      </c>
      <c r="M265" s="2" t="s">
        <v>50</v>
      </c>
      <c r="N265" s="2" t="s">
        <v>228</v>
      </c>
    </row>
    <row r="266" spans="1:14" x14ac:dyDescent="0.25">
      <c r="A266" s="2">
        <v>7328</v>
      </c>
      <c r="B266" s="2">
        <v>7601</v>
      </c>
      <c r="C266" s="2" t="s">
        <v>226</v>
      </c>
      <c r="D266" s="2">
        <v>784</v>
      </c>
      <c r="E266" s="2" t="s">
        <v>109</v>
      </c>
      <c r="F266" s="2">
        <v>495228</v>
      </c>
      <c r="G266" s="2">
        <v>10.3</v>
      </c>
      <c r="H266" s="2">
        <v>147414</v>
      </c>
      <c r="I266" s="2" t="s">
        <v>227</v>
      </c>
      <c r="J266" s="2" t="s">
        <v>183</v>
      </c>
      <c r="K266" s="2" t="s">
        <v>183</v>
      </c>
      <c r="L266" s="2">
        <v>381</v>
      </c>
      <c r="M266" s="2" t="s">
        <v>50</v>
      </c>
      <c r="N266" s="2" t="s">
        <v>228</v>
      </c>
    </row>
    <row r="267" spans="1:14" x14ac:dyDescent="0.25">
      <c r="A267" s="2">
        <v>7329</v>
      </c>
      <c r="B267" s="2">
        <v>7601</v>
      </c>
      <c r="C267" s="2" t="s">
        <v>226</v>
      </c>
      <c r="D267" s="2">
        <v>528</v>
      </c>
      <c r="E267" s="2" t="s">
        <v>75</v>
      </c>
      <c r="F267" s="2">
        <v>428107</v>
      </c>
      <c r="G267" s="2">
        <v>8.9</v>
      </c>
      <c r="H267" s="2">
        <v>114351</v>
      </c>
      <c r="I267" s="2" t="s">
        <v>227</v>
      </c>
      <c r="J267" s="2" t="s">
        <v>183</v>
      </c>
      <c r="K267" s="2" t="s">
        <v>183</v>
      </c>
      <c r="L267" s="2">
        <v>381</v>
      </c>
      <c r="M267" s="2" t="s">
        <v>50</v>
      </c>
      <c r="N267" s="2" t="s">
        <v>228</v>
      </c>
    </row>
    <row r="268" spans="1:14" x14ac:dyDescent="0.25">
      <c r="A268" s="2">
        <v>7330</v>
      </c>
      <c r="B268" s="2">
        <v>7601</v>
      </c>
      <c r="C268" s="2" t="s">
        <v>226</v>
      </c>
      <c r="D268" s="2">
        <v>300</v>
      </c>
      <c r="E268" s="2" t="s">
        <v>39</v>
      </c>
      <c r="F268" s="2">
        <v>348193</v>
      </c>
      <c r="G268" s="2">
        <v>7.2</v>
      </c>
      <c r="H268" s="2">
        <v>91006</v>
      </c>
      <c r="I268" s="2" t="s">
        <v>227</v>
      </c>
      <c r="J268" s="2" t="s">
        <v>183</v>
      </c>
      <c r="K268" s="2" t="s">
        <v>183</v>
      </c>
      <c r="L268" s="2">
        <v>381</v>
      </c>
      <c r="M268" s="2" t="s">
        <v>50</v>
      </c>
      <c r="N268" s="2" t="s">
        <v>228</v>
      </c>
    </row>
    <row r="269" spans="1:14" x14ac:dyDescent="0.25">
      <c r="A269" s="2">
        <v>7331</v>
      </c>
      <c r="B269" s="2">
        <v>7601</v>
      </c>
      <c r="C269" s="2" t="s">
        <v>226</v>
      </c>
      <c r="D269" s="2">
        <v>705</v>
      </c>
      <c r="E269" s="2" t="s">
        <v>96</v>
      </c>
      <c r="F269" s="2">
        <v>283042</v>
      </c>
      <c r="G269" s="2">
        <v>5.9</v>
      </c>
      <c r="H269" s="2">
        <v>71343</v>
      </c>
      <c r="I269" s="2" t="s">
        <v>227</v>
      </c>
      <c r="J269" s="2" t="s">
        <v>183</v>
      </c>
      <c r="K269" s="2" t="s">
        <v>183</v>
      </c>
      <c r="L269" s="2">
        <v>381</v>
      </c>
      <c r="M269" s="2" t="s">
        <v>50</v>
      </c>
      <c r="N269" s="2" t="s">
        <v>228</v>
      </c>
    </row>
    <row r="270" spans="1:14" x14ac:dyDescent="0.25">
      <c r="A270" s="2">
        <v>7332</v>
      </c>
      <c r="B270" s="2">
        <v>7601</v>
      </c>
      <c r="C270" s="2" t="s">
        <v>226</v>
      </c>
      <c r="D270" s="2">
        <v>643</v>
      </c>
      <c r="E270" s="2" t="s">
        <v>209</v>
      </c>
      <c r="F270" s="2">
        <v>273694</v>
      </c>
      <c r="G270" s="2">
        <v>5.7</v>
      </c>
      <c r="H270" s="2">
        <v>86823</v>
      </c>
      <c r="I270" s="2" t="s">
        <v>227</v>
      </c>
      <c r="J270" s="2" t="s">
        <v>183</v>
      </c>
      <c r="K270" s="2" t="s">
        <v>183</v>
      </c>
      <c r="L270" s="2">
        <v>381</v>
      </c>
      <c r="M270" s="2" t="s">
        <v>50</v>
      </c>
      <c r="N270" s="2" t="s">
        <v>228</v>
      </c>
    </row>
    <row r="271" spans="1:14" x14ac:dyDescent="0.25">
      <c r="A271" s="2">
        <v>7333</v>
      </c>
      <c r="B271" s="2">
        <v>7601</v>
      </c>
      <c r="C271" s="2" t="s">
        <v>226</v>
      </c>
      <c r="D271" s="2">
        <v>48</v>
      </c>
      <c r="E271" s="2" t="s">
        <v>7</v>
      </c>
      <c r="F271" s="2">
        <v>206688</v>
      </c>
      <c r="G271" s="2">
        <v>4.3</v>
      </c>
      <c r="H271" s="2">
        <v>59392</v>
      </c>
      <c r="I271" s="2" t="s">
        <v>227</v>
      </c>
      <c r="J271" s="2" t="s">
        <v>183</v>
      </c>
      <c r="K271" s="2" t="s">
        <v>183</v>
      </c>
      <c r="L271" s="2">
        <v>381</v>
      </c>
      <c r="M271" s="2" t="s">
        <v>50</v>
      </c>
      <c r="N271" s="2" t="s">
        <v>228</v>
      </c>
    </row>
    <row r="272" spans="1:14" x14ac:dyDescent="0.25">
      <c r="A272" s="2">
        <v>7334</v>
      </c>
      <c r="B272" s="2">
        <v>7601</v>
      </c>
      <c r="C272" s="2" t="s">
        <v>226</v>
      </c>
      <c r="D272" s="2">
        <v>818</v>
      </c>
      <c r="E272" s="2" t="s">
        <v>28</v>
      </c>
      <c r="F272" s="2">
        <v>180415</v>
      </c>
      <c r="G272" s="2">
        <v>3.8</v>
      </c>
      <c r="H272" s="2">
        <v>57253</v>
      </c>
      <c r="I272" s="2" t="s">
        <v>227</v>
      </c>
      <c r="J272" s="2" t="s">
        <v>183</v>
      </c>
      <c r="K272" s="2" t="s">
        <v>183</v>
      </c>
      <c r="L272" s="2">
        <v>381</v>
      </c>
      <c r="M272" s="2" t="s">
        <v>50</v>
      </c>
      <c r="N272" s="2" t="s">
        <v>228</v>
      </c>
    </row>
    <row r="273" spans="1:14" x14ac:dyDescent="0.25">
      <c r="A273" s="2">
        <v>7335</v>
      </c>
      <c r="B273" s="2">
        <v>7601</v>
      </c>
      <c r="C273" s="2" t="s">
        <v>226</v>
      </c>
      <c r="D273" s="2">
        <v>276</v>
      </c>
      <c r="E273" s="2" t="s">
        <v>37</v>
      </c>
      <c r="F273" s="2">
        <v>145419</v>
      </c>
      <c r="G273" s="2">
        <v>3</v>
      </c>
      <c r="H273" s="2">
        <v>41055</v>
      </c>
      <c r="I273" s="2" t="s">
        <v>227</v>
      </c>
      <c r="J273" s="2" t="s">
        <v>183</v>
      </c>
      <c r="K273" s="2" t="s">
        <v>183</v>
      </c>
      <c r="L273" s="2">
        <v>381</v>
      </c>
      <c r="M273" s="2" t="s">
        <v>50</v>
      </c>
      <c r="N273" s="2" t="s">
        <v>228</v>
      </c>
    </row>
    <row r="274" spans="1:14" x14ac:dyDescent="0.25">
      <c r="A274" s="2">
        <v>7336</v>
      </c>
      <c r="B274" s="2">
        <v>7601</v>
      </c>
      <c r="C274" s="2" t="s">
        <v>226</v>
      </c>
      <c r="D274" s="2">
        <v>398</v>
      </c>
      <c r="E274" s="2" t="s">
        <v>53</v>
      </c>
      <c r="F274" s="2">
        <v>128149</v>
      </c>
      <c r="G274" s="2">
        <v>2.7</v>
      </c>
      <c r="H274" s="2">
        <v>40324</v>
      </c>
      <c r="I274" s="2" t="s">
        <v>227</v>
      </c>
      <c r="J274" s="2" t="s">
        <v>183</v>
      </c>
      <c r="K274" s="2" t="s">
        <v>183</v>
      </c>
      <c r="L274" s="2">
        <v>381</v>
      </c>
      <c r="M274" s="2" t="s">
        <v>50</v>
      </c>
      <c r="N274" s="2" t="s">
        <v>228</v>
      </c>
    </row>
    <row r="275" spans="1:14" x14ac:dyDescent="0.25">
      <c r="A275" s="2">
        <v>7337</v>
      </c>
      <c r="B275" s="2">
        <v>7601</v>
      </c>
      <c r="C275" s="2" t="s">
        <v>226</v>
      </c>
      <c r="D275" s="2">
        <v>458</v>
      </c>
      <c r="E275" s="2" t="s">
        <v>66</v>
      </c>
      <c r="F275" s="2">
        <v>120526</v>
      </c>
      <c r="G275" s="2">
        <v>2.5</v>
      </c>
      <c r="H275" s="2">
        <v>31636</v>
      </c>
      <c r="I275" s="2" t="s">
        <v>227</v>
      </c>
      <c r="J275" s="2" t="s">
        <v>183</v>
      </c>
      <c r="K275" s="2" t="s">
        <v>183</v>
      </c>
      <c r="L275" s="2">
        <v>381</v>
      </c>
      <c r="M275" s="2" t="s">
        <v>50</v>
      </c>
      <c r="N275" s="2" t="s">
        <v>228</v>
      </c>
    </row>
    <row r="276" spans="1:14" x14ac:dyDescent="0.25">
      <c r="A276" s="2">
        <v>7338</v>
      </c>
      <c r="B276" s="2">
        <v>7601</v>
      </c>
      <c r="C276" s="2" t="s">
        <v>226</v>
      </c>
      <c r="D276" s="2">
        <v>288</v>
      </c>
      <c r="E276" s="2" t="s">
        <v>38</v>
      </c>
      <c r="F276" s="2">
        <v>96461</v>
      </c>
      <c r="G276" s="2">
        <v>2</v>
      </c>
      <c r="H276" s="2">
        <v>30896</v>
      </c>
      <c r="I276" s="2" t="s">
        <v>227</v>
      </c>
      <c r="J276" s="2" t="s">
        <v>183</v>
      </c>
      <c r="K276" s="2" t="s">
        <v>183</v>
      </c>
      <c r="L276" s="2">
        <v>381</v>
      </c>
      <c r="M276" s="2" t="s">
        <v>50</v>
      </c>
      <c r="N276" s="2" t="s">
        <v>228</v>
      </c>
    </row>
    <row r="277" spans="1:14" x14ac:dyDescent="0.25">
      <c r="A277" s="2">
        <v>7339</v>
      </c>
      <c r="B277" s="2">
        <v>7601</v>
      </c>
      <c r="C277" s="2" t="s">
        <v>226</v>
      </c>
      <c r="D277" s="2">
        <v>36</v>
      </c>
      <c r="E277" s="2" t="s">
        <v>4</v>
      </c>
      <c r="F277" s="2">
        <v>96290</v>
      </c>
      <c r="G277" s="2">
        <v>2</v>
      </c>
      <c r="H277" s="2">
        <v>34203</v>
      </c>
      <c r="I277" s="2" t="s">
        <v>227</v>
      </c>
      <c r="J277" s="2" t="s">
        <v>183</v>
      </c>
      <c r="K277" s="2" t="s">
        <v>183</v>
      </c>
      <c r="L277" s="2">
        <v>381</v>
      </c>
      <c r="M277" s="2" t="s">
        <v>50</v>
      </c>
      <c r="N277" s="2" t="s">
        <v>228</v>
      </c>
    </row>
    <row r="278" spans="1:14" x14ac:dyDescent="0.25">
      <c r="A278" s="2">
        <v>7340</v>
      </c>
      <c r="B278" s="2">
        <v>7601</v>
      </c>
      <c r="C278" s="2" t="s">
        <v>226</v>
      </c>
      <c r="D278" s="2">
        <v>724</v>
      </c>
      <c r="E278" s="2" t="s">
        <v>98</v>
      </c>
      <c r="F278" s="2">
        <v>90486</v>
      </c>
      <c r="G278" s="2">
        <v>1.9</v>
      </c>
      <c r="H278" s="2">
        <v>35252</v>
      </c>
      <c r="I278" s="2" t="s">
        <v>227</v>
      </c>
      <c r="J278" s="2" t="s">
        <v>183</v>
      </c>
      <c r="K278" s="2" t="s">
        <v>183</v>
      </c>
      <c r="L278" s="2">
        <v>381</v>
      </c>
      <c r="M278" s="2" t="s">
        <v>50</v>
      </c>
      <c r="N278" s="2" t="s">
        <v>228</v>
      </c>
    </row>
    <row r="279" spans="1:14" x14ac:dyDescent="0.25">
      <c r="A279" s="2">
        <v>7341</v>
      </c>
      <c r="B279" s="2">
        <v>7601</v>
      </c>
      <c r="C279" s="2" t="s">
        <v>226</v>
      </c>
      <c r="D279" s="2">
        <v>682</v>
      </c>
      <c r="E279" s="2" t="s">
        <v>90</v>
      </c>
      <c r="F279" s="2">
        <v>76408</v>
      </c>
      <c r="G279" s="2">
        <v>1.6</v>
      </c>
      <c r="H279" s="2">
        <v>24981</v>
      </c>
      <c r="I279" s="2" t="s">
        <v>227</v>
      </c>
      <c r="J279" s="2" t="s">
        <v>183</v>
      </c>
      <c r="K279" s="2" t="s">
        <v>183</v>
      </c>
      <c r="L279" s="2">
        <v>381</v>
      </c>
      <c r="M279" s="2" t="s">
        <v>50</v>
      </c>
      <c r="N279" s="2" t="s">
        <v>228</v>
      </c>
    </row>
    <row r="280" spans="1:14" x14ac:dyDescent="0.25">
      <c r="A280" s="2">
        <v>7342</v>
      </c>
      <c r="B280" s="2">
        <v>7601</v>
      </c>
      <c r="C280" s="2" t="s">
        <v>226</v>
      </c>
      <c r="D280" s="2">
        <v>410</v>
      </c>
      <c r="E280" s="2" t="s">
        <v>230</v>
      </c>
      <c r="F280" s="2">
        <v>74390</v>
      </c>
      <c r="G280" s="2">
        <v>1.5</v>
      </c>
      <c r="H280" s="2">
        <v>18016</v>
      </c>
      <c r="I280" s="2" t="s">
        <v>227</v>
      </c>
      <c r="J280" s="2" t="s">
        <v>183</v>
      </c>
      <c r="K280" s="2" t="s">
        <v>183</v>
      </c>
      <c r="L280" s="2">
        <v>381</v>
      </c>
      <c r="M280" s="2" t="s">
        <v>50</v>
      </c>
      <c r="N280" s="2" t="s">
        <v>228</v>
      </c>
    </row>
    <row r="281" spans="1:14" x14ac:dyDescent="0.25">
      <c r="A281" s="2">
        <v>7343</v>
      </c>
      <c r="B281" s="2">
        <v>7601</v>
      </c>
      <c r="C281" s="2" t="s">
        <v>226</v>
      </c>
      <c r="D281" s="2">
        <v>792</v>
      </c>
      <c r="E281" s="2" t="s">
        <v>107</v>
      </c>
      <c r="F281" s="2">
        <v>61830</v>
      </c>
      <c r="G281" s="2">
        <v>1.3</v>
      </c>
      <c r="H281" s="2">
        <v>16860</v>
      </c>
      <c r="I281" s="2" t="s">
        <v>227</v>
      </c>
      <c r="J281" s="2" t="s">
        <v>183</v>
      </c>
      <c r="K281" s="2" t="s">
        <v>183</v>
      </c>
      <c r="L281" s="2">
        <v>381</v>
      </c>
      <c r="M281" s="2" t="s">
        <v>50</v>
      </c>
      <c r="N281" s="2" t="s">
        <v>228</v>
      </c>
    </row>
    <row r="282" spans="1:14" x14ac:dyDescent="0.25">
      <c r="A282" s="2">
        <v>7344</v>
      </c>
      <c r="B282" s="2">
        <v>7601</v>
      </c>
      <c r="C282" s="2" t="s">
        <v>226</v>
      </c>
      <c r="D282" s="2">
        <v>70</v>
      </c>
      <c r="E282" s="2" t="s">
        <v>236</v>
      </c>
      <c r="F282" s="2">
        <v>59741</v>
      </c>
      <c r="G282" s="2">
        <v>1.2</v>
      </c>
      <c r="H282" s="2">
        <v>15802</v>
      </c>
      <c r="I282" s="2" t="s">
        <v>227</v>
      </c>
      <c r="J282" s="2" t="s">
        <v>183</v>
      </c>
      <c r="K282" s="2" t="s">
        <v>183</v>
      </c>
      <c r="L282" s="2">
        <v>381</v>
      </c>
      <c r="M282" s="2" t="s">
        <v>50</v>
      </c>
      <c r="N282" s="2" t="s">
        <v>228</v>
      </c>
    </row>
    <row r="283" spans="1:14" x14ac:dyDescent="0.25">
      <c r="A283" s="2">
        <v>7345</v>
      </c>
      <c r="B283" s="2">
        <v>7601</v>
      </c>
      <c r="C283" s="2" t="s">
        <v>226</v>
      </c>
      <c r="D283" s="2">
        <v>512</v>
      </c>
      <c r="E283" s="2" t="s">
        <v>80</v>
      </c>
      <c r="F283" s="2">
        <v>49349</v>
      </c>
      <c r="G283" s="2">
        <v>1</v>
      </c>
      <c r="H283" s="2">
        <v>17069</v>
      </c>
      <c r="I283" s="2" t="s">
        <v>227</v>
      </c>
      <c r="J283" s="2" t="s">
        <v>183</v>
      </c>
      <c r="K283" s="2" t="s">
        <v>183</v>
      </c>
      <c r="L283" s="2">
        <v>381</v>
      </c>
      <c r="M283" s="2" t="s">
        <v>50</v>
      </c>
      <c r="N283" s="2" t="s">
        <v>228</v>
      </c>
    </row>
    <row r="284" spans="1:14" x14ac:dyDescent="0.25">
      <c r="A284" s="2">
        <v>7346</v>
      </c>
      <c r="B284" s="2">
        <v>7601</v>
      </c>
      <c r="C284" s="2" t="s">
        <v>226</v>
      </c>
      <c r="D284" s="2">
        <v>8</v>
      </c>
      <c r="E284" s="2" t="s">
        <v>114</v>
      </c>
      <c r="F284" s="2">
        <v>45433</v>
      </c>
      <c r="G284" s="2">
        <v>0.9</v>
      </c>
      <c r="H284" s="2">
        <v>13122</v>
      </c>
      <c r="I284" s="2" t="s">
        <v>227</v>
      </c>
      <c r="J284" s="2" t="s">
        <v>183</v>
      </c>
      <c r="K284" s="2" t="s">
        <v>183</v>
      </c>
      <c r="L284" s="2">
        <v>381</v>
      </c>
      <c r="M284" s="2" t="s">
        <v>50</v>
      </c>
      <c r="N284" s="2" t="s">
        <v>228</v>
      </c>
    </row>
    <row r="285" spans="1:14" x14ac:dyDescent="0.25">
      <c r="A285" s="2">
        <v>7069</v>
      </c>
      <c r="B285" s="2">
        <v>7601</v>
      </c>
      <c r="C285" s="2" t="s">
        <v>226</v>
      </c>
      <c r="D285" s="2">
        <v>251</v>
      </c>
      <c r="E285" s="2" t="s">
        <v>33</v>
      </c>
      <c r="F285" s="2">
        <v>65576</v>
      </c>
      <c r="G285" s="2">
        <v>3.9</v>
      </c>
      <c r="H285" s="2">
        <v>20947</v>
      </c>
      <c r="I285" s="2" t="s">
        <v>227</v>
      </c>
      <c r="J285" s="2" t="s">
        <v>183</v>
      </c>
      <c r="K285" s="2" t="s">
        <v>183</v>
      </c>
      <c r="L285" s="2">
        <v>40</v>
      </c>
      <c r="M285" s="2" t="s">
        <v>5</v>
      </c>
      <c r="N285" s="2" t="s">
        <v>228</v>
      </c>
    </row>
    <row r="286" spans="1:14" x14ac:dyDescent="0.25">
      <c r="A286" s="2">
        <v>7348</v>
      </c>
      <c r="B286" s="2">
        <v>7601</v>
      </c>
      <c r="C286" s="2" t="s">
        <v>226</v>
      </c>
      <c r="D286" s="2">
        <v>348</v>
      </c>
      <c r="E286" s="2" t="s">
        <v>43</v>
      </c>
      <c r="F286" s="2">
        <v>42476</v>
      </c>
      <c r="G286" s="2">
        <v>0.9</v>
      </c>
      <c r="H286" s="2">
        <v>15301</v>
      </c>
      <c r="I286" s="2" t="s">
        <v>227</v>
      </c>
      <c r="J286" s="2" t="s">
        <v>183</v>
      </c>
      <c r="K286" s="2" t="s">
        <v>183</v>
      </c>
      <c r="L286" s="2">
        <v>381</v>
      </c>
      <c r="M286" s="2" t="s">
        <v>50</v>
      </c>
      <c r="N286" s="2" t="s">
        <v>228</v>
      </c>
    </row>
    <row r="287" spans="1:14" x14ac:dyDescent="0.25">
      <c r="A287" s="2">
        <v>7349</v>
      </c>
      <c r="B287" s="2">
        <v>7601</v>
      </c>
      <c r="C287" s="2" t="s">
        <v>226</v>
      </c>
      <c r="D287" s="2">
        <v>616</v>
      </c>
      <c r="E287" s="2" t="s">
        <v>86</v>
      </c>
      <c r="F287" s="2">
        <v>42288</v>
      </c>
      <c r="G287" s="2">
        <v>0.9</v>
      </c>
      <c r="H287" s="2">
        <v>14036</v>
      </c>
      <c r="I287" s="2" t="s">
        <v>227</v>
      </c>
      <c r="J287" s="2" t="s">
        <v>183</v>
      </c>
      <c r="K287" s="2" t="s">
        <v>183</v>
      </c>
      <c r="L287" s="2">
        <v>381</v>
      </c>
      <c r="M287" s="2" t="s">
        <v>50</v>
      </c>
      <c r="N287" s="2" t="s">
        <v>228</v>
      </c>
    </row>
    <row r="288" spans="1:14" x14ac:dyDescent="0.25">
      <c r="A288" s="2">
        <v>7350</v>
      </c>
      <c r="B288" s="2">
        <v>7601</v>
      </c>
      <c r="C288" s="2" t="s">
        <v>226</v>
      </c>
      <c r="D288" s="2">
        <v>784</v>
      </c>
      <c r="E288" s="2" t="s">
        <v>109</v>
      </c>
      <c r="F288" s="2">
        <v>1311038</v>
      </c>
      <c r="G288" s="2">
        <v>18.600000000000001</v>
      </c>
      <c r="H288" s="2">
        <v>426374</v>
      </c>
      <c r="I288" s="2" t="s">
        <v>227</v>
      </c>
      <c r="J288" s="2" t="s">
        <v>183</v>
      </c>
      <c r="K288" s="2" t="s">
        <v>183</v>
      </c>
      <c r="L288" s="2">
        <v>392</v>
      </c>
      <c r="M288" s="2" t="s">
        <v>51</v>
      </c>
      <c r="N288" s="2" t="s">
        <v>228</v>
      </c>
    </row>
    <row r="289" spans="1:14" x14ac:dyDescent="0.25">
      <c r="A289" s="2">
        <v>7351</v>
      </c>
      <c r="B289" s="2">
        <v>7601</v>
      </c>
      <c r="C289" s="2" t="s">
        <v>226</v>
      </c>
      <c r="D289" s="2">
        <v>643</v>
      </c>
      <c r="E289" s="2" t="s">
        <v>209</v>
      </c>
      <c r="F289" s="2">
        <v>1149857</v>
      </c>
      <c r="G289" s="2">
        <v>16.3</v>
      </c>
      <c r="H289" s="2">
        <v>404482</v>
      </c>
      <c r="I289" s="2" t="s">
        <v>227</v>
      </c>
      <c r="J289" s="2" t="s">
        <v>183</v>
      </c>
      <c r="K289" s="2" t="s">
        <v>183</v>
      </c>
      <c r="L289" s="2">
        <v>392</v>
      </c>
      <c r="M289" s="2" t="s">
        <v>51</v>
      </c>
      <c r="N289" s="2" t="s">
        <v>228</v>
      </c>
    </row>
    <row r="290" spans="1:14" x14ac:dyDescent="0.25">
      <c r="A290" s="2">
        <v>7352</v>
      </c>
      <c r="B290" s="2">
        <v>7601</v>
      </c>
      <c r="C290" s="2" t="s">
        <v>226</v>
      </c>
      <c r="D290" s="2">
        <v>36</v>
      </c>
      <c r="E290" s="2" t="s">
        <v>4</v>
      </c>
      <c r="F290" s="2">
        <v>1063679</v>
      </c>
      <c r="G290" s="2">
        <v>15.1</v>
      </c>
      <c r="H290" s="2">
        <v>364067</v>
      </c>
      <c r="I290" s="2" t="s">
        <v>227</v>
      </c>
      <c r="J290" s="2" t="s">
        <v>183</v>
      </c>
      <c r="K290" s="2" t="s">
        <v>183</v>
      </c>
      <c r="L290" s="2">
        <v>392</v>
      </c>
      <c r="M290" s="2" t="s">
        <v>51</v>
      </c>
      <c r="N290" s="2" t="s">
        <v>228</v>
      </c>
    </row>
    <row r="291" spans="1:14" x14ac:dyDescent="0.25">
      <c r="A291" s="2">
        <v>7353</v>
      </c>
      <c r="B291" s="2">
        <v>7601</v>
      </c>
      <c r="C291" s="2" t="s">
        <v>226</v>
      </c>
      <c r="D291" s="2">
        <v>554</v>
      </c>
      <c r="E291" s="2" t="s">
        <v>76</v>
      </c>
      <c r="F291" s="2">
        <v>521611</v>
      </c>
      <c r="G291" s="2">
        <v>7.4</v>
      </c>
      <c r="H291" s="2">
        <v>173036</v>
      </c>
      <c r="I291" s="2" t="s">
        <v>227</v>
      </c>
      <c r="J291" s="2" t="s">
        <v>183</v>
      </c>
      <c r="K291" s="2" t="s">
        <v>183</v>
      </c>
      <c r="L291" s="2">
        <v>392</v>
      </c>
      <c r="M291" s="2" t="s">
        <v>51</v>
      </c>
      <c r="N291" s="2" t="s">
        <v>228</v>
      </c>
    </row>
    <row r="292" spans="1:14" x14ac:dyDescent="0.25">
      <c r="A292" s="2">
        <v>7354</v>
      </c>
      <c r="B292" s="2">
        <v>7601</v>
      </c>
      <c r="C292" s="2" t="s">
        <v>226</v>
      </c>
      <c r="D292" s="2">
        <v>682</v>
      </c>
      <c r="E292" s="2" t="s">
        <v>90</v>
      </c>
      <c r="F292" s="2">
        <v>448922</v>
      </c>
      <c r="G292" s="2">
        <v>6.4</v>
      </c>
      <c r="H292" s="2">
        <v>155465</v>
      </c>
      <c r="I292" s="2" t="s">
        <v>227</v>
      </c>
      <c r="J292" s="2" t="s">
        <v>183</v>
      </c>
      <c r="K292" s="2" t="s">
        <v>183</v>
      </c>
      <c r="L292" s="2">
        <v>392</v>
      </c>
      <c r="M292" s="2" t="s">
        <v>51</v>
      </c>
      <c r="N292" s="2" t="s">
        <v>228</v>
      </c>
    </row>
    <row r="293" spans="1:14" x14ac:dyDescent="0.25">
      <c r="A293" s="2">
        <v>7355</v>
      </c>
      <c r="B293" s="2">
        <v>7601</v>
      </c>
      <c r="C293" s="2" t="s">
        <v>226</v>
      </c>
      <c r="D293" s="2">
        <v>156</v>
      </c>
      <c r="E293" s="2" t="s">
        <v>18</v>
      </c>
      <c r="F293" s="2">
        <v>385776</v>
      </c>
      <c r="G293" s="2">
        <v>5.5</v>
      </c>
      <c r="H293" s="2">
        <v>145258</v>
      </c>
      <c r="I293" s="2" t="s">
        <v>227</v>
      </c>
      <c r="J293" s="2" t="s">
        <v>183</v>
      </c>
      <c r="K293" s="2" t="s">
        <v>183</v>
      </c>
      <c r="L293" s="2">
        <v>392</v>
      </c>
      <c r="M293" s="2" t="s">
        <v>51</v>
      </c>
      <c r="N293" s="2" t="s">
        <v>228</v>
      </c>
    </row>
    <row r="294" spans="1:14" x14ac:dyDescent="0.25">
      <c r="A294" s="2">
        <v>7356</v>
      </c>
      <c r="B294" s="2">
        <v>7601</v>
      </c>
      <c r="C294" s="2" t="s">
        <v>226</v>
      </c>
      <c r="D294" s="2">
        <v>76</v>
      </c>
      <c r="E294" s="2" t="s">
        <v>14</v>
      </c>
      <c r="F294" s="2">
        <v>365031</v>
      </c>
      <c r="G294" s="2">
        <v>5.2</v>
      </c>
      <c r="H294" s="2">
        <v>128564</v>
      </c>
      <c r="I294" s="2" t="s">
        <v>227</v>
      </c>
      <c r="J294" s="2" t="s">
        <v>183</v>
      </c>
      <c r="K294" s="2" t="s">
        <v>183</v>
      </c>
      <c r="L294" s="2">
        <v>392</v>
      </c>
      <c r="M294" s="2" t="s">
        <v>51</v>
      </c>
      <c r="N294" s="2" t="s">
        <v>228</v>
      </c>
    </row>
    <row r="295" spans="1:14" x14ac:dyDescent="0.25">
      <c r="A295" s="2">
        <v>7357</v>
      </c>
      <c r="B295" s="2">
        <v>7601</v>
      </c>
      <c r="C295" s="2" t="s">
        <v>226</v>
      </c>
      <c r="D295" s="2">
        <v>699</v>
      </c>
      <c r="E295" s="2" t="s">
        <v>45</v>
      </c>
      <c r="F295" s="2">
        <v>363175</v>
      </c>
      <c r="G295" s="2">
        <v>5.2</v>
      </c>
      <c r="H295" s="2">
        <v>132998</v>
      </c>
      <c r="I295" s="2" t="s">
        <v>227</v>
      </c>
      <c r="J295" s="2" t="s">
        <v>183</v>
      </c>
      <c r="K295" s="2" t="s">
        <v>183</v>
      </c>
      <c r="L295" s="2">
        <v>392</v>
      </c>
      <c r="M295" s="2" t="s">
        <v>51</v>
      </c>
      <c r="N295" s="2" t="s">
        <v>228</v>
      </c>
    </row>
    <row r="296" spans="1:14" x14ac:dyDescent="0.25">
      <c r="A296" s="2">
        <v>7358</v>
      </c>
      <c r="B296" s="2">
        <v>7601</v>
      </c>
      <c r="C296" s="2" t="s">
        <v>226</v>
      </c>
      <c r="D296" s="2">
        <v>458</v>
      </c>
      <c r="E296" s="2" t="s">
        <v>66</v>
      </c>
      <c r="F296" s="2">
        <v>245791</v>
      </c>
      <c r="G296" s="2">
        <v>3.5</v>
      </c>
      <c r="H296" s="2">
        <v>101657</v>
      </c>
      <c r="I296" s="2" t="s">
        <v>227</v>
      </c>
      <c r="J296" s="2" t="s">
        <v>183</v>
      </c>
      <c r="K296" s="2" t="s">
        <v>183</v>
      </c>
      <c r="L296" s="2">
        <v>392</v>
      </c>
      <c r="M296" s="2" t="s">
        <v>51</v>
      </c>
      <c r="N296" s="2" t="s">
        <v>228</v>
      </c>
    </row>
    <row r="297" spans="1:14" x14ac:dyDescent="0.25">
      <c r="A297" s="2">
        <v>7359</v>
      </c>
      <c r="B297" s="2">
        <v>7601</v>
      </c>
      <c r="C297" s="2" t="s">
        <v>226</v>
      </c>
      <c r="D297" s="2">
        <v>710</v>
      </c>
      <c r="E297" s="2" t="s">
        <v>97</v>
      </c>
      <c r="F297" s="2">
        <v>210613</v>
      </c>
      <c r="G297" s="2">
        <v>3</v>
      </c>
      <c r="H297" s="2">
        <v>74389</v>
      </c>
      <c r="I297" s="2" t="s">
        <v>227</v>
      </c>
      <c r="J297" s="2" t="s">
        <v>183</v>
      </c>
      <c r="K297" s="2" t="s">
        <v>183</v>
      </c>
      <c r="L297" s="2">
        <v>392</v>
      </c>
      <c r="M297" s="2" t="s">
        <v>51</v>
      </c>
      <c r="N297" s="2" t="s">
        <v>228</v>
      </c>
    </row>
    <row r="298" spans="1:14" x14ac:dyDescent="0.25">
      <c r="A298" s="2">
        <v>7360</v>
      </c>
      <c r="B298" s="2">
        <v>7601</v>
      </c>
      <c r="C298" s="2" t="s">
        <v>226</v>
      </c>
      <c r="D298" s="2">
        <v>566</v>
      </c>
      <c r="E298" s="2" t="s">
        <v>78</v>
      </c>
      <c r="F298" s="2">
        <v>185242</v>
      </c>
      <c r="G298" s="2">
        <v>2.6</v>
      </c>
      <c r="H298" s="2">
        <v>74669</v>
      </c>
      <c r="I298" s="2" t="s">
        <v>227</v>
      </c>
      <c r="J298" s="2" t="s">
        <v>183</v>
      </c>
      <c r="K298" s="2" t="s">
        <v>183</v>
      </c>
      <c r="L298" s="2">
        <v>392</v>
      </c>
      <c r="M298" s="2" t="s">
        <v>51</v>
      </c>
      <c r="N298" s="2" t="s">
        <v>228</v>
      </c>
    </row>
    <row r="299" spans="1:14" x14ac:dyDescent="0.25">
      <c r="A299" s="2">
        <v>7361</v>
      </c>
      <c r="B299" s="2">
        <v>7601</v>
      </c>
      <c r="C299" s="2" t="s">
        <v>226</v>
      </c>
      <c r="D299" s="2">
        <v>48</v>
      </c>
      <c r="E299" s="2" t="s">
        <v>7</v>
      </c>
      <c r="F299" s="2">
        <v>166617</v>
      </c>
      <c r="G299" s="2">
        <v>2.4</v>
      </c>
      <c r="H299" s="2">
        <v>55114</v>
      </c>
      <c r="I299" s="2" t="s">
        <v>227</v>
      </c>
      <c r="J299" s="2" t="s">
        <v>183</v>
      </c>
      <c r="K299" s="2" t="s">
        <v>183</v>
      </c>
      <c r="L299" s="2">
        <v>392</v>
      </c>
      <c r="M299" s="2" t="s">
        <v>51</v>
      </c>
      <c r="N299" s="2" t="s">
        <v>228</v>
      </c>
    </row>
    <row r="300" spans="1:14" x14ac:dyDescent="0.25">
      <c r="A300" s="2">
        <v>7362</v>
      </c>
      <c r="B300" s="2">
        <v>7601</v>
      </c>
      <c r="C300" s="2" t="s">
        <v>226</v>
      </c>
      <c r="D300" s="2">
        <v>634</v>
      </c>
      <c r="E300" s="2" t="s">
        <v>88</v>
      </c>
      <c r="F300" s="2">
        <v>141233</v>
      </c>
      <c r="G300" s="2">
        <v>2</v>
      </c>
      <c r="H300" s="2">
        <v>44901</v>
      </c>
      <c r="I300" s="2" t="s">
        <v>227</v>
      </c>
      <c r="J300" s="2" t="s">
        <v>183</v>
      </c>
      <c r="K300" s="2" t="s">
        <v>183</v>
      </c>
      <c r="L300" s="2">
        <v>392</v>
      </c>
      <c r="M300" s="2" t="s">
        <v>51</v>
      </c>
      <c r="N300" s="2" t="s">
        <v>228</v>
      </c>
    </row>
    <row r="301" spans="1:14" x14ac:dyDescent="0.25">
      <c r="A301" s="2">
        <v>7363</v>
      </c>
      <c r="B301" s="2">
        <v>7601</v>
      </c>
      <c r="C301" s="2" t="s">
        <v>226</v>
      </c>
      <c r="D301" s="2">
        <v>158</v>
      </c>
      <c r="E301" s="2" t="s">
        <v>233</v>
      </c>
      <c r="F301" s="2">
        <v>87403</v>
      </c>
      <c r="G301" s="2">
        <v>1.2</v>
      </c>
      <c r="H301" s="2">
        <v>31669</v>
      </c>
      <c r="I301" s="2" t="s">
        <v>227</v>
      </c>
      <c r="J301" s="2" t="s">
        <v>183</v>
      </c>
      <c r="K301" s="2" t="s">
        <v>183</v>
      </c>
      <c r="L301" s="2">
        <v>392</v>
      </c>
      <c r="M301" s="2" t="s">
        <v>51</v>
      </c>
      <c r="N301" s="2" t="s">
        <v>228</v>
      </c>
    </row>
    <row r="302" spans="1:14" x14ac:dyDescent="0.25">
      <c r="A302" s="2">
        <v>7364</v>
      </c>
      <c r="B302" s="2">
        <v>7601</v>
      </c>
      <c r="C302" s="2" t="s">
        <v>226</v>
      </c>
      <c r="D302" s="2">
        <v>724</v>
      </c>
      <c r="E302" s="2" t="s">
        <v>98</v>
      </c>
      <c r="F302" s="2">
        <v>59629</v>
      </c>
      <c r="G302" s="2">
        <v>0.8</v>
      </c>
      <c r="H302" s="2">
        <v>22593</v>
      </c>
      <c r="I302" s="2" t="s">
        <v>227</v>
      </c>
      <c r="J302" s="2" t="s">
        <v>183</v>
      </c>
      <c r="K302" s="2" t="s">
        <v>183</v>
      </c>
      <c r="L302" s="2">
        <v>392</v>
      </c>
      <c r="M302" s="2" t="s">
        <v>51</v>
      </c>
      <c r="N302" s="2" t="s">
        <v>228</v>
      </c>
    </row>
    <row r="303" spans="1:14" x14ac:dyDescent="0.25">
      <c r="A303" s="2">
        <v>7365</v>
      </c>
      <c r="B303" s="2">
        <v>7601</v>
      </c>
      <c r="C303" s="2" t="s">
        <v>226</v>
      </c>
      <c r="D303" s="2">
        <v>32</v>
      </c>
      <c r="E303" s="2" t="s">
        <v>2</v>
      </c>
      <c r="F303" s="2">
        <v>51304</v>
      </c>
      <c r="G303" s="2">
        <v>0.7</v>
      </c>
      <c r="H303" s="2">
        <v>17054</v>
      </c>
      <c r="I303" s="2" t="s">
        <v>227</v>
      </c>
      <c r="J303" s="2" t="s">
        <v>183</v>
      </c>
      <c r="K303" s="2" t="s">
        <v>183</v>
      </c>
      <c r="L303" s="2">
        <v>392</v>
      </c>
      <c r="M303" s="2" t="s">
        <v>51</v>
      </c>
      <c r="N303" s="2" t="s">
        <v>228</v>
      </c>
    </row>
    <row r="304" spans="1:14" x14ac:dyDescent="0.25">
      <c r="A304" s="2">
        <v>7366</v>
      </c>
      <c r="B304" s="2">
        <v>7601</v>
      </c>
      <c r="C304" s="2" t="s">
        <v>226</v>
      </c>
      <c r="D304" s="2">
        <v>410</v>
      </c>
      <c r="E304" s="2" t="s">
        <v>230</v>
      </c>
      <c r="F304" s="2">
        <v>34608</v>
      </c>
      <c r="G304" s="2">
        <v>0.5</v>
      </c>
      <c r="H304" s="2">
        <v>12095</v>
      </c>
      <c r="I304" s="2" t="s">
        <v>227</v>
      </c>
      <c r="J304" s="2" t="s">
        <v>183</v>
      </c>
      <c r="K304" s="2" t="s">
        <v>183</v>
      </c>
      <c r="L304" s="2">
        <v>392</v>
      </c>
      <c r="M304" s="2" t="s">
        <v>51</v>
      </c>
      <c r="N304" s="2" t="s">
        <v>228</v>
      </c>
    </row>
    <row r="305" spans="1:14" x14ac:dyDescent="0.25">
      <c r="A305" s="2">
        <v>7367</v>
      </c>
      <c r="B305" s="2">
        <v>7601</v>
      </c>
      <c r="C305" s="2" t="s">
        <v>226</v>
      </c>
      <c r="D305" s="2">
        <v>381</v>
      </c>
      <c r="E305" s="2" t="s">
        <v>50</v>
      </c>
      <c r="F305" s="2">
        <v>34353</v>
      </c>
      <c r="G305" s="2">
        <v>0.5</v>
      </c>
      <c r="H305" s="2">
        <v>13605</v>
      </c>
      <c r="I305" s="2" t="s">
        <v>227</v>
      </c>
      <c r="J305" s="2" t="s">
        <v>183</v>
      </c>
      <c r="K305" s="2" t="s">
        <v>183</v>
      </c>
      <c r="L305" s="2">
        <v>392</v>
      </c>
      <c r="M305" s="2" t="s">
        <v>51</v>
      </c>
      <c r="N305" s="2" t="s">
        <v>228</v>
      </c>
    </row>
    <row r="306" spans="1:14" x14ac:dyDescent="0.25">
      <c r="A306" s="2">
        <v>7368</v>
      </c>
      <c r="B306" s="2">
        <v>7601</v>
      </c>
      <c r="C306" s="2" t="s">
        <v>226</v>
      </c>
      <c r="D306" s="2">
        <v>764</v>
      </c>
      <c r="E306" s="2" t="s">
        <v>103</v>
      </c>
      <c r="F306" s="2">
        <v>25959</v>
      </c>
      <c r="G306" s="2">
        <v>0.4</v>
      </c>
      <c r="H306" s="2">
        <v>8022</v>
      </c>
      <c r="I306" s="2" t="s">
        <v>227</v>
      </c>
      <c r="J306" s="2" t="s">
        <v>183</v>
      </c>
      <c r="K306" s="2" t="s">
        <v>183</v>
      </c>
      <c r="L306" s="2">
        <v>392</v>
      </c>
      <c r="M306" s="2" t="s">
        <v>51</v>
      </c>
      <c r="N306" s="2" t="s">
        <v>228</v>
      </c>
    </row>
    <row r="307" spans="1:14" x14ac:dyDescent="0.25">
      <c r="A307" s="2">
        <v>7369</v>
      </c>
      <c r="B307" s="2">
        <v>7601</v>
      </c>
      <c r="C307" s="2" t="s">
        <v>226</v>
      </c>
      <c r="D307" s="2">
        <v>288</v>
      </c>
      <c r="E307" s="2" t="s">
        <v>38</v>
      </c>
      <c r="F307" s="2">
        <v>24209</v>
      </c>
      <c r="G307" s="2">
        <v>0.3</v>
      </c>
      <c r="H307" s="2">
        <v>9799</v>
      </c>
      <c r="I307" s="2" t="s">
        <v>227</v>
      </c>
      <c r="J307" s="2" t="s">
        <v>183</v>
      </c>
      <c r="K307" s="2" t="s">
        <v>183</v>
      </c>
      <c r="L307" s="2">
        <v>392</v>
      </c>
      <c r="M307" s="2" t="s">
        <v>51</v>
      </c>
      <c r="N307" s="2" t="s">
        <v>228</v>
      </c>
    </row>
    <row r="308" spans="1:14" x14ac:dyDescent="0.25">
      <c r="A308" s="2">
        <v>7370</v>
      </c>
      <c r="B308" s="2">
        <v>7601</v>
      </c>
      <c r="C308" s="2" t="s">
        <v>226</v>
      </c>
      <c r="D308" s="2">
        <v>804</v>
      </c>
      <c r="E308" s="2" t="s">
        <v>117</v>
      </c>
      <c r="F308" s="2">
        <v>17150</v>
      </c>
      <c r="G308" s="2">
        <v>0.2</v>
      </c>
      <c r="H308" s="2">
        <v>7321</v>
      </c>
      <c r="I308" s="2" t="s">
        <v>227</v>
      </c>
      <c r="J308" s="2" t="s">
        <v>183</v>
      </c>
      <c r="K308" s="2" t="s">
        <v>183</v>
      </c>
      <c r="L308" s="2">
        <v>392</v>
      </c>
      <c r="M308" s="2" t="s">
        <v>51</v>
      </c>
      <c r="N308" s="2" t="s">
        <v>228</v>
      </c>
    </row>
    <row r="309" spans="1:14" x14ac:dyDescent="0.25">
      <c r="A309" s="2">
        <v>7371</v>
      </c>
      <c r="B309" s="2">
        <v>7601</v>
      </c>
      <c r="C309" s="2" t="s">
        <v>226</v>
      </c>
      <c r="D309" s="2">
        <v>276</v>
      </c>
      <c r="E309" s="2" t="s">
        <v>37</v>
      </c>
      <c r="F309" s="2">
        <v>16909</v>
      </c>
      <c r="G309" s="2">
        <v>0.2</v>
      </c>
      <c r="H309" s="2">
        <v>3335</v>
      </c>
      <c r="I309" s="2" t="s">
        <v>227</v>
      </c>
      <c r="J309" s="2" t="s">
        <v>183</v>
      </c>
      <c r="K309" s="2" t="s">
        <v>183</v>
      </c>
      <c r="L309" s="2">
        <v>392</v>
      </c>
      <c r="M309" s="2" t="s">
        <v>51</v>
      </c>
      <c r="N309" s="2" t="s">
        <v>228</v>
      </c>
    </row>
    <row r="310" spans="1:14" x14ac:dyDescent="0.25">
      <c r="A310" s="2">
        <v>7372</v>
      </c>
      <c r="B310" s="2">
        <v>7601</v>
      </c>
      <c r="C310" s="2" t="s">
        <v>226</v>
      </c>
      <c r="D310" s="2">
        <v>360</v>
      </c>
      <c r="E310" s="2" t="s">
        <v>46</v>
      </c>
      <c r="F310" s="2">
        <v>14933</v>
      </c>
      <c r="G310" s="2">
        <v>0.2</v>
      </c>
      <c r="H310" s="2">
        <v>5993</v>
      </c>
      <c r="I310" s="2" t="s">
        <v>227</v>
      </c>
      <c r="J310" s="2" t="s">
        <v>183</v>
      </c>
      <c r="K310" s="2" t="s">
        <v>183</v>
      </c>
      <c r="L310" s="2">
        <v>392</v>
      </c>
      <c r="M310" s="2" t="s">
        <v>51</v>
      </c>
      <c r="N310" s="2" t="s">
        <v>228</v>
      </c>
    </row>
    <row r="311" spans="1:14" x14ac:dyDescent="0.25">
      <c r="A311" s="2">
        <v>7373</v>
      </c>
      <c r="B311" s="2">
        <v>7601</v>
      </c>
      <c r="C311" s="2" t="s">
        <v>226</v>
      </c>
      <c r="D311" s="2">
        <v>512</v>
      </c>
      <c r="E311" s="2" t="s">
        <v>80</v>
      </c>
      <c r="F311" s="2">
        <v>13908</v>
      </c>
      <c r="G311" s="2">
        <v>0.2</v>
      </c>
      <c r="H311" s="2">
        <v>3539</v>
      </c>
      <c r="I311" s="2" t="s">
        <v>227</v>
      </c>
      <c r="J311" s="2" t="s">
        <v>183</v>
      </c>
      <c r="K311" s="2" t="s">
        <v>183</v>
      </c>
      <c r="L311" s="2">
        <v>392</v>
      </c>
      <c r="M311" s="2" t="s">
        <v>51</v>
      </c>
      <c r="N311" s="2" t="s">
        <v>228</v>
      </c>
    </row>
    <row r="312" spans="1:14" x14ac:dyDescent="0.25">
      <c r="A312" s="2">
        <v>7374</v>
      </c>
      <c r="B312" s="2">
        <v>7601</v>
      </c>
      <c r="C312" s="2" t="s">
        <v>226</v>
      </c>
      <c r="D312" s="2">
        <v>699</v>
      </c>
      <c r="E312" s="2" t="s">
        <v>45</v>
      </c>
      <c r="F312" s="2">
        <v>746444</v>
      </c>
      <c r="G312" s="2">
        <v>20.6</v>
      </c>
      <c r="H312" s="2">
        <v>231397.63999999998</v>
      </c>
      <c r="I312" s="2" t="s">
        <v>227</v>
      </c>
      <c r="J312" s="2">
        <v>0</v>
      </c>
      <c r="K312" s="2" t="s">
        <v>235</v>
      </c>
      <c r="L312" s="2">
        <v>484</v>
      </c>
      <c r="M312" s="2" t="s">
        <v>70</v>
      </c>
      <c r="N312" s="2" t="s">
        <v>228</v>
      </c>
    </row>
    <row r="313" spans="1:14" x14ac:dyDescent="0.25">
      <c r="A313" s="2">
        <v>7375</v>
      </c>
      <c r="B313" s="2">
        <v>7601</v>
      </c>
      <c r="C313" s="2" t="s">
        <v>226</v>
      </c>
      <c r="D313" s="2">
        <v>842</v>
      </c>
      <c r="E313" s="2" t="s">
        <v>229</v>
      </c>
      <c r="F313" s="2">
        <v>714207</v>
      </c>
      <c r="G313" s="2">
        <v>19.7</v>
      </c>
      <c r="H313" s="2">
        <v>196924</v>
      </c>
      <c r="I313" s="2" t="s">
        <v>227</v>
      </c>
      <c r="J313" s="2" t="s">
        <v>183</v>
      </c>
      <c r="K313" s="2" t="s">
        <v>183</v>
      </c>
      <c r="L313" s="2">
        <v>484</v>
      </c>
      <c r="M313" s="2" t="s">
        <v>70</v>
      </c>
      <c r="N313" s="2" t="s">
        <v>228</v>
      </c>
    </row>
    <row r="314" spans="1:14" x14ac:dyDescent="0.25">
      <c r="A314" s="2">
        <v>7376</v>
      </c>
      <c r="B314" s="2">
        <v>7601</v>
      </c>
      <c r="C314" s="2" t="s">
        <v>226</v>
      </c>
      <c r="D314" s="2">
        <v>784</v>
      </c>
      <c r="E314" s="2" t="s">
        <v>109</v>
      </c>
      <c r="F314" s="2">
        <v>541693</v>
      </c>
      <c r="G314" s="2">
        <v>14.9</v>
      </c>
      <c r="H314" s="2">
        <v>167924.83</v>
      </c>
      <c r="I314" s="2" t="s">
        <v>227</v>
      </c>
      <c r="J314" s="2">
        <v>0</v>
      </c>
      <c r="K314" s="2" t="s">
        <v>235</v>
      </c>
      <c r="L314" s="2">
        <v>484</v>
      </c>
      <c r="M314" s="2" t="s">
        <v>70</v>
      </c>
      <c r="N314" s="2" t="s">
        <v>228</v>
      </c>
    </row>
    <row r="315" spans="1:14" x14ac:dyDescent="0.25">
      <c r="A315" s="2">
        <v>7377</v>
      </c>
      <c r="B315" s="2">
        <v>7601</v>
      </c>
      <c r="C315" s="2" t="s">
        <v>226</v>
      </c>
      <c r="D315" s="2">
        <v>643</v>
      </c>
      <c r="E315" s="2" t="s">
        <v>209</v>
      </c>
      <c r="F315" s="2">
        <v>459168</v>
      </c>
      <c r="G315" s="2">
        <v>12.7</v>
      </c>
      <c r="H315" s="2">
        <v>142342.07999999999</v>
      </c>
      <c r="I315" s="2" t="s">
        <v>227</v>
      </c>
      <c r="J315" s="2">
        <v>0</v>
      </c>
      <c r="K315" s="2" t="s">
        <v>235</v>
      </c>
      <c r="L315" s="2">
        <v>484</v>
      </c>
      <c r="M315" s="2" t="s">
        <v>70</v>
      </c>
      <c r="N315" s="2" t="s">
        <v>228</v>
      </c>
    </row>
    <row r="316" spans="1:14" x14ac:dyDescent="0.25">
      <c r="A316" s="2">
        <v>7378</v>
      </c>
      <c r="B316" s="2">
        <v>7601</v>
      </c>
      <c r="C316" s="2" t="s">
        <v>226</v>
      </c>
      <c r="D316" s="2">
        <v>124</v>
      </c>
      <c r="E316" s="2" t="s">
        <v>16</v>
      </c>
      <c r="F316" s="2">
        <v>395059</v>
      </c>
      <c r="G316" s="2">
        <v>10.9</v>
      </c>
      <c r="H316" s="2">
        <v>122468.29</v>
      </c>
      <c r="I316" s="2" t="s">
        <v>227</v>
      </c>
      <c r="J316" s="2">
        <v>0</v>
      </c>
      <c r="K316" s="2" t="s">
        <v>235</v>
      </c>
      <c r="L316" s="2">
        <v>484</v>
      </c>
      <c r="M316" s="2" t="s">
        <v>70</v>
      </c>
      <c r="N316" s="2" t="s">
        <v>228</v>
      </c>
    </row>
    <row r="317" spans="1:14" x14ac:dyDescent="0.25">
      <c r="A317" s="2">
        <v>7379</v>
      </c>
      <c r="B317" s="2">
        <v>7601</v>
      </c>
      <c r="C317" s="2" t="s">
        <v>226</v>
      </c>
      <c r="D317" s="2">
        <v>710</v>
      </c>
      <c r="E317" s="2" t="s">
        <v>97</v>
      </c>
      <c r="F317" s="2">
        <v>353793</v>
      </c>
      <c r="G317" s="2">
        <v>9.8000000000000007</v>
      </c>
      <c r="H317" s="2">
        <v>109675.83</v>
      </c>
      <c r="I317" s="2" t="s">
        <v>227</v>
      </c>
      <c r="J317" s="2">
        <v>0</v>
      </c>
      <c r="K317" s="2" t="s">
        <v>235</v>
      </c>
      <c r="L317" s="2">
        <v>484</v>
      </c>
      <c r="M317" s="2" t="s">
        <v>70</v>
      </c>
      <c r="N317" s="2" t="s">
        <v>228</v>
      </c>
    </row>
    <row r="318" spans="1:14" x14ac:dyDescent="0.25">
      <c r="A318" s="2">
        <v>7380</v>
      </c>
      <c r="B318" s="2">
        <v>7601</v>
      </c>
      <c r="C318" s="2" t="s">
        <v>226</v>
      </c>
      <c r="D318" s="2">
        <v>48</v>
      </c>
      <c r="E318" s="2" t="s">
        <v>7</v>
      </c>
      <c r="F318" s="2">
        <v>231564</v>
      </c>
      <c r="G318" s="2">
        <v>6.4</v>
      </c>
      <c r="H318" s="2">
        <v>71784.84</v>
      </c>
      <c r="I318" s="2" t="s">
        <v>227</v>
      </c>
      <c r="J318" s="2">
        <v>0</v>
      </c>
      <c r="K318" s="2" t="s">
        <v>235</v>
      </c>
      <c r="L318" s="2">
        <v>484</v>
      </c>
      <c r="M318" s="2" t="s">
        <v>70</v>
      </c>
      <c r="N318" s="2" t="s">
        <v>228</v>
      </c>
    </row>
    <row r="319" spans="1:14" x14ac:dyDescent="0.25">
      <c r="A319" s="2">
        <v>7381</v>
      </c>
      <c r="B319" s="2">
        <v>7601</v>
      </c>
      <c r="C319" s="2" t="s">
        <v>226</v>
      </c>
      <c r="D319" s="2">
        <v>704</v>
      </c>
      <c r="E319" s="2" t="s">
        <v>232</v>
      </c>
      <c r="F319" s="2">
        <v>75956</v>
      </c>
      <c r="G319" s="2">
        <v>2.1</v>
      </c>
      <c r="H319" s="2">
        <v>22617</v>
      </c>
      <c r="I319" s="2" t="s">
        <v>227</v>
      </c>
      <c r="J319" s="2" t="s">
        <v>183</v>
      </c>
      <c r="K319" s="2" t="s">
        <v>183</v>
      </c>
      <c r="L319" s="2">
        <v>484</v>
      </c>
      <c r="M319" s="2" t="s">
        <v>70</v>
      </c>
      <c r="N319" s="2" t="s">
        <v>228</v>
      </c>
    </row>
    <row r="320" spans="1:14" x14ac:dyDescent="0.25">
      <c r="A320" s="2">
        <v>7382</v>
      </c>
      <c r="B320" s="2">
        <v>7601</v>
      </c>
      <c r="C320" s="2" t="s">
        <v>226</v>
      </c>
      <c r="D320" s="2">
        <v>634</v>
      </c>
      <c r="E320" s="2" t="s">
        <v>88</v>
      </c>
      <c r="F320" s="2">
        <v>53812</v>
      </c>
      <c r="G320" s="2">
        <v>1.5</v>
      </c>
      <c r="H320" s="2">
        <v>18419</v>
      </c>
      <c r="I320" s="2" t="s">
        <v>227</v>
      </c>
      <c r="J320" s="2" t="s">
        <v>183</v>
      </c>
      <c r="K320" s="2" t="s">
        <v>183</v>
      </c>
      <c r="L320" s="2">
        <v>484</v>
      </c>
      <c r="M320" s="2" t="s">
        <v>70</v>
      </c>
      <c r="N320" s="2" t="s">
        <v>228</v>
      </c>
    </row>
    <row r="321" spans="1:14" x14ac:dyDescent="0.25">
      <c r="A321" s="2">
        <v>7383</v>
      </c>
      <c r="B321" s="2">
        <v>7601</v>
      </c>
      <c r="C321" s="2" t="s">
        <v>226</v>
      </c>
      <c r="D321" s="2">
        <v>156</v>
      </c>
      <c r="E321" s="2" t="s">
        <v>18</v>
      </c>
      <c r="F321" s="2">
        <v>20964</v>
      </c>
      <c r="G321" s="2">
        <v>0.6</v>
      </c>
      <c r="H321" s="2">
        <v>6498.84</v>
      </c>
      <c r="I321" s="2" t="s">
        <v>227</v>
      </c>
      <c r="J321" s="2">
        <v>0</v>
      </c>
      <c r="K321" s="2" t="s">
        <v>235</v>
      </c>
      <c r="L321" s="2">
        <v>484</v>
      </c>
      <c r="M321" s="2" t="s">
        <v>70</v>
      </c>
      <c r="N321" s="2" t="s">
        <v>228</v>
      </c>
    </row>
    <row r="322" spans="1:14" x14ac:dyDescent="0.25">
      <c r="A322" s="2">
        <v>7384</v>
      </c>
      <c r="B322" s="2">
        <v>7601</v>
      </c>
      <c r="C322" s="2" t="s">
        <v>226</v>
      </c>
      <c r="D322" s="2">
        <v>410</v>
      </c>
      <c r="E322" s="2" t="s">
        <v>230</v>
      </c>
      <c r="F322" s="2">
        <v>12108</v>
      </c>
      <c r="G322" s="2">
        <v>0.3</v>
      </c>
      <c r="H322" s="2">
        <v>3753.48</v>
      </c>
      <c r="I322" s="2" t="s">
        <v>227</v>
      </c>
      <c r="J322" s="2">
        <v>0</v>
      </c>
      <c r="K322" s="2" t="s">
        <v>235</v>
      </c>
      <c r="L322" s="2">
        <v>484</v>
      </c>
      <c r="M322" s="2" t="s">
        <v>70</v>
      </c>
      <c r="N322" s="2" t="s">
        <v>228</v>
      </c>
    </row>
    <row r="323" spans="1:14" x14ac:dyDescent="0.25">
      <c r="A323" s="2">
        <v>7385</v>
      </c>
      <c r="B323" s="2">
        <v>7601</v>
      </c>
      <c r="C323" s="2" t="s">
        <v>226</v>
      </c>
      <c r="D323" s="2">
        <v>458</v>
      </c>
      <c r="E323" s="2" t="s">
        <v>66</v>
      </c>
      <c r="F323" s="2">
        <v>9678</v>
      </c>
      <c r="G323" s="2">
        <v>0.3</v>
      </c>
      <c r="H323" s="2">
        <v>3000.18</v>
      </c>
      <c r="I323" s="2" t="s">
        <v>227</v>
      </c>
      <c r="J323" s="2">
        <v>0</v>
      </c>
      <c r="K323" s="2" t="s">
        <v>235</v>
      </c>
      <c r="L323" s="2">
        <v>484</v>
      </c>
      <c r="M323" s="2" t="s">
        <v>70</v>
      </c>
      <c r="N323" s="2" t="s">
        <v>228</v>
      </c>
    </row>
    <row r="324" spans="1:14" x14ac:dyDescent="0.25">
      <c r="A324" s="2">
        <v>7386</v>
      </c>
      <c r="B324" s="2">
        <v>7601</v>
      </c>
      <c r="C324" s="2" t="s">
        <v>226</v>
      </c>
      <c r="D324" s="2">
        <v>76</v>
      </c>
      <c r="E324" s="2" t="s">
        <v>14</v>
      </c>
      <c r="F324" s="2">
        <v>8175</v>
      </c>
      <c r="G324" s="2">
        <v>0.2</v>
      </c>
      <c r="H324" s="2">
        <v>2349</v>
      </c>
      <c r="I324" s="2" t="s">
        <v>227</v>
      </c>
      <c r="J324" s="2" t="s">
        <v>183</v>
      </c>
      <c r="K324" s="2" t="s">
        <v>183</v>
      </c>
      <c r="L324" s="2">
        <v>484</v>
      </c>
      <c r="M324" s="2" t="s">
        <v>70</v>
      </c>
      <c r="N324" s="2" t="s">
        <v>228</v>
      </c>
    </row>
    <row r="325" spans="1:14" x14ac:dyDescent="0.25">
      <c r="A325" s="2">
        <v>7387</v>
      </c>
      <c r="B325" s="2">
        <v>7601</v>
      </c>
      <c r="C325" s="2" t="s">
        <v>226</v>
      </c>
      <c r="D325" s="2">
        <v>724</v>
      </c>
      <c r="E325" s="2" t="s">
        <v>98</v>
      </c>
      <c r="F325" s="2">
        <v>2411</v>
      </c>
      <c r="G325" s="2">
        <v>0.1</v>
      </c>
      <c r="H325" s="2">
        <v>786</v>
      </c>
      <c r="I325" s="2" t="s">
        <v>227</v>
      </c>
      <c r="J325" s="2" t="s">
        <v>183</v>
      </c>
      <c r="K325" s="2" t="s">
        <v>183</v>
      </c>
      <c r="L325" s="2">
        <v>484</v>
      </c>
      <c r="M325" s="2" t="s">
        <v>70</v>
      </c>
      <c r="N325" s="2" t="s">
        <v>228</v>
      </c>
    </row>
    <row r="326" spans="1:14" x14ac:dyDescent="0.25">
      <c r="A326" s="2">
        <v>7388</v>
      </c>
      <c r="B326" s="2">
        <v>7601</v>
      </c>
      <c r="C326" s="2" t="s">
        <v>226</v>
      </c>
      <c r="D326" s="2">
        <v>32</v>
      </c>
      <c r="E326" s="2" t="s">
        <v>2</v>
      </c>
      <c r="F326" s="2">
        <v>1374</v>
      </c>
      <c r="G326" s="2">
        <v>0</v>
      </c>
      <c r="H326" s="2">
        <v>425.94</v>
      </c>
      <c r="I326" s="2" t="s">
        <v>227</v>
      </c>
      <c r="J326" s="2">
        <v>0</v>
      </c>
      <c r="K326" s="2" t="s">
        <v>235</v>
      </c>
      <c r="L326" s="2">
        <v>484</v>
      </c>
      <c r="M326" s="2" t="s">
        <v>70</v>
      </c>
      <c r="N326" s="2" t="s">
        <v>228</v>
      </c>
    </row>
    <row r="327" spans="1:14" x14ac:dyDescent="0.25">
      <c r="A327" s="2">
        <v>7664</v>
      </c>
      <c r="B327" s="2">
        <v>7601</v>
      </c>
      <c r="C327" s="2" t="s">
        <v>226</v>
      </c>
      <c r="D327" s="2">
        <v>392</v>
      </c>
      <c r="E327" s="2" t="s">
        <v>51</v>
      </c>
      <c r="F327" s="2">
        <v>1336</v>
      </c>
      <c r="G327" s="2">
        <v>0.1</v>
      </c>
      <c r="H327" s="2">
        <v>414</v>
      </c>
      <c r="I327" s="2" t="s">
        <v>227</v>
      </c>
      <c r="J327" s="2" t="s">
        <v>183</v>
      </c>
      <c r="K327" s="2" t="s">
        <v>183</v>
      </c>
      <c r="L327" s="2">
        <v>704</v>
      </c>
      <c r="M327" s="2" t="s">
        <v>232</v>
      </c>
      <c r="N327" s="2" t="s">
        <v>228</v>
      </c>
    </row>
    <row r="328" spans="1:14" x14ac:dyDescent="0.25">
      <c r="A328" s="2">
        <v>7390</v>
      </c>
      <c r="B328" s="2">
        <v>7601</v>
      </c>
      <c r="C328" s="2" t="s">
        <v>226</v>
      </c>
      <c r="D328" s="2">
        <v>276</v>
      </c>
      <c r="E328" s="2" t="s">
        <v>37</v>
      </c>
      <c r="F328" s="2">
        <v>11</v>
      </c>
      <c r="G328" s="2">
        <v>0</v>
      </c>
      <c r="H328" s="2">
        <v>3.41</v>
      </c>
      <c r="I328" s="2" t="s">
        <v>227</v>
      </c>
      <c r="J328" s="2">
        <v>0</v>
      </c>
      <c r="K328" s="2" t="s">
        <v>235</v>
      </c>
      <c r="L328" s="2">
        <v>484</v>
      </c>
      <c r="M328" s="2" t="s">
        <v>70</v>
      </c>
      <c r="N328" s="2" t="s">
        <v>228</v>
      </c>
    </row>
    <row r="329" spans="1:14" x14ac:dyDescent="0.25">
      <c r="A329" s="2">
        <v>7391</v>
      </c>
      <c r="B329" s="2">
        <v>7601</v>
      </c>
      <c r="C329" s="2" t="s">
        <v>226</v>
      </c>
      <c r="D329" s="2">
        <v>784</v>
      </c>
      <c r="E329" s="2" t="s">
        <v>109</v>
      </c>
      <c r="F329" s="2">
        <v>221530</v>
      </c>
      <c r="G329" s="2">
        <v>50.3</v>
      </c>
      <c r="H329" s="2">
        <v>83116</v>
      </c>
      <c r="I329" s="2" t="s">
        <v>227</v>
      </c>
      <c r="J329" s="2" t="s">
        <v>183</v>
      </c>
      <c r="K329" s="2" t="s">
        <v>183</v>
      </c>
      <c r="L329" s="2">
        <v>504</v>
      </c>
      <c r="M329" s="2" t="s">
        <v>73</v>
      </c>
      <c r="N329" s="2" t="s">
        <v>228</v>
      </c>
    </row>
    <row r="330" spans="1:14" x14ac:dyDescent="0.25">
      <c r="A330" s="2">
        <v>7392</v>
      </c>
      <c r="B330" s="2">
        <v>7601</v>
      </c>
      <c r="C330" s="2" t="s">
        <v>226</v>
      </c>
      <c r="D330" s="2">
        <v>48</v>
      </c>
      <c r="E330" s="2" t="s">
        <v>7</v>
      </c>
      <c r="F330" s="2">
        <v>95314</v>
      </c>
      <c r="G330" s="2">
        <v>21.7</v>
      </c>
      <c r="H330" s="2">
        <v>28165</v>
      </c>
      <c r="I330" s="2" t="s">
        <v>227</v>
      </c>
      <c r="J330" s="2" t="s">
        <v>183</v>
      </c>
      <c r="K330" s="2" t="s">
        <v>183</v>
      </c>
      <c r="L330" s="2">
        <v>504</v>
      </c>
      <c r="M330" s="2" t="s">
        <v>73</v>
      </c>
      <c r="N330" s="2" t="s">
        <v>228</v>
      </c>
    </row>
    <row r="331" spans="1:14" x14ac:dyDescent="0.25">
      <c r="A331" s="2">
        <v>7393</v>
      </c>
      <c r="B331" s="2">
        <v>7601</v>
      </c>
      <c r="C331" s="2" t="s">
        <v>226</v>
      </c>
      <c r="D331" s="2">
        <v>643</v>
      </c>
      <c r="E331" s="2" t="s">
        <v>209</v>
      </c>
      <c r="F331" s="2">
        <v>51264</v>
      </c>
      <c r="G331" s="2">
        <v>11.6</v>
      </c>
      <c r="H331" s="2">
        <v>21176</v>
      </c>
      <c r="I331" s="2" t="s">
        <v>227</v>
      </c>
      <c r="J331" s="2" t="s">
        <v>183</v>
      </c>
      <c r="K331" s="2" t="s">
        <v>183</v>
      </c>
      <c r="L331" s="2">
        <v>504</v>
      </c>
      <c r="M331" s="2" t="s">
        <v>73</v>
      </c>
      <c r="N331" s="2" t="s">
        <v>228</v>
      </c>
    </row>
    <row r="332" spans="1:14" x14ac:dyDescent="0.25">
      <c r="A332" s="2">
        <v>7394</v>
      </c>
      <c r="B332" s="2">
        <v>7601</v>
      </c>
      <c r="C332" s="2" t="s">
        <v>226</v>
      </c>
      <c r="D332" s="2">
        <v>410</v>
      </c>
      <c r="E332" s="2" t="s">
        <v>230</v>
      </c>
      <c r="F332" s="2">
        <v>20913</v>
      </c>
      <c r="G332" s="2">
        <v>4.8</v>
      </c>
      <c r="H332" s="2">
        <v>5968</v>
      </c>
      <c r="I332" s="2" t="s">
        <v>227</v>
      </c>
      <c r="J332" s="2" t="s">
        <v>183</v>
      </c>
      <c r="K332" s="2" t="s">
        <v>183</v>
      </c>
      <c r="L332" s="2">
        <v>504</v>
      </c>
      <c r="M332" s="2" t="s">
        <v>73</v>
      </c>
      <c r="N332" s="2" t="s">
        <v>228</v>
      </c>
    </row>
    <row r="333" spans="1:14" x14ac:dyDescent="0.25">
      <c r="A333" s="2">
        <v>7395</v>
      </c>
      <c r="B333" s="2">
        <v>7601</v>
      </c>
      <c r="C333" s="2" t="s">
        <v>226</v>
      </c>
      <c r="D333" s="2">
        <v>634</v>
      </c>
      <c r="E333" s="2" t="s">
        <v>88</v>
      </c>
      <c r="F333" s="2">
        <v>19276</v>
      </c>
      <c r="G333" s="2">
        <v>4.4000000000000004</v>
      </c>
      <c r="H333" s="2">
        <v>6459</v>
      </c>
      <c r="I333" s="2" t="s">
        <v>227</v>
      </c>
      <c r="J333" s="2" t="s">
        <v>183</v>
      </c>
      <c r="K333" s="2" t="s">
        <v>183</v>
      </c>
      <c r="L333" s="2">
        <v>504</v>
      </c>
      <c r="M333" s="2" t="s">
        <v>73</v>
      </c>
      <c r="N333" s="2" t="s">
        <v>228</v>
      </c>
    </row>
    <row r="334" spans="1:14" x14ac:dyDescent="0.25">
      <c r="A334" s="2">
        <v>7396</v>
      </c>
      <c r="B334" s="2">
        <v>7601</v>
      </c>
      <c r="C334" s="2" t="s">
        <v>226</v>
      </c>
      <c r="D334" s="2">
        <v>724</v>
      </c>
      <c r="E334" s="2" t="s">
        <v>98</v>
      </c>
      <c r="F334" s="2">
        <v>12282</v>
      </c>
      <c r="G334" s="2">
        <v>2.8</v>
      </c>
      <c r="H334" s="2">
        <v>3858</v>
      </c>
      <c r="I334" s="2" t="s">
        <v>227</v>
      </c>
      <c r="J334" s="2" t="s">
        <v>183</v>
      </c>
      <c r="K334" s="2" t="s">
        <v>183</v>
      </c>
      <c r="L334" s="2">
        <v>504</v>
      </c>
      <c r="M334" s="2" t="s">
        <v>73</v>
      </c>
      <c r="N334" s="2" t="s">
        <v>228</v>
      </c>
    </row>
    <row r="335" spans="1:14" x14ac:dyDescent="0.25">
      <c r="A335" s="2">
        <v>7397</v>
      </c>
      <c r="B335" s="2">
        <v>7601</v>
      </c>
      <c r="C335" s="2" t="s">
        <v>226</v>
      </c>
      <c r="D335" s="2">
        <v>699</v>
      </c>
      <c r="E335" s="2" t="s">
        <v>45</v>
      </c>
      <c r="F335" s="2">
        <v>6679</v>
      </c>
      <c r="G335" s="2">
        <v>1.5</v>
      </c>
      <c r="H335" s="2">
        <v>1898</v>
      </c>
      <c r="I335" s="2" t="s">
        <v>227</v>
      </c>
      <c r="J335" s="2" t="s">
        <v>183</v>
      </c>
      <c r="K335" s="2" t="s">
        <v>183</v>
      </c>
      <c r="L335" s="2">
        <v>504</v>
      </c>
      <c r="M335" s="2" t="s">
        <v>73</v>
      </c>
      <c r="N335" s="2" t="s">
        <v>228</v>
      </c>
    </row>
    <row r="336" spans="1:14" x14ac:dyDescent="0.25">
      <c r="A336" s="2">
        <v>7398</v>
      </c>
      <c r="B336" s="2">
        <v>7601</v>
      </c>
      <c r="C336" s="2" t="s">
        <v>226</v>
      </c>
      <c r="D336" s="2">
        <v>792</v>
      </c>
      <c r="E336" s="2" t="s">
        <v>107</v>
      </c>
      <c r="F336" s="2">
        <v>3769</v>
      </c>
      <c r="G336" s="2">
        <v>0.9</v>
      </c>
      <c r="H336" s="2">
        <v>1020</v>
      </c>
      <c r="I336" s="2" t="s">
        <v>227</v>
      </c>
      <c r="J336" s="2" t="s">
        <v>183</v>
      </c>
      <c r="K336" s="2" t="s">
        <v>183</v>
      </c>
      <c r="L336" s="2">
        <v>504</v>
      </c>
      <c r="M336" s="2" t="s">
        <v>73</v>
      </c>
      <c r="N336" s="2" t="s">
        <v>228</v>
      </c>
    </row>
    <row r="337" spans="1:14" x14ac:dyDescent="0.25">
      <c r="A337" s="2">
        <v>7399</v>
      </c>
      <c r="B337" s="2">
        <v>7601</v>
      </c>
      <c r="C337" s="2" t="s">
        <v>226</v>
      </c>
      <c r="D337" s="2">
        <v>682</v>
      </c>
      <c r="E337" s="2" t="s">
        <v>90</v>
      </c>
      <c r="F337" s="2">
        <v>2943</v>
      </c>
      <c r="G337" s="2">
        <v>0.7</v>
      </c>
      <c r="H337" s="2">
        <v>925</v>
      </c>
      <c r="I337" s="2" t="s">
        <v>227</v>
      </c>
      <c r="J337" s="2" t="s">
        <v>183</v>
      </c>
      <c r="K337" s="2" t="s">
        <v>183</v>
      </c>
      <c r="L337" s="2">
        <v>504</v>
      </c>
      <c r="M337" s="2" t="s">
        <v>73</v>
      </c>
      <c r="N337" s="2" t="s">
        <v>228</v>
      </c>
    </row>
    <row r="338" spans="1:14" x14ac:dyDescent="0.25">
      <c r="A338" s="2">
        <v>7400</v>
      </c>
      <c r="B338" s="2">
        <v>7601</v>
      </c>
      <c r="C338" s="2" t="s">
        <v>226</v>
      </c>
      <c r="D338" s="2">
        <v>528</v>
      </c>
      <c r="E338" s="2" t="s">
        <v>75</v>
      </c>
      <c r="F338" s="2">
        <v>2850</v>
      </c>
      <c r="G338" s="2">
        <v>0.6</v>
      </c>
      <c r="H338" s="2">
        <v>701</v>
      </c>
      <c r="I338" s="2" t="s">
        <v>227</v>
      </c>
      <c r="J338" s="2" t="s">
        <v>183</v>
      </c>
      <c r="K338" s="2" t="s">
        <v>183</v>
      </c>
      <c r="L338" s="2">
        <v>504</v>
      </c>
      <c r="M338" s="2" t="s">
        <v>73</v>
      </c>
      <c r="N338" s="2" t="s">
        <v>228</v>
      </c>
    </row>
    <row r="339" spans="1:14" x14ac:dyDescent="0.25">
      <c r="A339" s="2">
        <v>7401</v>
      </c>
      <c r="B339" s="2">
        <v>7601</v>
      </c>
      <c r="C339" s="2" t="s">
        <v>226</v>
      </c>
      <c r="D339" s="2">
        <v>704</v>
      </c>
      <c r="E339" s="2" t="s">
        <v>232</v>
      </c>
      <c r="F339" s="2">
        <v>2155</v>
      </c>
      <c r="G339" s="2">
        <v>0.5</v>
      </c>
      <c r="H339" s="2">
        <v>624</v>
      </c>
      <c r="I339" s="2" t="s">
        <v>227</v>
      </c>
      <c r="J339" s="2" t="s">
        <v>183</v>
      </c>
      <c r="K339" s="2" t="s">
        <v>183</v>
      </c>
      <c r="L339" s="2">
        <v>504</v>
      </c>
      <c r="M339" s="2" t="s">
        <v>73</v>
      </c>
      <c r="N339" s="2" t="s">
        <v>228</v>
      </c>
    </row>
    <row r="340" spans="1:14" x14ac:dyDescent="0.25">
      <c r="A340" s="2">
        <v>7402</v>
      </c>
      <c r="B340" s="2">
        <v>7601</v>
      </c>
      <c r="C340" s="2" t="s">
        <v>226</v>
      </c>
      <c r="D340" s="2">
        <v>156</v>
      </c>
      <c r="E340" s="2" t="s">
        <v>18</v>
      </c>
      <c r="F340" s="2">
        <v>422</v>
      </c>
      <c r="G340" s="2">
        <v>0.1</v>
      </c>
      <c r="H340" s="2">
        <v>86</v>
      </c>
      <c r="I340" s="2" t="s">
        <v>227</v>
      </c>
      <c r="J340" s="2" t="s">
        <v>183</v>
      </c>
      <c r="K340" s="2" t="s">
        <v>183</v>
      </c>
      <c r="L340" s="2">
        <v>504</v>
      </c>
      <c r="M340" s="2" t="s">
        <v>73</v>
      </c>
      <c r="N340" s="2" t="s">
        <v>228</v>
      </c>
    </row>
    <row r="341" spans="1:14" x14ac:dyDescent="0.25">
      <c r="A341" s="2">
        <v>7403</v>
      </c>
      <c r="B341" s="2">
        <v>7601</v>
      </c>
      <c r="C341" s="2" t="s">
        <v>226</v>
      </c>
      <c r="D341" s="2">
        <v>381</v>
      </c>
      <c r="E341" s="2" t="s">
        <v>50</v>
      </c>
      <c r="F341" s="2">
        <v>360</v>
      </c>
      <c r="G341" s="2">
        <v>0.1</v>
      </c>
      <c r="H341" s="2">
        <v>100</v>
      </c>
      <c r="I341" s="2" t="s">
        <v>227</v>
      </c>
      <c r="J341" s="2" t="s">
        <v>183</v>
      </c>
      <c r="K341" s="2" t="s">
        <v>183</v>
      </c>
      <c r="L341" s="2">
        <v>504</v>
      </c>
      <c r="M341" s="2" t="s">
        <v>73</v>
      </c>
      <c r="N341" s="2" t="s">
        <v>228</v>
      </c>
    </row>
    <row r="342" spans="1:14" x14ac:dyDescent="0.25">
      <c r="A342" s="2">
        <v>7404</v>
      </c>
      <c r="B342" s="2">
        <v>7601</v>
      </c>
      <c r="C342" s="2" t="s">
        <v>226</v>
      </c>
      <c r="D342" s="2">
        <v>458</v>
      </c>
      <c r="E342" s="2" t="s">
        <v>66</v>
      </c>
      <c r="F342" s="2">
        <v>333</v>
      </c>
      <c r="G342" s="2">
        <v>0.1</v>
      </c>
      <c r="H342" s="2">
        <v>98</v>
      </c>
      <c r="I342" s="2" t="s">
        <v>227</v>
      </c>
      <c r="J342" s="2" t="s">
        <v>183</v>
      </c>
      <c r="K342" s="2" t="s">
        <v>183</v>
      </c>
      <c r="L342" s="2">
        <v>504</v>
      </c>
      <c r="M342" s="2" t="s">
        <v>73</v>
      </c>
      <c r="N342" s="2" t="s">
        <v>228</v>
      </c>
    </row>
    <row r="343" spans="1:14" x14ac:dyDescent="0.25">
      <c r="A343" s="2">
        <v>7535</v>
      </c>
      <c r="B343" s="2">
        <v>7601</v>
      </c>
      <c r="C343" s="2" t="s">
        <v>226</v>
      </c>
      <c r="D343" s="2">
        <v>251</v>
      </c>
      <c r="E343" s="2" t="s">
        <v>33</v>
      </c>
      <c r="F343" s="2">
        <v>61449</v>
      </c>
      <c r="G343" s="2">
        <v>2.5</v>
      </c>
      <c r="H343" s="2">
        <v>18554</v>
      </c>
      <c r="I343" s="2" t="s">
        <v>227</v>
      </c>
      <c r="J343" s="2" t="s">
        <v>183</v>
      </c>
      <c r="K343" s="2" t="s">
        <v>183</v>
      </c>
      <c r="L343" s="2">
        <v>724</v>
      </c>
      <c r="M343" s="2" t="s">
        <v>98</v>
      </c>
      <c r="N343" s="2" t="s">
        <v>228</v>
      </c>
    </row>
    <row r="344" spans="1:14" x14ac:dyDescent="0.25">
      <c r="A344" s="2">
        <v>7406</v>
      </c>
      <c r="B344" s="2">
        <v>7601</v>
      </c>
      <c r="C344" s="2" t="s">
        <v>226</v>
      </c>
      <c r="D344" s="2">
        <v>620</v>
      </c>
      <c r="E344" s="2" t="s">
        <v>87</v>
      </c>
      <c r="F344" s="2">
        <v>2</v>
      </c>
      <c r="G344" s="2">
        <v>0</v>
      </c>
      <c r="H344" s="2">
        <v>0</v>
      </c>
      <c r="I344" s="2" t="s">
        <v>227</v>
      </c>
      <c r="J344" s="2" t="s">
        <v>183</v>
      </c>
      <c r="K344" s="2" t="s">
        <v>183</v>
      </c>
      <c r="L344" s="2">
        <v>504</v>
      </c>
      <c r="M344" s="2" t="s">
        <v>73</v>
      </c>
      <c r="N344" s="2" t="s">
        <v>228</v>
      </c>
    </row>
    <row r="345" spans="1:14" x14ac:dyDescent="0.25">
      <c r="A345" s="2">
        <v>7407</v>
      </c>
      <c r="B345" s="2">
        <v>7601</v>
      </c>
      <c r="C345" s="2" t="s">
        <v>226</v>
      </c>
      <c r="D345" s="2">
        <v>579</v>
      </c>
      <c r="E345" s="2" t="s">
        <v>79</v>
      </c>
      <c r="F345" s="2">
        <v>547209</v>
      </c>
      <c r="G345" s="2">
        <v>23.1</v>
      </c>
      <c r="H345" s="2">
        <v>143083</v>
      </c>
      <c r="I345" s="2" t="s">
        <v>227</v>
      </c>
      <c r="J345" s="2" t="s">
        <v>183</v>
      </c>
      <c r="K345" s="2" t="s">
        <v>183</v>
      </c>
      <c r="L345" s="2">
        <v>616</v>
      </c>
      <c r="M345" s="2" t="s">
        <v>86</v>
      </c>
      <c r="N345" s="2" t="s">
        <v>228</v>
      </c>
    </row>
    <row r="346" spans="1:14" x14ac:dyDescent="0.25">
      <c r="A346" s="2">
        <v>7408</v>
      </c>
      <c r="B346" s="2">
        <v>7601</v>
      </c>
      <c r="C346" s="2" t="s">
        <v>226</v>
      </c>
      <c r="D346" s="2">
        <v>352</v>
      </c>
      <c r="E346" s="2" t="s">
        <v>44</v>
      </c>
      <c r="F346" s="2">
        <v>322881</v>
      </c>
      <c r="G346" s="2">
        <v>13.6</v>
      </c>
      <c r="H346" s="2">
        <v>91447</v>
      </c>
      <c r="I346" s="2" t="s">
        <v>227</v>
      </c>
      <c r="J346" s="2" t="s">
        <v>183</v>
      </c>
      <c r="K346" s="2" t="s">
        <v>183</v>
      </c>
      <c r="L346" s="2">
        <v>616</v>
      </c>
      <c r="M346" s="2" t="s">
        <v>86</v>
      </c>
      <c r="N346" s="2" t="s">
        <v>228</v>
      </c>
    </row>
    <row r="347" spans="1:14" x14ac:dyDescent="0.25">
      <c r="A347" s="2">
        <v>7409</v>
      </c>
      <c r="B347" s="2">
        <v>7601</v>
      </c>
      <c r="C347" s="2" t="s">
        <v>226</v>
      </c>
      <c r="D347" s="2">
        <v>643</v>
      </c>
      <c r="E347" s="2" t="s">
        <v>209</v>
      </c>
      <c r="F347" s="2">
        <v>234808</v>
      </c>
      <c r="G347" s="2">
        <v>9.9</v>
      </c>
      <c r="H347" s="2">
        <v>76130</v>
      </c>
      <c r="I347" s="2" t="s">
        <v>227</v>
      </c>
      <c r="J347" s="2" t="s">
        <v>183</v>
      </c>
      <c r="K347" s="2" t="s">
        <v>183</v>
      </c>
      <c r="L347" s="2">
        <v>616</v>
      </c>
      <c r="M347" s="2" t="s">
        <v>86</v>
      </c>
      <c r="N347" s="2" t="s">
        <v>228</v>
      </c>
    </row>
    <row r="348" spans="1:14" x14ac:dyDescent="0.25">
      <c r="A348" s="2">
        <v>7410</v>
      </c>
      <c r="B348" s="2">
        <v>7601</v>
      </c>
      <c r="C348" s="2" t="s">
        <v>226</v>
      </c>
      <c r="D348" s="2">
        <v>276</v>
      </c>
      <c r="E348" s="2" t="s">
        <v>37</v>
      </c>
      <c r="F348" s="2">
        <v>184760</v>
      </c>
      <c r="G348" s="2">
        <v>7.8</v>
      </c>
      <c r="H348" s="2">
        <v>58168</v>
      </c>
      <c r="I348" s="2" t="s">
        <v>227</v>
      </c>
      <c r="J348" s="2" t="s">
        <v>183</v>
      </c>
      <c r="K348" s="2" t="s">
        <v>183</v>
      </c>
      <c r="L348" s="2">
        <v>616</v>
      </c>
      <c r="M348" s="2" t="s">
        <v>86</v>
      </c>
      <c r="N348" s="2" t="s">
        <v>228</v>
      </c>
    </row>
    <row r="349" spans="1:14" x14ac:dyDescent="0.25">
      <c r="A349" s="2">
        <v>7411</v>
      </c>
      <c r="B349" s="2">
        <v>7601</v>
      </c>
      <c r="C349" s="2" t="s">
        <v>226</v>
      </c>
      <c r="D349" s="2">
        <v>784</v>
      </c>
      <c r="E349" s="2" t="s">
        <v>109</v>
      </c>
      <c r="F349" s="2">
        <v>142690</v>
      </c>
      <c r="G349" s="2">
        <v>6</v>
      </c>
      <c r="H349" s="2">
        <v>37534</v>
      </c>
      <c r="I349" s="2" t="s">
        <v>227</v>
      </c>
      <c r="J349" s="2" t="s">
        <v>183</v>
      </c>
      <c r="K349" s="2" t="s">
        <v>183</v>
      </c>
      <c r="L349" s="2">
        <v>616</v>
      </c>
      <c r="M349" s="2" t="s">
        <v>86</v>
      </c>
      <c r="N349" s="2" t="s">
        <v>228</v>
      </c>
    </row>
    <row r="350" spans="1:14" x14ac:dyDescent="0.25">
      <c r="A350" s="2">
        <v>7412</v>
      </c>
      <c r="B350" s="2">
        <v>7601</v>
      </c>
      <c r="C350" s="2" t="s">
        <v>226</v>
      </c>
      <c r="D350" s="2">
        <v>752</v>
      </c>
      <c r="E350" s="2" t="s">
        <v>100</v>
      </c>
      <c r="F350" s="2">
        <v>129106</v>
      </c>
      <c r="G350" s="2">
        <v>5.4</v>
      </c>
      <c r="H350" s="2">
        <v>31915</v>
      </c>
      <c r="I350" s="2" t="s">
        <v>227</v>
      </c>
      <c r="J350" s="2" t="s">
        <v>183</v>
      </c>
      <c r="K350" s="2" t="s">
        <v>183</v>
      </c>
      <c r="L350" s="2">
        <v>616</v>
      </c>
      <c r="M350" s="2" t="s">
        <v>86</v>
      </c>
      <c r="N350" s="2" t="s">
        <v>228</v>
      </c>
    </row>
    <row r="351" spans="1:14" x14ac:dyDescent="0.25">
      <c r="A351" s="2">
        <v>7413</v>
      </c>
      <c r="B351" s="2">
        <v>7601</v>
      </c>
      <c r="C351" s="2" t="s">
        <v>226</v>
      </c>
      <c r="D351" s="2">
        <v>703</v>
      </c>
      <c r="E351" s="2" t="s">
        <v>95</v>
      </c>
      <c r="F351" s="2">
        <v>127003</v>
      </c>
      <c r="G351" s="2">
        <v>5.4</v>
      </c>
      <c r="H351" s="2">
        <v>33867</v>
      </c>
      <c r="I351" s="2" t="s">
        <v>227</v>
      </c>
      <c r="J351" s="2" t="s">
        <v>183</v>
      </c>
      <c r="K351" s="2" t="s">
        <v>183</v>
      </c>
      <c r="L351" s="2">
        <v>616</v>
      </c>
      <c r="M351" s="2" t="s">
        <v>86</v>
      </c>
      <c r="N351" s="2" t="s">
        <v>228</v>
      </c>
    </row>
    <row r="352" spans="1:14" x14ac:dyDescent="0.25">
      <c r="A352" s="2">
        <v>7414</v>
      </c>
      <c r="B352" s="2">
        <v>7601</v>
      </c>
      <c r="C352" s="2" t="s">
        <v>226</v>
      </c>
      <c r="D352" s="2">
        <v>862</v>
      </c>
      <c r="E352" s="2" t="s">
        <v>231</v>
      </c>
      <c r="F352" s="2">
        <v>85884</v>
      </c>
      <c r="G352" s="2">
        <v>3.6</v>
      </c>
      <c r="H352" s="2">
        <v>25793</v>
      </c>
      <c r="I352" s="2" t="s">
        <v>227</v>
      </c>
      <c r="J352" s="2" t="s">
        <v>183</v>
      </c>
      <c r="K352" s="2" t="s">
        <v>183</v>
      </c>
      <c r="L352" s="2">
        <v>616</v>
      </c>
      <c r="M352" s="2" t="s">
        <v>86</v>
      </c>
      <c r="N352" s="2" t="s">
        <v>228</v>
      </c>
    </row>
    <row r="353" spans="1:14" x14ac:dyDescent="0.25">
      <c r="A353" s="2">
        <v>7415</v>
      </c>
      <c r="B353" s="2">
        <v>7601</v>
      </c>
      <c r="C353" s="2" t="s">
        <v>226</v>
      </c>
      <c r="D353" s="2">
        <v>699</v>
      </c>
      <c r="E353" s="2" t="s">
        <v>45</v>
      </c>
      <c r="F353" s="2">
        <v>75367</v>
      </c>
      <c r="G353" s="2">
        <v>3.2</v>
      </c>
      <c r="H353" s="2">
        <v>22951</v>
      </c>
      <c r="I353" s="2" t="s">
        <v>227</v>
      </c>
      <c r="J353" s="2" t="s">
        <v>183</v>
      </c>
      <c r="K353" s="2" t="s">
        <v>183</v>
      </c>
      <c r="L353" s="2">
        <v>616</v>
      </c>
      <c r="M353" s="2" t="s">
        <v>86</v>
      </c>
      <c r="N353" s="2" t="s">
        <v>228</v>
      </c>
    </row>
    <row r="354" spans="1:14" x14ac:dyDescent="0.25">
      <c r="A354" s="2">
        <v>7416</v>
      </c>
      <c r="B354" s="2">
        <v>7601</v>
      </c>
      <c r="C354" s="2" t="s">
        <v>226</v>
      </c>
      <c r="D354" s="2">
        <v>528</v>
      </c>
      <c r="E354" s="2" t="s">
        <v>75</v>
      </c>
      <c r="F354" s="2">
        <v>69649</v>
      </c>
      <c r="G354" s="2">
        <v>2.9</v>
      </c>
      <c r="H354" s="2">
        <v>20770</v>
      </c>
      <c r="I354" s="2" t="s">
        <v>227</v>
      </c>
      <c r="J354" s="2" t="s">
        <v>183</v>
      </c>
      <c r="K354" s="2" t="s">
        <v>183</v>
      </c>
      <c r="L354" s="2">
        <v>616</v>
      </c>
      <c r="M354" s="2" t="s">
        <v>86</v>
      </c>
      <c r="N354" s="2" t="s">
        <v>228</v>
      </c>
    </row>
    <row r="355" spans="1:14" x14ac:dyDescent="0.25">
      <c r="A355" s="2">
        <v>7417</v>
      </c>
      <c r="B355" s="2">
        <v>7601</v>
      </c>
      <c r="C355" s="2" t="s">
        <v>226</v>
      </c>
      <c r="D355" s="2">
        <v>70</v>
      </c>
      <c r="E355" s="2" t="s">
        <v>236</v>
      </c>
      <c r="F355" s="2">
        <v>55296</v>
      </c>
      <c r="G355" s="2">
        <v>2.2999999999999998</v>
      </c>
      <c r="H355" s="2">
        <v>13216</v>
      </c>
      <c r="I355" s="2" t="s">
        <v>227</v>
      </c>
      <c r="J355" s="2" t="s">
        <v>183</v>
      </c>
      <c r="K355" s="2" t="s">
        <v>183</v>
      </c>
      <c r="L355" s="2">
        <v>616</v>
      </c>
      <c r="M355" s="2" t="s">
        <v>86</v>
      </c>
      <c r="N355" s="2" t="s">
        <v>228</v>
      </c>
    </row>
    <row r="356" spans="1:14" x14ac:dyDescent="0.25">
      <c r="A356" s="2">
        <v>7418</v>
      </c>
      <c r="B356" s="2">
        <v>7601</v>
      </c>
      <c r="C356" s="2" t="s">
        <v>226</v>
      </c>
      <c r="D356" s="2">
        <v>48</v>
      </c>
      <c r="E356" s="2" t="s">
        <v>7</v>
      </c>
      <c r="F356" s="2">
        <v>52573</v>
      </c>
      <c r="G356" s="2">
        <v>2.2000000000000002</v>
      </c>
      <c r="H356" s="2">
        <v>13828</v>
      </c>
      <c r="I356" s="2" t="s">
        <v>227</v>
      </c>
      <c r="J356" s="2" t="s">
        <v>183</v>
      </c>
      <c r="K356" s="2" t="s">
        <v>183</v>
      </c>
      <c r="L356" s="2">
        <v>616</v>
      </c>
      <c r="M356" s="2" t="s">
        <v>86</v>
      </c>
      <c r="N356" s="2" t="s">
        <v>228</v>
      </c>
    </row>
    <row r="357" spans="1:14" x14ac:dyDescent="0.25">
      <c r="A357" s="2">
        <v>7419</v>
      </c>
      <c r="B357" s="2">
        <v>7601</v>
      </c>
      <c r="C357" s="2" t="s">
        <v>226</v>
      </c>
      <c r="D357" s="2">
        <v>381</v>
      </c>
      <c r="E357" s="2" t="s">
        <v>50</v>
      </c>
      <c r="F357" s="2">
        <v>40285</v>
      </c>
      <c r="G357" s="2">
        <v>1.7</v>
      </c>
      <c r="H357" s="2">
        <v>11840</v>
      </c>
      <c r="I357" s="2" t="s">
        <v>227</v>
      </c>
      <c r="J357" s="2" t="s">
        <v>183</v>
      </c>
      <c r="K357" s="2" t="s">
        <v>183</v>
      </c>
      <c r="L357" s="2">
        <v>616</v>
      </c>
      <c r="M357" s="2" t="s">
        <v>86</v>
      </c>
      <c r="N357" s="2" t="s">
        <v>228</v>
      </c>
    </row>
    <row r="358" spans="1:14" x14ac:dyDescent="0.25">
      <c r="A358" s="2">
        <v>7420</v>
      </c>
      <c r="B358" s="2">
        <v>7601</v>
      </c>
      <c r="C358" s="2" t="s">
        <v>226</v>
      </c>
      <c r="D358" s="2">
        <v>508</v>
      </c>
      <c r="E358" s="2" t="s">
        <v>123</v>
      </c>
      <c r="F358" s="2">
        <v>38282</v>
      </c>
      <c r="G358" s="2">
        <v>1.6</v>
      </c>
      <c r="H358" s="2">
        <v>12226</v>
      </c>
      <c r="I358" s="2" t="s">
        <v>227</v>
      </c>
      <c r="J358" s="2" t="s">
        <v>183</v>
      </c>
      <c r="K358" s="2" t="s">
        <v>183</v>
      </c>
      <c r="L358" s="2">
        <v>616</v>
      </c>
      <c r="M358" s="2" t="s">
        <v>86</v>
      </c>
      <c r="N358" s="2" t="s">
        <v>228</v>
      </c>
    </row>
    <row r="359" spans="1:14" x14ac:dyDescent="0.25">
      <c r="A359" s="2">
        <v>7421</v>
      </c>
      <c r="B359" s="2">
        <v>7601</v>
      </c>
      <c r="C359" s="2" t="s">
        <v>226</v>
      </c>
      <c r="D359" s="2">
        <v>56</v>
      </c>
      <c r="E359" s="2" t="s">
        <v>11</v>
      </c>
      <c r="F359" s="2">
        <v>35691</v>
      </c>
      <c r="G359" s="2">
        <v>1.5</v>
      </c>
      <c r="H359" s="2">
        <v>11183</v>
      </c>
      <c r="I359" s="2" t="s">
        <v>227</v>
      </c>
      <c r="J359" s="2" t="s">
        <v>183</v>
      </c>
      <c r="K359" s="2" t="s">
        <v>183</v>
      </c>
      <c r="L359" s="2">
        <v>616</v>
      </c>
      <c r="M359" s="2" t="s">
        <v>86</v>
      </c>
      <c r="N359" s="2" t="s">
        <v>228</v>
      </c>
    </row>
    <row r="360" spans="1:14" x14ac:dyDescent="0.25">
      <c r="A360" s="2">
        <v>7422</v>
      </c>
      <c r="B360" s="2">
        <v>7601</v>
      </c>
      <c r="C360" s="2" t="s">
        <v>226</v>
      </c>
      <c r="D360" s="2">
        <v>705</v>
      </c>
      <c r="E360" s="2" t="s">
        <v>96</v>
      </c>
      <c r="F360" s="2">
        <v>32340</v>
      </c>
      <c r="G360" s="2">
        <v>1.4</v>
      </c>
      <c r="H360" s="2">
        <v>7851</v>
      </c>
      <c r="I360" s="2" t="s">
        <v>227</v>
      </c>
      <c r="J360" s="2" t="s">
        <v>183</v>
      </c>
      <c r="K360" s="2" t="s">
        <v>183</v>
      </c>
      <c r="L360" s="2">
        <v>616</v>
      </c>
      <c r="M360" s="2" t="s">
        <v>86</v>
      </c>
      <c r="N360" s="2" t="s">
        <v>228</v>
      </c>
    </row>
    <row r="361" spans="1:14" x14ac:dyDescent="0.25">
      <c r="A361" s="2">
        <v>7423</v>
      </c>
      <c r="B361" s="2">
        <v>7601</v>
      </c>
      <c r="C361" s="2" t="s">
        <v>226</v>
      </c>
      <c r="D361" s="2">
        <v>124</v>
      </c>
      <c r="E361" s="2" t="s">
        <v>16</v>
      </c>
      <c r="F361" s="2">
        <v>31185</v>
      </c>
      <c r="G361" s="2">
        <v>1.3</v>
      </c>
      <c r="H361" s="2">
        <v>12368</v>
      </c>
      <c r="I361" s="2" t="s">
        <v>227</v>
      </c>
      <c r="J361" s="2" t="s">
        <v>183</v>
      </c>
      <c r="K361" s="2" t="s">
        <v>183</v>
      </c>
      <c r="L361" s="2">
        <v>616</v>
      </c>
      <c r="M361" s="2" t="s">
        <v>86</v>
      </c>
      <c r="N361" s="2" t="s">
        <v>228</v>
      </c>
    </row>
    <row r="362" spans="1:14" x14ac:dyDescent="0.25">
      <c r="A362" s="2">
        <v>7424</v>
      </c>
      <c r="B362" s="2">
        <v>7601</v>
      </c>
      <c r="C362" s="2" t="s">
        <v>226</v>
      </c>
      <c r="D362" s="2">
        <v>704</v>
      </c>
      <c r="E362" s="2" t="s">
        <v>232</v>
      </c>
      <c r="F362" s="2">
        <v>19855</v>
      </c>
      <c r="G362" s="2">
        <v>0.8</v>
      </c>
      <c r="H362" s="2">
        <v>5216</v>
      </c>
      <c r="I362" s="2" t="s">
        <v>227</v>
      </c>
      <c r="J362" s="2" t="s">
        <v>183</v>
      </c>
      <c r="K362" s="2" t="s">
        <v>183</v>
      </c>
      <c r="L362" s="2">
        <v>616</v>
      </c>
      <c r="M362" s="2" t="s">
        <v>86</v>
      </c>
      <c r="N362" s="2" t="s">
        <v>228</v>
      </c>
    </row>
    <row r="363" spans="1:14" x14ac:dyDescent="0.25">
      <c r="A363" s="2">
        <v>7425</v>
      </c>
      <c r="B363" s="2">
        <v>7601</v>
      </c>
      <c r="C363" s="2" t="s">
        <v>226</v>
      </c>
      <c r="D363" s="2">
        <v>203</v>
      </c>
      <c r="E363" s="2" t="s">
        <v>211</v>
      </c>
      <c r="F363" s="2">
        <v>16296</v>
      </c>
      <c r="G363" s="2">
        <v>0.7</v>
      </c>
      <c r="H363" s="2">
        <v>5269</v>
      </c>
      <c r="I363" s="2" t="s">
        <v>227</v>
      </c>
      <c r="J363" s="2" t="s">
        <v>183</v>
      </c>
      <c r="K363" s="2" t="s">
        <v>183</v>
      </c>
      <c r="L363" s="2">
        <v>616</v>
      </c>
      <c r="M363" s="2" t="s">
        <v>86</v>
      </c>
      <c r="N363" s="2" t="s">
        <v>228</v>
      </c>
    </row>
    <row r="364" spans="1:14" x14ac:dyDescent="0.25">
      <c r="A364" s="2">
        <v>7426</v>
      </c>
      <c r="B364" s="2">
        <v>7601</v>
      </c>
      <c r="C364" s="2" t="s">
        <v>226</v>
      </c>
      <c r="D364" s="2">
        <v>499</v>
      </c>
      <c r="E364" s="2" t="s">
        <v>72</v>
      </c>
      <c r="F364" s="2">
        <v>13079</v>
      </c>
      <c r="G364" s="2">
        <v>0.6</v>
      </c>
      <c r="H364" s="2">
        <v>3451</v>
      </c>
      <c r="I364" s="2" t="s">
        <v>227</v>
      </c>
      <c r="J364" s="2" t="s">
        <v>183</v>
      </c>
      <c r="K364" s="2" t="s">
        <v>183</v>
      </c>
      <c r="L364" s="2">
        <v>616</v>
      </c>
      <c r="M364" s="2" t="s">
        <v>86</v>
      </c>
      <c r="N364" s="2" t="s">
        <v>228</v>
      </c>
    </row>
    <row r="365" spans="1:14" x14ac:dyDescent="0.25">
      <c r="A365" s="2">
        <v>7427</v>
      </c>
      <c r="B365" s="2">
        <v>7601</v>
      </c>
      <c r="C365" s="2" t="s">
        <v>226</v>
      </c>
      <c r="D365" s="2">
        <v>818</v>
      </c>
      <c r="E365" s="2" t="s">
        <v>28</v>
      </c>
      <c r="F365" s="2">
        <v>12033</v>
      </c>
      <c r="G365" s="2">
        <v>0.5</v>
      </c>
      <c r="H365" s="2">
        <v>3372</v>
      </c>
      <c r="I365" s="2" t="s">
        <v>227</v>
      </c>
      <c r="J365" s="2" t="s">
        <v>183</v>
      </c>
      <c r="K365" s="2" t="s">
        <v>183</v>
      </c>
      <c r="L365" s="2">
        <v>616</v>
      </c>
      <c r="M365" s="2" t="s">
        <v>86</v>
      </c>
      <c r="N365" s="2" t="s">
        <v>228</v>
      </c>
    </row>
    <row r="366" spans="1:14" x14ac:dyDescent="0.25">
      <c r="A366" s="2">
        <v>7428</v>
      </c>
      <c r="B366" s="2">
        <v>7601</v>
      </c>
      <c r="C366" s="2" t="s">
        <v>226</v>
      </c>
      <c r="D366" s="2">
        <v>710</v>
      </c>
      <c r="E366" s="2" t="s">
        <v>97</v>
      </c>
      <c r="F366" s="2">
        <v>11266</v>
      </c>
      <c r="G366" s="2">
        <v>0.5</v>
      </c>
      <c r="H366" s="2">
        <v>3572</v>
      </c>
      <c r="I366" s="2" t="s">
        <v>227</v>
      </c>
      <c r="J366" s="2" t="s">
        <v>183</v>
      </c>
      <c r="K366" s="2" t="s">
        <v>183</v>
      </c>
      <c r="L366" s="2">
        <v>616</v>
      </c>
      <c r="M366" s="2" t="s">
        <v>86</v>
      </c>
      <c r="N366" s="2" t="s">
        <v>228</v>
      </c>
    </row>
    <row r="367" spans="1:14" x14ac:dyDescent="0.25">
      <c r="A367" s="2">
        <v>7429</v>
      </c>
      <c r="B367" s="2">
        <v>7601</v>
      </c>
      <c r="C367" s="2" t="s">
        <v>226</v>
      </c>
      <c r="D367" s="2">
        <v>246</v>
      </c>
      <c r="E367" s="2" t="s">
        <v>32</v>
      </c>
      <c r="F367" s="2">
        <v>10990</v>
      </c>
      <c r="G367" s="2">
        <v>0.5</v>
      </c>
      <c r="H367" s="2">
        <v>3687</v>
      </c>
      <c r="I367" s="2" t="s">
        <v>227</v>
      </c>
      <c r="J367" s="2" t="s">
        <v>183</v>
      </c>
      <c r="K367" s="2" t="s">
        <v>183</v>
      </c>
      <c r="L367" s="2">
        <v>616</v>
      </c>
      <c r="M367" s="2" t="s">
        <v>86</v>
      </c>
      <c r="N367" s="2" t="s">
        <v>228</v>
      </c>
    </row>
    <row r="368" spans="1:14" x14ac:dyDescent="0.25">
      <c r="A368" s="2">
        <v>7430</v>
      </c>
      <c r="B368" s="2">
        <v>7601</v>
      </c>
      <c r="C368" s="2" t="s">
        <v>226</v>
      </c>
      <c r="D368" s="2">
        <v>348</v>
      </c>
      <c r="E368" s="2" t="s">
        <v>43</v>
      </c>
      <c r="F368" s="2">
        <v>10609</v>
      </c>
      <c r="G368" s="2">
        <v>0.4</v>
      </c>
      <c r="H368" s="2">
        <v>2948</v>
      </c>
      <c r="I368" s="2" t="s">
        <v>227</v>
      </c>
      <c r="J368" s="2" t="s">
        <v>183</v>
      </c>
      <c r="K368" s="2" t="s">
        <v>183</v>
      </c>
      <c r="L368" s="2">
        <v>616</v>
      </c>
      <c r="M368" s="2" t="s">
        <v>86</v>
      </c>
      <c r="N368" s="2" t="s">
        <v>228</v>
      </c>
    </row>
    <row r="369" spans="1:14" x14ac:dyDescent="0.25">
      <c r="A369" s="2">
        <v>7431</v>
      </c>
      <c r="B369" s="2">
        <v>7601</v>
      </c>
      <c r="C369" s="2" t="s">
        <v>226</v>
      </c>
      <c r="D369" s="2">
        <v>724</v>
      </c>
      <c r="E369" s="2" t="s">
        <v>98</v>
      </c>
      <c r="F369" s="2">
        <v>487696</v>
      </c>
      <c r="G369" s="2">
        <v>87.6</v>
      </c>
      <c r="H369" s="2">
        <v>134247</v>
      </c>
      <c r="I369" s="2" t="s">
        <v>227</v>
      </c>
      <c r="J369" s="2" t="s">
        <v>183</v>
      </c>
      <c r="K369" s="2" t="s">
        <v>183</v>
      </c>
      <c r="L369" s="2">
        <v>620</v>
      </c>
      <c r="M369" s="2" t="s">
        <v>87</v>
      </c>
      <c r="N369" s="2" t="s">
        <v>228</v>
      </c>
    </row>
    <row r="370" spans="1:14" x14ac:dyDescent="0.25">
      <c r="A370" s="2">
        <v>7432</v>
      </c>
      <c r="B370" s="2">
        <v>7601</v>
      </c>
      <c r="C370" s="2" t="s">
        <v>226</v>
      </c>
      <c r="D370" s="2">
        <v>528</v>
      </c>
      <c r="E370" s="2" t="s">
        <v>75</v>
      </c>
      <c r="F370" s="2">
        <v>22980</v>
      </c>
      <c r="G370" s="2">
        <v>4.0999999999999996</v>
      </c>
      <c r="H370" s="2">
        <v>5893</v>
      </c>
      <c r="I370" s="2" t="s">
        <v>227</v>
      </c>
      <c r="J370" s="2" t="s">
        <v>183</v>
      </c>
      <c r="K370" s="2" t="s">
        <v>183</v>
      </c>
      <c r="L370" s="2">
        <v>620</v>
      </c>
      <c r="M370" s="2" t="s">
        <v>87</v>
      </c>
      <c r="N370" s="2" t="s">
        <v>228</v>
      </c>
    </row>
    <row r="371" spans="1:14" x14ac:dyDescent="0.25">
      <c r="A371" s="2">
        <v>7347</v>
      </c>
      <c r="B371" s="2">
        <v>7601</v>
      </c>
      <c r="C371" s="2" t="s">
        <v>226</v>
      </c>
      <c r="D371" s="2">
        <v>251</v>
      </c>
      <c r="E371" s="2" t="s">
        <v>33</v>
      </c>
      <c r="F371" s="2">
        <v>44120</v>
      </c>
      <c r="G371" s="2">
        <v>0.9</v>
      </c>
      <c r="H371" s="2">
        <v>12867</v>
      </c>
      <c r="I371" s="2" t="s">
        <v>227</v>
      </c>
      <c r="J371" s="2" t="s">
        <v>183</v>
      </c>
      <c r="K371" s="2" t="s">
        <v>183</v>
      </c>
      <c r="L371" s="2">
        <v>381</v>
      </c>
      <c r="M371" s="2" t="s">
        <v>50</v>
      </c>
      <c r="N371" s="2" t="s">
        <v>228</v>
      </c>
    </row>
    <row r="372" spans="1:14" x14ac:dyDescent="0.25">
      <c r="A372" s="2">
        <v>7434</v>
      </c>
      <c r="B372" s="2">
        <v>7601</v>
      </c>
      <c r="C372" s="2" t="s">
        <v>226</v>
      </c>
      <c r="D372" s="2">
        <v>705</v>
      </c>
      <c r="E372" s="2" t="s">
        <v>96</v>
      </c>
      <c r="F372" s="2">
        <v>11600</v>
      </c>
      <c r="G372" s="2">
        <v>2.1</v>
      </c>
      <c r="H372" s="2">
        <v>2816</v>
      </c>
      <c r="I372" s="2" t="s">
        <v>227</v>
      </c>
      <c r="J372" s="2" t="s">
        <v>183</v>
      </c>
      <c r="K372" s="2" t="s">
        <v>183</v>
      </c>
      <c r="L372" s="2">
        <v>620</v>
      </c>
      <c r="M372" s="2" t="s">
        <v>87</v>
      </c>
      <c r="N372" s="2" t="s">
        <v>228</v>
      </c>
    </row>
    <row r="373" spans="1:14" x14ac:dyDescent="0.25">
      <c r="A373" s="2">
        <v>7435</v>
      </c>
      <c r="B373" s="2">
        <v>7601</v>
      </c>
      <c r="C373" s="2" t="s">
        <v>226</v>
      </c>
      <c r="D373" s="2">
        <v>381</v>
      </c>
      <c r="E373" s="2" t="s">
        <v>50</v>
      </c>
      <c r="F373" s="2">
        <v>4825</v>
      </c>
      <c r="G373" s="2">
        <v>0.9</v>
      </c>
      <c r="H373" s="2">
        <v>1382</v>
      </c>
      <c r="I373" s="2" t="s">
        <v>227</v>
      </c>
      <c r="J373" s="2" t="s">
        <v>183</v>
      </c>
      <c r="K373" s="2" t="s">
        <v>183</v>
      </c>
      <c r="L373" s="2">
        <v>620</v>
      </c>
      <c r="M373" s="2" t="s">
        <v>87</v>
      </c>
      <c r="N373" s="2" t="s">
        <v>228</v>
      </c>
    </row>
    <row r="374" spans="1:14" x14ac:dyDescent="0.25">
      <c r="A374" s="2">
        <v>7436</v>
      </c>
      <c r="B374" s="2">
        <v>7601</v>
      </c>
      <c r="C374" s="2" t="s">
        <v>226</v>
      </c>
      <c r="D374" s="2">
        <v>792</v>
      </c>
      <c r="E374" s="2" t="s">
        <v>107</v>
      </c>
      <c r="F374" s="2">
        <v>3590</v>
      </c>
      <c r="G374" s="2">
        <v>0.6</v>
      </c>
      <c r="H374" s="2">
        <v>933</v>
      </c>
      <c r="I374" s="2" t="s">
        <v>227</v>
      </c>
      <c r="J374" s="2" t="s">
        <v>183</v>
      </c>
      <c r="K374" s="2" t="s">
        <v>183</v>
      </c>
      <c r="L374" s="2">
        <v>620</v>
      </c>
      <c r="M374" s="2" t="s">
        <v>87</v>
      </c>
      <c r="N374" s="2" t="s">
        <v>228</v>
      </c>
    </row>
    <row r="375" spans="1:14" x14ac:dyDescent="0.25">
      <c r="A375" s="2">
        <v>7437</v>
      </c>
      <c r="B375" s="2">
        <v>7601</v>
      </c>
      <c r="C375" s="2" t="s">
        <v>226</v>
      </c>
      <c r="D375" s="2">
        <v>276</v>
      </c>
      <c r="E375" s="2" t="s">
        <v>37</v>
      </c>
      <c r="F375" s="2">
        <v>930</v>
      </c>
      <c r="G375" s="2">
        <v>0.2</v>
      </c>
      <c r="H375" s="2">
        <v>243</v>
      </c>
      <c r="I375" s="2" t="s">
        <v>227</v>
      </c>
      <c r="J375" s="2" t="s">
        <v>183</v>
      </c>
      <c r="K375" s="2" t="s">
        <v>183</v>
      </c>
      <c r="L375" s="2">
        <v>620</v>
      </c>
      <c r="M375" s="2" t="s">
        <v>87</v>
      </c>
      <c r="N375" s="2" t="s">
        <v>228</v>
      </c>
    </row>
    <row r="376" spans="1:14" x14ac:dyDescent="0.25">
      <c r="A376" s="2">
        <v>7438</v>
      </c>
      <c r="B376" s="2">
        <v>7601</v>
      </c>
      <c r="C376" s="2" t="s">
        <v>226</v>
      </c>
      <c r="D376" s="2">
        <v>752</v>
      </c>
      <c r="E376" s="2" t="s">
        <v>100</v>
      </c>
      <c r="F376" s="2">
        <v>854</v>
      </c>
      <c r="G376" s="2">
        <v>0.2</v>
      </c>
      <c r="H376" s="2">
        <v>231</v>
      </c>
      <c r="I376" s="2" t="s">
        <v>227</v>
      </c>
      <c r="J376" s="2" t="s">
        <v>183</v>
      </c>
      <c r="K376" s="2" t="s">
        <v>183</v>
      </c>
      <c r="L376" s="2">
        <v>620</v>
      </c>
      <c r="M376" s="2" t="s">
        <v>87</v>
      </c>
      <c r="N376" s="2" t="s">
        <v>228</v>
      </c>
    </row>
    <row r="377" spans="1:14" x14ac:dyDescent="0.25">
      <c r="A377" s="2">
        <v>7439</v>
      </c>
      <c r="B377" s="2">
        <v>7601</v>
      </c>
      <c r="C377" s="2" t="s">
        <v>226</v>
      </c>
      <c r="D377" s="2">
        <v>458</v>
      </c>
      <c r="E377" s="2" t="s">
        <v>66</v>
      </c>
      <c r="F377" s="2">
        <v>413</v>
      </c>
      <c r="G377" s="2">
        <v>0.1</v>
      </c>
      <c r="H377" s="2">
        <v>97</v>
      </c>
      <c r="I377" s="2" t="s">
        <v>227</v>
      </c>
      <c r="J377" s="2" t="s">
        <v>183</v>
      </c>
      <c r="K377" s="2" t="s">
        <v>183</v>
      </c>
      <c r="L377" s="2">
        <v>620</v>
      </c>
      <c r="M377" s="2" t="s">
        <v>87</v>
      </c>
      <c r="N377" s="2" t="s">
        <v>228</v>
      </c>
    </row>
    <row r="378" spans="1:14" x14ac:dyDescent="0.25">
      <c r="A378" s="2">
        <v>7440</v>
      </c>
      <c r="B378" s="2">
        <v>7601</v>
      </c>
      <c r="C378" s="2" t="s">
        <v>226</v>
      </c>
      <c r="D378" s="2">
        <v>246</v>
      </c>
      <c r="E378" s="2" t="s">
        <v>32</v>
      </c>
      <c r="F378" s="2">
        <v>392</v>
      </c>
      <c r="G378" s="2">
        <v>0.1</v>
      </c>
      <c r="H378" s="2">
        <v>143</v>
      </c>
      <c r="I378" s="2" t="s">
        <v>227</v>
      </c>
      <c r="J378" s="2" t="s">
        <v>183</v>
      </c>
      <c r="K378" s="2" t="s">
        <v>183</v>
      </c>
      <c r="L378" s="2">
        <v>620</v>
      </c>
      <c r="M378" s="2" t="s">
        <v>87</v>
      </c>
      <c r="N378" s="2" t="s">
        <v>228</v>
      </c>
    </row>
    <row r="379" spans="1:14" x14ac:dyDescent="0.25">
      <c r="A379" s="2">
        <v>7441</v>
      </c>
      <c r="B379" s="2">
        <v>7601</v>
      </c>
      <c r="C379" s="2" t="s">
        <v>226</v>
      </c>
      <c r="D379" s="2">
        <v>704</v>
      </c>
      <c r="E379" s="2" t="s">
        <v>232</v>
      </c>
      <c r="F379" s="2">
        <v>336</v>
      </c>
      <c r="G379" s="2">
        <v>0.1</v>
      </c>
      <c r="H379" s="2">
        <v>100</v>
      </c>
      <c r="I379" s="2" t="s">
        <v>227</v>
      </c>
      <c r="J379" s="2" t="s">
        <v>183</v>
      </c>
      <c r="K379" s="2" t="s">
        <v>183</v>
      </c>
      <c r="L379" s="2">
        <v>620</v>
      </c>
      <c r="M379" s="2" t="s">
        <v>87</v>
      </c>
      <c r="N379" s="2" t="s">
        <v>228</v>
      </c>
    </row>
    <row r="380" spans="1:14" x14ac:dyDescent="0.25">
      <c r="A380" s="2">
        <v>7442</v>
      </c>
      <c r="B380" s="2">
        <v>7601</v>
      </c>
      <c r="C380" s="2" t="s">
        <v>226</v>
      </c>
      <c r="D380" s="2">
        <v>76</v>
      </c>
      <c r="E380" s="2" t="s">
        <v>14</v>
      </c>
      <c r="F380" s="2">
        <v>290</v>
      </c>
      <c r="G380" s="2">
        <v>0.1</v>
      </c>
      <c r="H380" s="2">
        <v>75</v>
      </c>
      <c r="I380" s="2" t="s">
        <v>227</v>
      </c>
      <c r="J380" s="2" t="s">
        <v>183</v>
      </c>
      <c r="K380" s="2" t="s">
        <v>183</v>
      </c>
      <c r="L380" s="2">
        <v>620</v>
      </c>
      <c r="M380" s="2" t="s">
        <v>87</v>
      </c>
      <c r="N380" s="2" t="s">
        <v>228</v>
      </c>
    </row>
    <row r="381" spans="1:14" x14ac:dyDescent="0.25">
      <c r="A381" s="2">
        <v>7443</v>
      </c>
      <c r="B381" s="2">
        <v>7601</v>
      </c>
      <c r="C381" s="2" t="s">
        <v>226</v>
      </c>
      <c r="D381" s="2">
        <v>156</v>
      </c>
      <c r="E381" s="2" t="s">
        <v>18</v>
      </c>
      <c r="F381" s="2">
        <v>156</v>
      </c>
      <c r="G381" s="2">
        <v>0</v>
      </c>
      <c r="H381" s="2">
        <v>25</v>
      </c>
      <c r="I381" s="2" t="s">
        <v>227</v>
      </c>
      <c r="J381" s="2" t="s">
        <v>183</v>
      </c>
      <c r="K381" s="2" t="s">
        <v>183</v>
      </c>
      <c r="L381" s="2">
        <v>620</v>
      </c>
      <c r="M381" s="2" t="s">
        <v>87</v>
      </c>
      <c r="N381" s="2" t="s">
        <v>228</v>
      </c>
    </row>
    <row r="382" spans="1:14" x14ac:dyDescent="0.25">
      <c r="A382" s="2">
        <v>7444</v>
      </c>
      <c r="B382" s="2">
        <v>7601</v>
      </c>
      <c r="C382" s="2" t="s">
        <v>226</v>
      </c>
      <c r="D382" s="2">
        <v>24</v>
      </c>
      <c r="E382" s="2" t="s">
        <v>1</v>
      </c>
      <c r="F382" s="2">
        <v>94</v>
      </c>
      <c r="G382" s="2">
        <v>0</v>
      </c>
      <c r="H382" s="2">
        <v>25</v>
      </c>
      <c r="I382" s="2" t="s">
        <v>227</v>
      </c>
      <c r="J382" s="2" t="s">
        <v>183</v>
      </c>
      <c r="K382" s="2" t="s">
        <v>183</v>
      </c>
      <c r="L382" s="2">
        <v>620</v>
      </c>
      <c r="M382" s="2" t="s">
        <v>87</v>
      </c>
      <c r="N382" s="2" t="s">
        <v>228</v>
      </c>
    </row>
    <row r="383" spans="1:14" x14ac:dyDescent="0.25">
      <c r="A383" s="2">
        <v>7445</v>
      </c>
      <c r="B383" s="2">
        <v>7601</v>
      </c>
      <c r="C383" s="2" t="s">
        <v>226</v>
      </c>
      <c r="D383" s="2">
        <v>191</v>
      </c>
      <c r="E383" s="2" t="s">
        <v>21</v>
      </c>
      <c r="F383" s="2">
        <v>69</v>
      </c>
      <c r="G383" s="2">
        <v>0</v>
      </c>
      <c r="H383" s="2">
        <v>48</v>
      </c>
      <c r="I383" s="2" t="s">
        <v>227</v>
      </c>
      <c r="J383" s="2" t="s">
        <v>183</v>
      </c>
      <c r="K383" s="2" t="s">
        <v>183</v>
      </c>
      <c r="L383" s="2">
        <v>620</v>
      </c>
      <c r="M383" s="2" t="s">
        <v>87</v>
      </c>
      <c r="N383" s="2" t="s">
        <v>228</v>
      </c>
    </row>
    <row r="384" spans="1:14" x14ac:dyDescent="0.25">
      <c r="A384" s="2">
        <v>7446</v>
      </c>
      <c r="B384" s="2">
        <v>7601</v>
      </c>
      <c r="C384" s="2" t="s">
        <v>226</v>
      </c>
      <c r="D384" s="2">
        <v>56</v>
      </c>
      <c r="E384" s="2" t="s">
        <v>11</v>
      </c>
      <c r="F384" s="2">
        <v>56</v>
      </c>
      <c r="G384" s="2">
        <v>0</v>
      </c>
      <c r="H384" s="2">
        <v>9</v>
      </c>
      <c r="I384" s="2" t="s">
        <v>227</v>
      </c>
      <c r="J384" s="2" t="s">
        <v>183</v>
      </c>
      <c r="K384" s="2" t="s">
        <v>183</v>
      </c>
      <c r="L384" s="2">
        <v>620</v>
      </c>
      <c r="M384" s="2" t="s">
        <v>87</v>
      </c>
      <c r="N384" s="2" t="s">
        <v>228</v>
      </c>
    </row>
    <row r="385" spans="1:14" x14ac:dyDescent="0.25">
      <c r="A385" s="2">
        <v>7447</v>
      </c>
      <c r="B385" s="2">
        <v>7601</v>
      </c>
      <c r="C385" s="2" t="s">
        <v>226</v>
      </c>
      <c r="D385" s="2">
        <v>826</v>
      </c>
      <c r="E385" s="2" t="s">
        <v>110</v>
      </c>
      <c r="F385" s="2">
        <v>30</v>
      </c>
      <c r="G385" s="2">
        <v>0</v>
      </c>
      <c r="H385" s="2">
        <v>8</v>
      </c>
      <c r="I385" s="2" t="s">
        <v>227</v>
      </c>
      <c r="J385" s="2" t="s">
        <v>183</v>
      </c>
      <c r="K385" s="2" t="s">
        <v>183</v>
      </c>
      <c r="L385" s="2">
        <v>620</v>
      </c>
      <c r="M385" s="2" t="s">
        <v>87</v>
      </c>
      <c r="N385" s="2" t="s">
        <v>228</v>
      </c>
    </row>
    <row r="386" spans="1:14" x14ac:dyDescent="0.25">
      <c r="A386" s="2">
        <v>7448</v>
      </c>
      <c r="B386" s="2">
        <v>7601</v>
      </c>
      <c r="C386" s="2" t="s">
        <v>226</v>
      </c>
      <c r="D386" s="2">
        <v>440</v>
      </c>
      <c r="E386" s="2" t="s">
        <v>61</v>
      </c>
      <c r="F386" s="2">
        <v>27</v>
      </c>
      <c r="G386" s="2">
        <v>0</v>
      </c>
      <c r="H386" s="2">
        <v>4</v>
      </c>
      <c r="I386" s="2" t="s">
        <v>227</v>
      </c>
      <c r="J386" s="2" t="s">
        <v>183</v>
      </c>
      <c r="K386" s="2" t="s">
        <v>183</v>
      </c>
      <c r="L386" s="2">
        <v>620</v>
      </c>
      <c r="M386" s="2" t="s">
        <v>87</v>
      </c>
      <c r="N386" s="2" t="s">
        <v>228</v>
      </c>
    </row>
    <row r="387" spans="1:14" x14ac:dyDescent="0.25">
      <c r="A387" s="2">
        <v>7449</v>
      </c>
      <c r="B387" s="2">
        <v>7601</v>
      </c>
      <c r="C387" s="2" t="s">
        <v>226</v>
      </c>
      <c r="D387" s="2">
        <v>442</v>
      </c>
      <c r="E387" s="2" t="s">
        <v>62</v>
      </c>
      <c r="F387" s="2">
        <v>8</v>
      </c>
      <c r="G387" s="2">
        <v>0</v>
      </c>
      <c r="H387" s="2">
        <v>0</v>
      </c>
      <c r="I387" s="2" t="s">
        <v>227</v>
      </c>
      <c r="J387" s="2" t="s">
        <v>183</v>
      </c>
      <c r="K387" s="2" t="s">
        <v>183</v>
      </c>
      <c r="L387" s="2">
        <v>620</v>
      </c>
      <c r="M387" s="2" t="s">
        <v>87</v>
      </c>
      <c r="N387" s="2" t="s">
        <v>228</v>
      </c>
    </row>
    <row r="388" spans="1:14" x14ac:dyDescent="0.25">
      <c r="A388" s="2">
        <v>7450</v>
      </c>
      <c r="B388" s="2">
        <v>7601</v>
      </c>
      <c r="C388" s="2" t="s">
        <v>226</v>
      </c>
      <c r="D388" s="2">
        <v>203</v>
      </c>
      <c r="E388" s="2" t="s">
        <v>211</v>
      </c>
      <c r="F388" s="2">
        <v>6</v>
      </c>
      <c r="G388" s="2">
        <v>0</v>
      </c>
      <c r="H388" s="2">
        <v>0</v>
      </c>
      <c r="I388" s="2" t="s">
        <v>227</v>
      </c>
      <c r="J388" s="2" t="s">
        <v>183</v>
      </c>
      <c r="K388" s="2" t="s">
        <v>183</v>
      </c>
      <c r="L388" s="2">
        <v>620</v>
      </c>
      <c r="M388" s="2" t="s">
        <v>87</v>
      </c>
      <c r="N388" s="2" t="s">
        <v>228</v>
      </c>
    </row>
    <row r="389" spans="1:14" x14ac:dyDescent="0.25">
      <c r="A389" s="2">
        <v>7451</v>
      </c>
      <c r="B389" s="2">
        <v>7601</v>
      </c>
      <c r="C389" s="2" t="s">
        <v>226</v>
      </c>
      <c r="D389" s="2">
        <v>764</v>
      </c>
      <c r="E389" s="2" t="s">
        <v>103</v>
      </c>
      <c r="F389" s="2">
        <v>2</v>
      </c>
      <c r="G389" s="2">
        <v>0</v>
      </c>
      <c r="H389" s="2">
        <v>0</v>
      </c>
      <c r="I389" s="2" t="s">
        <v>227</v>
      </c>
      <c r="J389" s="2" t="s">
        <v>183</v>
      </c>
      <c r="K389" s="2" t="s">
        <v>183</v>
      </c>
      <c r="L389" s="2">
        <v>620</v>
      </c>
      <c r="M389" s="2" t="s">
        <v>87</v>
      </c>
      <c r="N389" s="2" t="s">
        <v>228</v>
      </c>
    </row>
    <row r="390" spans="1:14" x14ac:dyDescent="0.25">
      <c r="A390" s="2">
        <v>7452</v>
      </c>
      <c r="B390" s="2">
        <v>7601</v>
      </c>
      <c r="C390" s="2" t="s">
        <v>226</v>
      </c>
      <c r="D390" s="2">
        <v>842</v>
      </c>
      <c r="E390" s="2" t="s">
        <v>229</v>
      </c>
      <c r="F390" s="2">
        <v>1</v>
      </c>
      <c r="G390" s="2">
        <v>0</v>
      </c>
      <c r="H390" s="2">
        <v>0</v>
      </c>
      <c r="I390" s="2" t="s">
        <v>227</v>
      </c>
      <c r="J390" s="2" t="s">
        <v>183</v>
      </c>
      <c r="K390" s="2" t="s">
        <v>183</v>
      </c>
      <c r="L390" s="2">
        <v>620</v>
      </c>
      <c r="M390" s="2" t="s">
        <v>87</v>
      </c>
      <c r="N390" s="2" t="s">
        <v>228</v>
      </c>
    </row>
    <row r="391" spans="1:14" x14ac:dyDescent="0.25">
      <c r="A391" s="2">
        <v>7453</v>
      </c>
      <c r="B391" s="2">
        <v>7601</v>
      </c>
      <c r="C391" s="2" t="s">
        <v>226</v>
      </c>
      <c r="D391" s="2">
        <v>504</v>
      </c>
      <c r="E391" s="2" t="s">
        <v>73</v>
      </c>
      <c r="F391" s="2">
        <v>1</v>
      </c>
      <c r="G391" s="2">
        <v>0</v>
      </c>
      <c r="H391" s="2">
        <v>2</v>
      </c>
      <c r="I391" s="2" t="s">
        <v>227</v>
      </c>
      <c r="J391" s="2" t="s">
        <v>183</v>
      </c>
      <c r="K391" s="2" t="s">
        <v>183</v>
      </c>
      <c r="L391" s="2">
        <v>620</v>
      </c>
      <c r="M391" s="2" t="s">
        <v>87</v>
      </c>
      <c r="N391" s="2" t="s">
        <v>228</v>
      </c>
    </row>
    <row r="392" spans="1:14" x14ac:dyDescent="0.25">
      <c r="A392" s="2">
        <v>7454</v>
      </c>
      <c r="B392" s="2">
        <v>7601</v>
      </c>
      <c r="C392" s="2" t="s">
        <v>226</v>
      </c>
      <c r="D392" s="2">
        <v>616</v>
      </c>
      <c r="E392" s="2" t="s">
        <v>86</v>
      </c>
      <c r="F392" s="2">
        <v>52576</v>
      </c>
      <c r="G392" s="2">
        <v>14.4</v>
      </c>
      <c r="H392" s="2">
        <v>16694</v>
      </c>
      <c r="I392" s="2" t="s">
        <v>227</v>
      </c>
      <c r="J392" s="2" t="s">
        <v>183</v>
      </c>
      <c r="K392" s="2" t="s">
        <v>183</v>
      </c>
      <c r="L392" s="2">
        <v>703</v>
      </c>
      <c r="M392" s="2" t="s">
        <v>95</v>
      </c>
      <c r="N392" s="2" t="s">
        <v>228</v>
      </c>
    </row>
    <row r="393" spans="1:14" x14ac:dyDescent="0.25">
      <c r="A393" s="2">
        <v>7455</v>
      </c>
      <c r="B393" s="2">
        <v>7601</v>
      </c>
      <c r="C393" s="2" t="s">
        <v>226</v>
      </c>
      <c r="D393" s="2">
        <v>203</v>
      </c>
      <c r="E393" s="2" t="s">
        <v>211</v>
      </c>
      <c r="F393" s="2">
        <v>40751</v>
      </c>
      <c r="G393" s="2">
        <v>11.1</v>
      </c>
      <c r="H393" s="2">
        <v>13367</v>
      </c>
      <c r="I393" s="2" t="s">
        <v>227</v>
      </c>
      <c r="J393" s="2" t="s">
        <v>183</v>
      </c>
      <c r="K393" s="2" t="s">
        <v>183</v>
      </c>
      <c r="L393" s="2">
        <v>703</v>
      </c>
      <c r="M393" s="2" t="s">
        <v>95</v>
      </c>
      <c r="N393" s="2" t="s">
        <v>228</v>
      </c>
    </row>
    <row r="394" spans="1:14" x14ac:dyDescent="0.25">
      <c r="A394" s="2">
        <v>7456</v>
      </c>
      <c r="B394" s="2">
        <v>7601</v>
      </c>
      <c r="C394" s="2" t="s">
        <v>226</v>
      </c>
      <c r="D394" s="2">
        <v>579</v>
      </c>
      <c r="E394" s="2" t="s">
        <v>79</v>
      </c>
      <c r="F394" s="2">
        <v>38164</v>
      </c>
      <c r="G394" s="2">
        <v>10.4</v>
      </c>
      <c r="H394" s="2">
        <v>10658</v>
      </c>
      <c r="I394" s="2" t="s">
        <v>227</v>
      </c>
      <c r="J394" s="2" t="s">
        <v>183</v>
      </c>
      <c r="K394" s="2" t="s">
        <v>183</v>
      </c>
      <c r="L394" s="2">
        <v>703</v>
      </c>
      <c r="M394" s="2" t="s">
        <v>95</v>
      </c>
      <c r="N394" s="2" t="s">
        <v>228</v>
      </c>
    </row>
    <row r="395" spans="1:14" x14ac:dyDescent="0.25">
      <c r="A395" s="2">
        <v>7457</v>
      </c>
      <c r="B395" s="2">
        <v>7601</v>
      </c>
      <c r="C395" s="2" t="s">
        <v>226</v>
      </c>
      <c r="D395" s="2">
        <v>642</v>
      </c>
      <c r="E395" s="2" t="s">
        <v>89</v>
      </c>
      <c r="F395" s="2">
        <v>31135</v>
      </c>
      <c r="G395" s="2">
        <v>8.5</v>
      </c>
      <c r="H395" s="2">
        <v>8674</v>
      </c>
      <c r="I395" s="2" t="s">
        <v>227</v>
      </c>
      <c r="J395" s="2" t="s">
        <v>183</v>
      </c>
      <c r="K395" s="2" t="s">
        <v>183</v>
      </c>
      <c r="L395" s="2">
        <v>703</v>
      </c>
      <c r="M395" s="2" t="s">
        <v>95</v>
      </c>
      <c r="N395" s="2" t="s">
        <v>228</v>
      </c>
    </row>
    <row r="396" spans="1:14" x14ac:dyDescent="0.25">
      <c r="A396" s="2">
        <v>7458</v>
      </c>
      <c r="B396" s="2">
        <v>7601</v>
      </c>
      <c r="C396" s="2" t="s">
        <v>226</v>
      </c>
      <c r="D396" s="2">
        <v>276</v>
      </c>
      <c r="E396" s="2" t="s">
        <v>37</v>
      </c>
      <c r="F396" s="2">
        <v>29406</v>
      </c>
      <c r="G396" s="2">
        <v>8</v>
      </c>
      <c r="H396" s="2">
        <v>8911</v>
      </c>
      <c r="I396" s="2" t="s">
        <v>227</v>
      </c>
      <c r="J396" s="2" t="s">
        <v>183</v>
      </c>
      <c r="K396" s="2" t="s">
        <v>183</v>
      </c>
      <c r="L396" s="2">
        <v>703</v>
      </c>
      <c r="M396" s="2" t="s">
        <v>95</v>
      </c>
      <c r="N396" s="2" t="s">
        <v>228</v>
      </c>
    </row>
    <row r="397" spans="1:14" x14ac:dyDescent="0.25">
      <c r="A397" s="2">
        <v>7459</v>
      </c>
      <c r="B397" s="2">
        <v>7601</v>
      </c>
      <c r="C397" s="2" t="s">
        <v>226</v>
      </c>
      <c r="D397" s="2">
        <v>352</v>
      </c>
      <c r="E397" s="2" t="s">
        <v>44</v>
      </c>
      <c r="F397" s="2">
        <v>20798</v>
      </c>
      <c r="G397" s="2">
        <v>5.7</v>
      </c>
      <c r="H397" s="2">
        <v>5486</v>
      </c>
      <c r="I397" s="2" t="s">
        <v>227</v>
      </c>
      <c r="J397" s="2" t="s">
        <v>183</v>
      </c>
      <c r="K397" s="2" t="s">
        <v>183</v>
      </c>
      <c r="L397" s="2">
        <v>703</v>
      </c>
      <c r="M397" s="2" t="s">
        <v>95</v>
      </c>
      <c r="N397" s="2" t="s">
        <v>228</v>
      </c>
    </row>
    <row r="398" spans="1:14" x14ac:dyDescent="0.25">
      <c r="A398" s="2">
        <v>7460</v>
      </c>
      <c r="B398" s="2">
        <v>7601</v>
      </c>
      <c r="C398" s="2" t="s">
        <v>226</v>
      </c>
      <c r="D398" s="2">
        <v>999</v>
      </c>
      <c r="E398" s="2" t="s">
        <v>210</v>
      </c>
      <c r="F398" s="2">
        <v>20429</v>
      </c>
      <c r="G398" s="2">
        <v>5.6</v>
      </c>
      <c r="H398" s="2">
        <v>10250</v>
      </c>
      <c r="I398" s="2" t="s">
        <v>227</v>
      </c>
      <c r="J398" s="2" t="s">
        <v>183</v>
      </c>
      <c r="K398" s="2" t="s">
        <v>183</v>
      </c>
      <c r="L398" s="2">
        <v>703</v>
      </c>
      <c r="M398" s="2" t="s">
        <v>95</v>
      </c>
      <c r="N398" s="2" t="s">
        <v>228</v>
      </c>
    </row>
    <row r="399" spans="1:14" x14ac:dyDescent="0.25">
      <c r="A399" s="2">
        <v>7461</v>
      </c>
      <c r="B399" s="2">
        <v>7601</v>
      </c>
      <c r="C399" s="2" t="s">
        <v>226</v>
      </c>
      <c r="D399" s="2">
        <v>381</v>
      </c>
      <c r="E399" s="2" t="s">
        <v>50</v>
      </c>
      <c r="F399" s="2">
        <v>20121</v>
      </c>
      <c r="G399" s="2">
        <v>5.5</v>
      </c>
      <c r="H399" s="2">
        <v>5947</v>
      </c>
      <c r="I399" s="2" t="s">
        <v>227</v>
      </c>
      <c r="J399" s="2" t="s">
        <v>183</v>
      </c>
      <c r="K399" s="2" t="s">
        <v>183</v>
      </c>
      <c r="L399" s="2">
        <v>703</v>
      </c>
      <c r="M399" s="2" t="s">
        <v>95</v>
      </c>
      <c r="N399" s="2" t="s">
        <v>228</v>
      </c>
    </row>
    <row r="400" spans="1:14" x14ac:dyDescent="0.25">
      <c r="A400" s="2">
        <v>7462</v>
      </c>
      <c r="B400" s="2">
        <v>7601</v>
      </c>
      <c r="C400" s="2" t="s">
        <v>226</v>
      </c>
      <c r="D400" s="2">
        <v>48</v>
      </c>
      <c r="E400" s="2" t="s">
        <v>7</v>
      </c>
      <c r="F400" s="2">
        <v>16888</v>
      </c>
      <c r="G400" s="2">
        <v>4.5999999999999996</v>
      </c>
      <c r="H400" s="2">
        <v>4286</v>
      </c>
      <c r="I400" s="2" t="s">
        <v>227</v>
      </c>
      <c r="J400" s="2" t="s">
        <v>183</v>
      </c>
      <c r="K400" s="2" t="s">
        <v>183</v>
      </c>
      <c r="L400" s="2">
        <v>703</v>
      </c>
      <c r="M400" s="2" t="s">
        <v>95</v>
      </c>
      <c r="N400" s="2" t="s">
        <v>228</v>
      </c>
    </row>
    <row r="401" spans="1:14" x14ac:dyDescent="0.25">
      <c r="A401" s="2">
        <v>7463</v>
      </c>
      <c r="B401" s="2">
        <v>7601</v>
      </c>
      <c r="C401" s="2" t="s">
        <v>226</v>
      </c>
      <c r="D401" s="2">
        <v>528</v>
      </c>
      <c r="E401" s="2" t="s">
        <v>75</v>
      </c>
      <c r="F401" s="2">
        <v>14187</v>
      </c>
      <c r="G401" s="2">
        <v>3.9</v>
      </c>
      <c r="H401" s="2">
        <v>3083</v>
      </c>
      <c r="I401" s="2" t="s">
        <v>227</v>
      </c>
      <c r="J401" s="2" t="s">
        <v>183</v>
      </c>
      <c r="K401" s="2" t="s">
        <v>183</v>
      </c>
      <c r="L401" s="2">
        <v>703</v>
      </c>
      <c r="M401" s="2" t="s">
        <v>95</v>
      </c>
      <c r="N401" s="2" t="s">
        <v>228</v>
      </c>
    </row>
    <row r="402" spans="1:14" x14ac:dyDescent="0.25">
      <c r="A402" s="2">
        <v>7464</v>
      </c>
      <c r="B402" s="2">
        <v>7601</v>
      </c>
      <c r="C402" s="2" t="s">
        <v>226</v>
      </c>
      <c r="D402" s="2">
        <v>643</v>
      </c>
      <c r="E402" s="2" t="s">
        <v>209</v>
      </c>
      <c r="F402" s="2">
        <v>11613</v>
      </c>
      <c r="G402" s="2">
        <v>3.2</v>
      </c>
      <c r="H402" s="2">
        <v>3278</v>
      </c>
      <c r="I402" s="2" t="s">
        <v>227</v>
      </c>
      <c r="J402" s="2" t="s">
        <v>183</v>
      </c>
      <c r="K402" s="2" t="s">
        <v>183</v>
      </c>
      <c r="L402" s="2">
        <v>703</v>
      </c>
      <c r="M402" s="2" t="s">
        <v>95</v>
      </c>
      <c r="N402" s="2" t="s">
        <v>228</v>
      </c>
    </row>
    <row r="403" spans="1:14" x14ac:dyDescent="0.25">
      <c r="A403" s="2">
        <v>7465</v>
      </c>
      <c r="B403" s="2">
        <v>7601</v>
      </c>
      <c r="C403" s="2" t="s">
        <v>226</v>
      </c>
      <c r="D403" s="2">
        <v>784</v>
      </c>
      <c r="E403" s="2" t="s">
        <v>109</v>
      </c>
      <c r="F403" s="2">
        <v>10894</v>
      </c>
      <c r="G403" s="2">
        <v>3</v>
      </c>
      <c r="H403" s="2">
        <v>2652</v>
      </c>
      <c r="I403" s="2" t="s">
        <v>227</v>
      </c>
      <c r="J403" s="2" t="s">
        <v>183</v>
      </c>
      <c r="K403" s="2" t="s">
        <v>183</v>
      </c>
      <c r="L403" s="2">
        <v>703</v>
      </c>
      <c r="M403" s="2" t="s">
        <v>95</v>
      </c>
      <c r="N403" s="2" t="s">
        <v>228</v>
      </c>
    </row>
    <row r="404" spans="1:14" x14ac:dyDescent="0.25">
      <c r="A404" s="2">
        <v>7466</v>
      </c>
      <c r="B404" s="2">
        <v>7601</v>
      </c>
      <c r="C404" s="2" t="s">
        <v>226</v>
      </c>
      <c r="D404" s="2">
        <v>804</v>
      </c>
      <c r="E404" s="2" t="s">
        <v>117</v>
      </c>
      <c r="F404" s="2">
        <v>8631</v>
      </c>
      <c r="G404" s="2">
        <v>2.4</v>
      </c>
      <c r="H404" s="2">
        <v>3654</v>
      </c>
      <c r="I404" s="2" t="s">
        <v>227</v>
      </c>
      <c r="J404" s="2" t="s">
        <v>183</v>
      </c>
      <c r="K404" s="2" t="s">
        <v>183</v>
      </c>
      <c r="L404" s="2">
        <v>703</v>
      </c>
      <c r="M404" s="2" t="s">
        <v>95</v>
      </c>
      <c r="N404" s="2" t="s">
        <v>228</v>
      </c>
    </row>
    <row r="405" spans="1:14" x14ac:dyDescent="0.25">
      <c r="A405" s="2">
        <v>7467</v>
      </c>
      <c r="B405" s="2">
        <v>7601</v>
      </c>
      <c r="C405" s="2" t="s">
        <v>226</v>
      </c>
      <c r="D405" s="2">
        <v>688</v>
      </c>
      <c r="E405" s="2" t="s">
        <v>92</v>
      </c>
      <c r="F405" s="2">
        <v>6893</v>
      </c>
      <c r="G405" s="2">
        <v>1.9</v>
      </c>
      <c r="H405" s="2">
        <v>2640</v>
      </c>
      <c r="I405" s="2" t="s">
        <v>227</v>
      </c>
      <c r="J405" s="2" t="s">
        <v>183</v>
      </c>
      <c r="K405" s="2" t="s">
        <v>183</v>
      </c>
      <c r="L405" s="2">
        <v>703</v>
      </c>
      <c r="M405" s="2" t="s">
        <v>95</v>
      </c>
      <c r="N405" s="2" t="s">
        <v>228</v>
      </c>
    </row>
    <row r="406" spans="1:14" x14ac:dyDescent="0.25">
      <c r="A406" s="2">
        <v>7468</v>
      </c>
      <c r="B406" s="2">
        <v>7601</v>
      </c>
      <c r="C406" s="2" t="s">
        <v>226</v>
      </c>
      <c r="D406" s="2">
        <v>724</v>
      </c>
      <c r="E406" s="2" t="s">
        <v>98</v>
      </c>
      <c r="F406" s="2">
        <v>5237</v>
      </c>
      <c r="G406" s="2">
        <v>1.4</v>
      </c>
      <c r="H406" s="2">
        <v>1671</v>
      </c>
      <c r="I406" s="2" t="s">
        <v>227</v>
      </c>
      <c r="J406" s="2" t="s">
        <v>183</v>
      </c>
      <c r="K406" s="2" t="s">
        <v>183</v>
      </c>
      <c r="L406" s="2">
        <v>703</v>
      </c>
      <c r="M406" s="2" t="s">
        <v>95</v>
      </c>
      <c r="N406" s="2" t="s">
        <v>228</v>
      </c>
    </row>
    <row r="407" spans="1:14" x14ac:dyDescent="0.25">
      <c r="A407" s="2">
        <v>7469</v>
      </c>
      <c r="B407" s="2">
        <v>7601</v>
      </c>
      <c r="C407" s="2" t="s">
        <v>226</v>
      </c>
      <c r="D407" s="2">
        <v>818</v>
      </c>
      <c r="E407" s="2" t="s">
        <v>28</v>
      </c>
      <c r="F407" s="2">
        <v>4716</v>
      </c>
      <c r="G407" s="2">
        <v>1.3</v>
      </c>
      <c r="H407" s="2">
        <v>1929</v>
      </c>
      <c r="I407" s="2" t="s">
        <v>227</v>
      </c>
      <c r="J407" s="2" t="s">
        <v>183</v>
      </c>
      <c r="K407" s="2" t="s">
        <v>183</v>
      </c>
      <c r="L407" s="2">
        <v>703</v>
      </c>
      <c r="M407" s="2" t="s">
        <v>95</v>
      </c>
      <c r="N407" s="2" t="s">
        <v>228</v>
      </c>
    </row>
    <row r="408" spans="1:14" x14ac:dyDescent="0.25">
      <c r="A408" s="2">
        <v>7470</v>
      </c>
      <c r="B408" s="2">
        <v>7601</v>
      </c>
      <c r="C408" s="2" t="s">
        <v>226</v>
      </c>
      <c r="D408" s="2">
        <v>40</v>
      </c>
      <c r="E408" s="2" t="s">
        <v>5</v>
      </c>
      <c r="F408" s="2">
        <v>4707</v>
      </c>
      <c r="G408" s="2">
        <v>1.3</v>
      </c>
      <c r="H408" s="2">
        <v>1714</v>
      </c>
      <c r="I408" s="2" t="s">
        <v>227</v>
      </c>
      <c r="J408" s="2" t="s">
        <v>183</v>
      </c>
      <c r="K408" s="2" t="s">
        <v>183</v>
      </c>
      <c r="L408" s="2">
        <v>703</v>
      </c>
      <c r="M408" s="2" t="s">
        <v>95</v>
      </c>
      <c r="N408" s="2" t="s">
        <v>228</v>
      </c>
    </row>
    <row r="409" spans="1:14" x14ac:dyDescent="0.25">
      <c r="A409" s="2">
        <v>7471</v>
      </c>
      <c r="B409" s="2">
        <v>7601</v>
      </c>
      <c r="C409" s="2" t="s">
        <v>226</v>
      </c>
      <c r="D409" s="2">
        <v>704</v>
      </c>
      <c r="E409" s="2" t="s">
        <v>232</v>
      </c>
      <c r="F409" s="2">
        <v>4453</v>
      </c>
      <c r="G409" s="2">
        <v>1.2</v>
      </c>
      <c r="H409" s="2">
        <v>1209</v>
      </c>
      <c r="I409" s="2" t="s">
        <v>227</v>
      </c>
      <c r="J409" s="2" t="s">
        <v>183</v>
      </c>
      <c r="K409" s="2" t="s">
        <v>183</v>
      </c>
      <c r="L409" s="2">
        <v>703</v>
      </c>
      <c r="M409" s="2" t="s">
        <v>95</v>
      </c>
      <c r="N409" s="2" t="s">
        <v>228</v>
      </c>
    </row>
    <row r="410" spans="1:14" x14ac:dyDescent="0.25">
      <c r="A410" s="2">
        <v>7472</v>
      </c>
      <c r="B410" s="2">
        <v>7601</v>
      </c>
      <c r="C410" s="2" t="s">
        <v>226</v>
      </c>
      <c r="D410" s="2">
        <v>862</v>
      </c>
      <c r="E410" s="2" t="s">
        <v>231</v>
      </c>
      <c r="F410" s="2">
        <v>3672</v>
      </c>
      <c r="G410" s="2">
        <v>1</v>
      </c>
      <c r="H410" s="2">
        <v>1385</v>
      </c>
      <c r="I410" s="2" t="s">
        <v>227</v>
      </c>
      <c r="J410" s="2" t="s">
        <v>183</v>
      </c>
      <c r="K410" s="2" t="s">
        <v>183</v>
      </c>
      <c r="L410" s="2">
        <v>703</v>
      </c>
      <c r="M410" s="2" t="s">
        <v>95</v>
      </c>
      <c r="N410" s="2" t="s">
        <v>228</v>
      </c>
    </row>
    <row r="411" spans="1:14" x14ac:dyDescent="0.25">
      <c r="A411" s="2">
        <v>7473</v>
      </c>
      <c r="B411" s="2">
        <v>7601</v>
      </c>
      <c r="C411" s="2" t="s">
        <v>226</v>
      </c>
      <c r="D411" s="2">
        <v>428</v>
      </c>
      <c r="E411" s="2" t="s">
        <v>58</v>
      </c>
      <c r="F411" s="2">
        <v>3529</v>
      </c>
      <c r="G411" s="2">
        <v>1</v>
      </c>
      <c r="H411" s="2">
        <v>1427</v>
      </c>
      <c r="I411" s="2" t="s">
        <v>227</v>
      </c>
      <c r="J411" s="2" t="s">
        <v>183</v>
      </c>
      <c r="K411" s="2" t="s">
        <v>183</v>
      </c>
      <c r="L411" s="2">
        <v>703</v>
      </c>
      <c r="M411" s="2" t="s">
        <v>95</v>
      </c>
      <c r="N411" s="2" t="s">
        <v>228</v>
      </c>
    </row>
    <row r="412" spans="1:14" x14ac:dyDescent="0.25">
      <c r="A412" s="2">
        <v>7474</v>
      </c>
      <c r="B412" s="2">
        <v>7601</v>
      </c>
      <c r="C412" s="2" t="s">
        <v>226</v>
      </c>
      <c r="D412" s="2">
        <v>699</v>
      </c>
      <c r="E412" s="2" t="s">
        <v>45</v>
      </c>
      <c r="F412" s="2">
        <v>3180</v>
      </c>
      <c r="G412" s="2">
        <v>0.9</v>
      </c>
      <c r="H412" s="2">
        <v>868</v>
      </c>
      <c r="I412" s="2" t="s">
        <v>227</v>
      </c>
      <c r="J412" s="2" t="s">
        <v>183</v>
      </c>
      <c r="K412" s="2" t="s">
        <v>183</v>
      </c>
      <c r="L412" s="2">
        <v>703</v>
      </c>
      <c r="M412" s="2" t="s">
        <v>95</v>
      </c>
      <c r="N412" s="2" t="s">
        <v>228</v>
      </c>
    </row>
    <row r="413" spans="1:14" x14ac:dyDescent="0.25">
      <c r="A413" s="2">
        <v>7475</v>
      </c>
      <c r="B413" s="2">
        <v>7601</v>
      </c>
      <c r="C413" s="2" t="s">
        <v>226</v>
      </c>
      <c r="D413" s="2">
        <v>348</v>
      </c>
      <c r="E413" s="2" t="s">
        <v>43</v>
      </c>
      <c r="F413" s="2">
        <v>3091</v>
      </c>
      <c r="G413" s="2">
        <v>0.8</v>
      </c>
      <c r="H413" s="2">
        <v>1170</v>
      </c>
      <c r="I413" s="2" t="s">
        <v>227</v>
      </c>
      <c r="J413" s="2" t="s">
        <v>183</v>
      </c>
      <c r="K413" s="2" t="s">
        <v>183</v>
      </c>
      <c r="L413" s="2">
        <v>703</v>
      </c>
      <c r="M413" s="2" t="s">
        <v>95</v>
      </c>
      <c r="N413" s="2" t="s">
        <v>228</v>
      </c>
    </row>
    <row r="414" spans="1:14" x14ac:dyDescent="0.25">
      <c r="A414" s="2">
        <v>7476</v>
      </c>
      <c r="B414" s="2">
        <v>7601</v>
      </c>
      <c r="C414" s="2" t="s">
        <v>226</v>
      </c>
      <c r="D414" s="2">
        <v>752</v>
      </c>
      <c r="E414" s="2" t="s">
        <v>100</v>
      </c>
      <c r="F414" s="2">
        <v>2109</v>
      </c>
      <c r="G414" s="2">
        <v>0.6</v>
      </c>
      <c r="H414" s="2">
        <v>532</v>
      </c>
      <c r="I414" s="2" t="s">
        <v>227</v>
      </c>
      <c r="J414" s="2" t="s">
        <v>183</v>
      </c>
      <c r="K414" s="2" t="s">
        <v>183</v>
      </c>
      <c r="L414" s="2">
        <v>703</v>
      </c>
      <c r="M414" s="2" t="s">
        <v>95</v>
      </c>
      <c r="N414" s="2" t="s">
        <v>228</v>
      </c>
    </row>
    <row r="415" spans="1:14" x14ac:dyDescent="0.25">
      <c r="A415" s="2">
        <v>7477</v>
      </c>
      <c r="B415" s="2">
        <v>7601</v>
      </c>
      <c r="C415" s="2" t="s">
        <v>226</v>
      </c>
      <c r="D415" s="2">
        <v>124</v>
      </c>
      <c r="E415" s="2" t="s">
        <v>16</v>
      </c>
      <c r="F415" s="2">
        <v>1249</v>
      </c>
      <c r="G415" s="2">
        <v>0.3</v>
      </c>
      <c r="H415" s="2">
        <v>368</v>
      </c>
      <c r="I415" s="2" t="s">
        <v>227</v>
      </c>
      <c r="J415" s="2" t="s">
        <v>183</v>
      </c>
      <c r="K415" s="2" t="s">
        <v>183</v>
      </c>
      <c r="L415" s="2">
        <v>703</v>
      </c>
      <c r="M415" s="2" t="s">
        <v>95</v>
      </c>
      <c r="N415" s="2" t="s">
        <v>228</v>
      </c>
    </row>
    <row r="416" spans="1:14" x14ac:dyDescent="0.25">
      <c r="A416" s="2">
        <v>7478</v>
      </c>
      <c r="B416" s="2">
        <v>7601</v>
      </c>
      <c r="C416" s="2" t="s">
        <v>226</v>
      </c>
      <c r="D416" s="2">
        <v>508</v>
      </c>
      <c r="E416" s="2" t="s">
        <v>123</v>
      </c>
      <c r="F416" s="2">
        <v>107037</v>
      </c>
      <c r="G416" s="2">
        <v>19.2</v>
      </c>
      <c r="H416" s="2">
        <v>34348</v>
      </c>
      <c r="I416" s="2" t="s">
        <v>227</v>
      </c>
      <c r="J416" s="2" t="s">
        <v>183</v>
      </c>
      <c r="K416" s="2" t="s">
        <v>183</v>
      </c>
      <c r="L416" s="2">
        <v>705</v>
      </c>
      <c r="M416" s="2" t="s">
        <v>96</v>
      </c>
      <c r="N416" s="2" t="s">
        <v>228</v>
      </c>
    </row>
    <row r="417" spans="1:14" x14ac:dyDescent="0.25">
      <c r="A417" s="2">
        <v>7479</v>
      </c>
      <c r="B417" s="2">
        <v>7601</v>
      </c>
      <c r="C417" s="2" t="s">
        <v>226</v>
      </c>
      <c r="D417" s="2">
        <v>699</v>
      </c>
      <c r="E417" s="2" t="s">
        <v>45</v>
      </c>
      <c r="F417" s="2">
        <v>103995</v>
      </c>
      <c r="G417" s="2">
        <v>18.7</v>
      </c>
      <c r="H417" s="2">
        <v>32613</v>
      </c>
      <c r="I417" s="2" t="s">
        <v>227</v>
      </c>
      <c r="J417" s="2" t="s">
        <v>183</v>
      </c>
      <c r="K417" s="2" t="s">
        <v>183</v>
      </c>
      <c r="L417" s="2">
        <v>705</v>
      </c>
      <c r="M417" s="2" t="s">
        <v>96</v>
      </c>
      <c r="N417" s="2" t="s">
        <v>228</v>
      </c>
    </row>
    <row r="418" spans="1:14" x14ac:dyDescent="0.25">
      <c r="A418" s="2">
        <v>7480</v>
      </c>
      <c r="B418" s="2">
        <v>7601</v>
      </c>
      <c r="C418" s="2" t="s">
        <v>226</v>
      </c>
      <c r="D418" s="2">
        <v>381</v>
      </c>
      <c r="E418" s="2" t="s">
        <v>50</v>
      </c>
      <c r="F418" s="2">
        <v>78760</v>
      </c>
      <c r="G418" s="2">
        <v>14.1</v>
      </c>
      <c r="H418" s="2">
        <v>28363</v>
      </c>
      <c r="I418" s="2" t="s">
        <v>227</v>
      </c>
      <c r="J418" s="2" t="s">
        <v>183</v>
      </c>
      <c r="K418" s="2" t="s">
        <v>183</v>
      </c>
      <c r="L418" s="2">
        <v>705</v>
      </c>
      <c r="M418" s="2" t="s">
        <v>96</v>
      </c>
      <c r="N418" s="2" t="s">
        <v>228</v>
      </c>
    </row>
    <row r="419" spans="1:14" x14ac:dyDescent="0.25">
      <c r="A419" s="2">
        <v>7481</v>
      </c>
      <c r="B419" s="2">
        <v>7601</v>
      </c>
      <c r="C419" s="2" t="s">
        <v>226</v>
      </c>
      <c r="D419" s="2">
        <v>642</v>
      </c>
      <c r="E419" s="2" t="s">
        <v>89</v>
      </c>
      <c r="F419" s="2">
        <v>41994</v>
      </c>
      <c r="G419" s="2">
        <v>7.5</v>
      </c>
      <c r="H419" s="2">
        <v>10060</v>
      </c>
      <c r="I419" s="2" t="s">
        <v>227</v>
      </c>
      <c r="J419" s="2" t="s">
        <v>183</v>
      </c>
      <c r="K419" s="2" t="s">
        <v>183</v>
      </c>
      <c r="L419" s="2">
        <v>705</v>
      </c>
      <c r="M419" s="2" t="s">
        <v>96</v>
      </c>
      <c r="N419" s="2" t="s">
        <v>228</v>
      </c>
    </row>
    <row r="420" spans="1:14" x14ac:dyDescent="0.25">
      <c r="A420" s="2">
        <v>7482</v>
      </c>
      <c r="B420" s="2">
        <v>7601</v>
      </c>
      <c r="C420" s="2" t="s">
        <v>226</v>
      </c>
      <c r="D420" s="2">
        <v>48</v>
      </c>
      <c r="E420" s="2" t="s">
        <v>7</v>
      </c>
      <c r="F420" s="2">
        <v>34906</v>
      </c>
      <c r="G420" s="2">
        <v>6.3</v>
      </c>
      <c r="H420" s="2">
        <v>9688</v>
      </c>
      <c r="I420" s="2" t="s">
        <v>227</v>
      </c>
      <c r="J420" s="2" t="s">
        <v>183</v>
      </c>
      <c r="K420" s="2" t="s">
        <v>183</v>
      </c>
      <c r="L420" s="2">
        <v>705</v>
      </c>
      <c r="M420" s="2" t="s">
        <v>96</v>
      </c>
      <c r="N420" s="2" t="s">
        <v>228</v>
      </c>
    </row>
    <row r="421" spans="1:14" x14ac:dyDescent="0.25">
      <c r="A421" s="2">
        <v>7483</v>
      </c>
      <c r="B421" s="2">
        <v>7601</v>
      </c>
      <c r="C421" s="2" t="s">
        <v>226</v>
      </c>
      <c r="D421" s="2">
        <v>703</v>
      </c>
      <c r="E421" s="2" t="s">
        <v>95</v>
      </c>
      <c r="F421" s="2">
        <v>34492</v>
      </c>
      <c r="G421" s="2">
        <v>6.2</v>
      </c>
      <c r="H421" s="2">
        <v>10464</v>
      </c>
      <c r="I421" s="2" t="s">
        <v>227</v>
      </c>
      <c r="J421" s="2" t="s">
        <v>183</v>
      </c>
      <c r="K421" s="2" t="s">
        <v>183</v>
      </c>
      <c r="L421" s="2">
        <v>705</v>
      </c>
      <c r="M421" s="2" t="s">
        <v>96</v>
      </c>
      <c r="N421" s="2" t="s">
        <v>228</v>
      </c>
    </row>
    <row r="422" spans="1:14" x14ac:dyDescent="0.25">
      <c r="A422" s="2">
        <v>7484</v>
      </c>
      <c r="B422" s="2">
        <v>7601</v>
      </c>
      <c r="C422" s="2" t="s">
        <v>226</v>
      </c>
      <c r="D422" s="2">
        <v>348</v>
      </c>
      <c r="E422" s="2" t="s">
        <v>43</v>
      </c>
      <c r="F422" s="2">
        <v>26238</v>
      </c>
      <c r="G422" s="2">
        <v>4.7</v>
      </c>
      <c r="H422" s="2">
        <v>10366</v>
      </c>
      <c r="I422" s="2" t="s">
        <v>227</v>
      </c>
      <c r="J422" s="2" t="s">
        <v>183</v>
      </c>
      <c r="K422" s="2" t="s">
        <v>183</v>
      </c>
      <c r="L422" s="2">
        <v>705</v>
      </c>
      <c r="M422" s="2" t="s">
        <v>96</v>
      </c>
      <c r="N422" s="2" t="s">
        <v>228</v>
      </c>
    </row>
    <row r="423" spans="1:14" x14ac:dyDescent="0.25">
      <c r="A423" s="2">
        <v>7485</v>
      </c>
      <c r="B423" s="2">
        <v>7601</v>
      </c>
      <c r="C423" s="2" t="s">
        <v>226</v>
      </c>
      <c r="D423" s="2">
        <v>616</v>
      </c>
      <c r="E423" s="2" t="s">
        <v>86</v>
      </c>
      <c r="F423" s="2">
        <v>19505</v>
      </c>
      <c r="G423" s="2">
        <v>3.5</v>
      </c>
      <c r="H423" s="2">
        <v>6050</v>
      </c>
      <c r="I423" s="2" t="s">
        <v>227</v>
      </c>
      <c r="J423" s="2" t="s">
        <v>183</v>
      </c>
      <c r="K423" s="2" t="s">
        <v>183</v>
      </c>
      <c r="L423" s="2">
        <v>705</v>
      </c>
      <c r="M423" s="2" t="s">
        <v>96</v>
      </c>
      <c r="N423" s="2" t="s">
        <v>228</v>
      </c>
    </row>
    <row r="424" spans="1:14" x14ac:dyDescent="0.25">
      <c r="A424" s="2">
        <v>7486</v>
      </c>
      <c r="B424" s="2">
        <v>7601</v>
      </c>
      <c r="C424" s="2" t="s">
        <v>226</v>
      </c>
      <c r="D424" s="2">
        <v>70</v>
      </c>
      <c r="E424" s="2" t="s">
        <v>236</v>
      </c>
      <c r="F424" s="2">
        <v>17883</v>
      </c>
      <c r="G424" s="2">
        <v>3.2</v>
      </c>
      <c r="H424" s="2">
        <v>4611</v>
      </c>
      <c r="I424" s="2" t="s">
        <v>227</v>
      </c>
      <c r="J424" s="2" t="s">
        <v>183</v>
      </c>
      <c r="K424" s="2" t="s">
        <v>183</v>
      </c>
      <c r="L424" s="2">
        <v>705</v>
      </c>
      <c r="M424" s="2" t="s">
        <v>96</v>
      </c>
      <c r="N424" s="2" t="s">
        <v>228</v>
      </c>
    </row>
    <row r="425" spans="1:14" x14ac:dyDescent="0.25">
      <c r="A425" s="2">
        <v>7487</v>
      </c>
      <c r="B425" s="2">
        <v>7601</v>
      </c>
      <c r="C425" s="2" t="s">
        <v>226</v>
      </c>
      <c r="D425" s="2">
        <v>203</v>
      </c>
      <c r="E425" s="2" t="s">
        <v>211</v>
      </c>
      <c r="F425" s="2">
        <v>15152</v>
      </c>
      <c r="G425" s="2">
        <v>2.7</v>
      </c>
      <c r="H425" s="2">
        <v>5227</v>
      </c>
      <c r="I425" s="2" t="s">
        <v>227</v>
      </c>
      <c r="J425" s="2" t="s">
        <v>183</v>
      </c>
      <c r="K425" s="2" t="s">
        <v>183</v>
      </c>
      <c r="L425" s="2">
        <v>705</v>
      </c>
      <c r="M425" s="2" t="s">
        <v>96</v>
      </c>
      <c r="N425" s="2" t="s">
        <v>228</v>
      </c>
    </row>
    <row r="426" spans="1:14" x14ac:dyDescent="0.25">
      <c r="A426" s="2">
        <v>7488</v>
      </c>
      <c r="B426" s="2">
        <v>7601</v>
      </c>
      <c r="C426" s="2" t="s">
        <v>226</v>
      </c>
      <c r="D426" s="2">
        <v>579</v>
      </c>
      <c r="E426" s="2" t="s">
        <v>79</v>
      </c>
      <c r="F426" s="2">
        <v>9998</v>
      </c>
      <c r="G426" s="2">
        <v>1.8</v>
      </c>
      <c r="H426" s="2">
        <v>2578</v>
      </c>
      <c r="I426" s="2" t="s">
        <v>227</v>
      </c>
      <c r="J426" s="2" t="s">
        <v>183</v>
      </c>
      <c r="K426" s="2" t="s">
        <v>183</v>
      </c>
      <c r="L426" s="2">
        <v>705</v>
      </c>
      <c r="M426" s="2" t="s">
        <v>96</v>
      </c>
      <c r="N426" s="2" t="s">
        <v>228</v>
      </c>
    </row>
    <row r="427" spans="1:14" x14ac:dyDescent="0.25">
      <c r="A427" s="2">
        <v>7489</v>
      </c>
      <c r="B427" s="2">
        <v>7601</v>
      </c>
      <c r="C427" s="2" t="s">
        <v>226</v>
      </c>
      <c r="D427" s="2">
        <v>276</v>
      </c>
      <c r="E427" s="2" t="s">
        <v>37</v>
      </c>
      <c r="F427" s="2">
        <v>8914</v>
      </c>
      <c r="G427" s="2">
        <v>1.6</v>
      </c>
      <c r="H427" s="2">
        <v>2763</v>
      </c>
      <c r="I427" s="2" t="s">
        <v>227</v>
      </c>
      <c r="J427" s="2" t="s">
        <v>183</v>
      </c>
      <c r="K427" s="2" t="s">
        <v>183</v>
      </c>
      <c r="L427" s="2">
        <v>705</v>
      </c>
      <c r="M427" s="2" t="s">
        <v>96</v>
      </c>
      <c r="N427" s="2" t="s">
        <v>228</v>
      </c>
    </row>
    <row r="428" spans="1:14" x14ac:dyDescent="0.25">
      <c r="A428" s="2">
        <v>7490</v>
      </c>
      <c r="B428" s="2">
        <v>7601</v>
      </c>
      <c r="C428" s="2" t="s">
        <v>226</v>
      </c>
      <c r="D428" s="2">
        <v>124</v>
      </c>
      <c r="E428" s="2" t="s">
        <v>16</v>
      </c>
      <c r="F428" s="2">
        <v>7581</v>
      </c>
      <c r="G428" s="2">
        <v>1.4</v>
      </c>
      <c r="H428" s="2">
        <v>2034</v>
      </c>
      <c r="I428" s="2" t="s">
        <v>227</v>
      </c>
      <c r="J428" s="2" t="s">
        <v>183</v>
      </c>
      <c r="K428" s="2" t="s">
        <v>183</v>
      </c>
      <c r="L428" s="2">
        <v>705</v>
      </c>
      <c r="M428" s="2" t="s">
        <v>96</v>
      </c>
      <c r="N428" s="2" t="s">
        <v>228</v>
      </c>
    </row>
    <row r="429" spans="1:14" x14ac:dyDescent="0.25">
      <c r="A429" s="2">
        <v>7491</v>
      </c>
      <c r="B429" s="2">
        <v>7601</v>
      </c>
      <c r="C429" s="2" t="s">
        <v>226</v>
      </c>
      <c r="D429" s="2">
        <v>360</v>
      </c>
      <c r="E429" s="2" t="s">
        <v>46</v>
      </c>
      <c r="F429" s="2">
        <v>6635</v>
      </c>
      <c r="G429" s="2">
        <v>1.2</v>
      </c>
      <c r="H429" s="2">
        <v>2523</v>
      </c>
      <c r="I429" s="2" t="s">
        <v>227</v>
      </c>
      <c r="J429" s="2" t="s">
        <v>183</v>
      </c>
      <c r="K429" s="2" t="s">
        <v>183</v>
      </c>
      <c r="L429" s="2">
        <v>705</v>
      </c>
      <c r="M429" s="2" t="s">
        <v>96</v>
      </c>
      <c r="N429" s="2" t="s">
        <v>228</v>
      </c>
    </row>
    <row r="430" spans="1:14" x14ac:dyDescent="0.25">
      <c r="A430" s="2">
        <v>7492</v>
      </c>
      <c r="B430" s="2">
        <v>7601</v>
      </c>
      <c r="C430" s="2" t="s">
        <v>226</v>
      </c>
      <c r="D430" s="2">
        <v>818</v>
      </c>
      <c r="E430" s="2" t="s">
        <v>28</v>
      </c>
      <c r="F430" s="2">
        <v>6321</v>
      </c>
      <c r="G430" s="2">
        <v>1.1000000000000001</v>
      </c>
      <c r="H430" s="2">
        <v>2048</v>
      </c>
      <c r="I430" s="2" t="s">
        <v>227</v>
      </c>
      <c r="J430" s="2" t="s">
        <v>183</v>
      </c>
      <c r="K430" s="2" t="s">
        <v>183</v>
      </c>
      <c r="L430" s="2">
        <v>705</v>
      </c>
      <c r="M430" s="2" t="s">
        <v>96</v>
      </c>
      <c r="N430" s="2" t="s">
        <v>228</v>
      </c>
    </row>
    <row r="431" spans="1:14" x14ac:dyDescent="0.25">
      <c r="A431" s="2">
        <v>7493</v>
      </c>
      <c r="B431" s="2">
        <v>7601</v>
      </c>
      <c r="C431" s="2" t="s">
        <v>226</v>
      </c>
      <c r="D431" s="2">
        <v>398</v>
      </c>
      <c r="E431" s="2" t="s">
        <v>53</v>
      </c>
      <c r="F431" s="2">
        <v>5988</v>
      </c>
      <c r="G431" s="2">
        <v>1.1000000000000001</v>
      </c>
      <c r="H431" s="2">
        <v>1984</v>
      </c>
      <c r="I431" s="2" t="s">
        <v>227</v>
      </c>
      <c r="J431" s="2" t="s">
        <v>183</v>
      </c>
      <c r="K431" s="2" t="s">
        <v>183</v>
      </c>
      <c r="L431" s="2">
        <v>705</v>
      </c>
      <c r="M431" s="2" t="s">
        <v>96</v>
      </c>
      <c r="N431" s="2" t="s">
        <v>228</v>
      </c>
    </row>
    <row r="432" spans="1:14" x14ac:dyDescent="0.25">
      <c r="A432" s="2">
        <v>7494</v>
      </c>
      <c r="B432" s="2">
        <v>7601</v>
      </c>
      <c r="C432" s="2" t="s">
        <v>226</v>
      </c>
      <c r="D432" s="2">
        <v>643</v>
      </c>
      <c r="E432" s="2" t="s">
        <v>209</v>
      </c>
      <c r="F432" s="2">
        <v>4571</v>
      </c>
      <c r="G432" s="2">
        <v>0.8</v>
      </c>
      <c r="H432" s="2">
        <v>1560</v>
      </c>
      <c r="I432" s="2" t="s">
        <v>227</v>
      </c>
      <c r="J432" s="2" t="s">
        <v>183</v>
      </c>
      <c r="K432" s="2" t="s">
        <v>183</v>
      </c>
      <c r="L432" s="2">
        <v>705</v>
      </c>
      <c r="M432" s="2" t="s">
        <v>96</v>
      </c>
      <c r="N432" s="2" t="s">
        <v>228</v>
      </c>
    </row>
    <row r="433" spans="1:14" x14ac:dyDescent="0.25">
      <c r="A433" s="2">
        <v>7495</v>
      </c>
      <c r="B433" s="2">
        <v>7601</v>
      </c>
      <c r="C433" s="2" t="s">
        <v>226</v>
      </c>
      <c r="D433" s="2">
        <v>784</v>
      </c>
      <c r="E433" s="2" t="s">
        <v>109</v>
      </c>
      <c r="F433" s="2">
        <v>4517</v>
      </c>
      <c r="G433" s="2">
        <v>0.8</v>
      </c>
      <c r="H433" s="2">
        <v>1231</v>
      </c>
      <c r="I433" s="2" t="s">
        <v>227</v>
      </c>
      <c r="J433" s="2" t="s">
        <v>183</v>
      </c>
      <c r="K433" s="2" t="s">
        <v>183</v>
      </c>
      <c r="L433" s="2">
        <v>705</v>
      </c>
      <c r="M433" s="2" t="s">
        <v>96</v>
      </c>
      <c r="N433" s="2" t="s">
        <v>228</v>
      </c>
    </row>
    <row r="434" spans="1:14" x14ac:dyDescent="0.25">
      <c r="A434" s="2">
        <v>7496</v>
      </c>
      <c r="B434" s="2">
        <v>7601</v>
      </c>
      <c r="C434" s="2" t="s">
        <v>226</v>
      </c>
      <c r="D434" s="2">
        <v>682</v>
      </c>
      <c r="E434" s="2" t="s">
        <v>90</v>
      </c>
      <c r="F434" s="2">
        <v>4069</v>
      </c>
      <c r="G434" s="2">
        <v>0.7</v>
      </c>
      <c r="H434" s="2">
        <v>1153</v>
      </c>
      <c r="I434" s="2" t="s">
        <v>227</v>
      </c>
      <c r="J434" s="2" t="s">
        <v>183</v>
      </c>
      <c r="K434" s="2" t="s">
        <v>183</v>
      </c>
      <c r="L434" s="2">
        <v>705</v>
      </c>
      <c r="M434" s="2" t="s">
        <v>96</v>
      </c>
      <c r="N434" s="2" t="s">
        <v>228</v>
      </c>
    </row>
    <row r="435" spans="1:14" x14ac:dyDescent="0.25">
      <c r="A435" s="2">
        <v>7497</v>
      </c>
      <c r="B435" s="2">
        <v>7601</v>
      </c>
      <c r="C435" s="2" t="s">
        <v>226</v>
      </c>
      <c r="D435" s="2">
        <v>40</v>
      </c>
      <c r="E435" s="2" t="s">
        <v>5</v>
      </c>
      <c r="F435" s="2">
        <v>3831</v>
      </c>
      <c r="G435" s="2">
        <v>0.7</v>
      </c>
      <c r="H435" s="2">
        <v>1553</v>
      </c>
      <c r="I435" s="2" t="s">
        <v>227</v>
      </c>
      <c r="J435" s="2" t="s">
        <v>183</v>
      </c>
      <c r="K435" s="2" t="s">
        <v>183</v>
      </c>
      <c r="L435" s="2">
        <v>705</v>
      </c>
      <c r="M435" s="2" t="s">
        <v>96</v>
      </c>
      <c r="N435" s="2" t="s">
        <v>228</v>
      </c>
    </row>
    <row r="436" spans="1:14" x14ac:dyDescent="0.25">
      <c r="A436" s="2">
        <v>7498</v>
      </c>
      <c r="B436" s="2">
        <v>7601</v>
      </c>
      <c r="C436" s="2" t="s">
        <v>226</v>
      </c>
      <c r="D436" s="2">
        <v>352</v>
      </c>
      <c r="E436" s="2" t="s">
        <v>44</v>
      </c>
      <c r="F436" s="2">
        <v>2235</v>
      </c>
      <c r="G436" s="2">
        <v>0.4</v>
      </c>
      <c r="H436" s="2">
        <v>583</v>
      </c>
      <c r="I436" s="2" t="s">
        <v>227</v>
      </c>
      <c r="J436" s="2" t="s">
        <v>183</v>
      </c>
      <c r="K436" s="2" t="s">
        <v>183</v>
      </c>
      <c r="L436" s="2">
        <v>705</v>
      </c>
      <c r="M436" s="2" t="s">
        <v>96</v>
      </c>
      <c r="N436" s="2" t="s">
        <v>228</v>
      </c>
    </row>
    <row r="437" spans="1:14" x14ac:dyDescent="0.25">
      <c r="A437" s="2">
        <v>7499</v>
      </c>
      <c r="B437" s="2">
        <v>7601</v>
      </c>
      <c r="C437" s="2" t="s">
        <v>226</v>
      </c>
      <c r="D437" s="2">
        <v>710</v>
      </c>
      <c r="E437" s="2" t="s">
        <v>97</v>
      </c>
      <c r="F437" s="2">
        <v>2046</v>
      </c>
      <c r="G437" s="2">
        <v>0.4</v>
      </c>
      <c r="H437" s="2">
        <v>558</v>
      </c>
      <c r="I437" s="2" t="s">
        <v>227</v>
      </c>
      <c r="J437" s="2" t="s">
        <v>183</v>
      </c>
      <c r="K437" s="2" t="s">
        <v>183</v>
      </c>
      <c r="L437" s="2">
        <v>705</v>
      </c>
      <c r="M437" s="2" t="s">
        <v>96</v>
      </c>
      <c r="N437" s="2" t="s">
        <v>228</v>
      </c>
    </row>
    <row r="438" spans="1:14" x14ac:dyDescent="0.25">
      <c r="A438" s="2">
        <v>7500</v>
      </c>
      <c r="B438" s="2">
        <v>7601</v>
      </c>
      <c r="C438" s="2" t="s">
        <v>226</v>
      </c>
      <c r="D438" s="2">
        <v>752</v>
      </c>
      <c r="E438" s="2" t="s">
        <v>100</v>
      </c>
      <c r="F438" s="2">
        <v>1728</v>
      </c>
      <c r="G438" s="2">
        <v>0.3</v>
      </c>
      <c r="H438" s="2">
        <v>462</v>
      </c>
      <c r="I438" s="2" t="s">
        <v>227</v>
      </c>
      <c r="J438" s="2" t="s">
        <v>183</v>
      </c>
      <c r="K438" s="2" t="s">
        <v>183</v>
      </c>
      <c r="L438" s="2">
        <v>705</v>
      </c>
      <c r="M438" s="2" t="s">
        <v>96</v>
      </c>
      <c r="N438" s="2" t="s">
        <v>228</v>
      </c>
    </row>
    <row r="439" spans="1:14" x14ac:dyDescent="0.25">
      <c r="A439" s="2">
        <v>7501</v>
      </c>
      <c r="B439" s="2">
        <v>7601</v>
      </c>
      <c r="C439" s="2" t="s">
        <v>226</v>
      </c>
      <c r="D439" s="2">
        <v>705</v>
      </c>
      <c r="E439" s="2" t="s">
        <v>96</v>
      </c>
      <c r="F439" s="2">
        <v>1686</v>
      </c>
      <c r="G439" s="2">
        <v>0.3</v>
      </c>
      <c r="H439" s="2">
        <v>540</v>
      </c>
      <c r="I439" s="2" t="s">
        <v>227</v>
      </c>
      <c r="J439" s="2" t="s">
        <v>183</v>
      </c>
      <c r="K439" s="2" t="s">
        <v>183</v>
      </c>
      <c r="L439" s="2">
        <v>705</v>
      </c>
      <c r="M439" s="2" t="s">
        <v>96</v>
      </c>
      <c r="N439" s="2" t="s">
        <v>228</v>
      </c>
    </row>
    <row r="440" spans="1:14" x14ac:dyDescent="0.25">
      <c r="A440" s="2">
        <v>7503</v>
      </c>
      <c r="B440" s="2">
        <v>7601</v>
      </c>
      <c r="C440" s="2" t="s">
        <v>226</v>
      </c>
      <c r="D440" s="2">
        <v>36</v>
      </c>
      <c r="E440" s="2" t="s">
        <v>4</v>
      </c>
      <c r="F440" s="2">
        <v>683049</v>
      </c>
      <c r="G440" s="2">
        <v>15.1</v>
      </c>
      <c r="H440" s="2">
        <v>235233</v>
      </c>
      <c r="I440" s="2" t="s">
        <v>227</v>
      </c>
      <c r="J440" s="2" t="s">
        <v>183</v>
      </c>
      <c r="K440" s="2" t="s">
        <v>183</v>
      </c>
      <c r="L440" s="2">
        <v>410</v>
      </c>
      <c r="M440" s="2" t="s">
        <v>230</v>
      </c>
      <c r="N440" s="2" t="s">
        <v>228</v>
      </c>
    </row>
    <row r="441" spans="1:14" x14ac:dyDescent="0.25">
      <c r="A441" s="2">
        <v>7504</v>
      </c>
      <c r="B441" s="2">
        <v>7601</v>
      </c>
      <c r="C441" s="2" t="s">
        <v>226</v>
      </c>
      <c r="D441" s="2">
        <v>458</v>
      </c>
      <c r="E441" s="2" t="s">
        <v>66</v>
      </c>
      <c r="F441" s="2">
        <v>435009</v>
      </c>
      <c r="G441" s="2">
        <v>9.6</v>
      </c>
      <c r="H441" s="2">
        <v>153550</v>
      </c>
      <c r="I441" s="2" t="s">
        <v>227</v>
      </c>
      <c r="J441" s="2" t="s">
        <v>183</v>
      </c>
      <c r="K441" s="2" t="s">
        <v>183</v>
      </c>
      <c r="L441" s="2">
        <v>410</v>
      </c>
      <c r="M441" s="2" t="s">
        <v>230</v>
      </c>
      <c r="N441" s="2" t="s">
        <v>228</v>
      </c>
    </row>
    <row r="442" spans="1:14" x14ac:dyDescent="0.25">
      <c r="A442" s="2">
        <v>7505</v>
      </c>
      <c r="B442" s="2">
        <v>7601</v>
      </c>
      <c r="C442" s="2" t="s">
        <v>226</v>
      </c>
      <c r="D442" s="2">
        <v>643</v>
      </c>
      <c r="E442" s="2" t="s">
        <v>209</v>
      </c>
      <c r="F442" s="2">
        <v>407765</v>
      </c>
      <c r="G442" s="2">
        <v>9</v>
      </c>
      <c r="H442" s="2">
        <v>140087</v>
      </c>
      <c r="I442" s="2" t="s">
        <v>227</v>
      </c>
      <c r="J442" s="2" t="s">
        <v>183</v>
      </c>
      <c r="K442" s="2" t="s">
        <v>183</v>
      </c>
      <c r="L442" s="2">
        <v>410</v>
      </c>
      <c r="M442" s="2" t="s">
        <v>230</v>
      </c>
      <c r="N442" s="2" t="s">
        <v>228</v>
      </c>
    </row>
    <row r="443" spans="1:14" x14ac:dyDescent="0.25">
      <c r="A443" s="2">
        <v>7506</v>
      </c>
      <c r="B443" s="2">
        <v>7601</v>
      </c>
      <c r="C443" s="2" t="s">
        <v>226</v>
      </c>
      <c r="D443" s="2">
        <v>784</v>
      </c>
      <c r="E443" s="2" t="s">
        <v>109</v>
      </c>
      <c r="F443" s="2">
        <v>338469</v>
      </c>
      <c r="G443" s="2">
        <v>7.5</v>
      </c>
      <c r="H443" s="2">
        <v>109576</v>
      </c>
      <c r="I443" s="2" t="s">
        <v>227</v>
      </c>
      <c r="J443" s="2" t="s">
        <v>183</v>
      </c>
      <c r="K443" s="2" t="s">
        <v>183</v>
      </c>
      <c r="L443" s="2">
        <v>410</v>
      </c>
      <c r="M443" s="2" t="s">
        <v>230</v>
      </c>
      <c r="N443" s="2" t="s">
        <v>228</v>
      </c>
    </row>
    <row r="444" spans="1:14" x14ac:dyDescent="0.25">
      <c r="A444" s="2">
        <v>7507</v>
      </c>
      <c r="B444" s="2">
        <v>7601</v>
      </c>
      <c r="C444" s="2" t="s">
        <v>226</v>
      </c>
      <c r="D444" s="2">
        <v>634</v>
      </c>
      <c r="E444" s="2" t="s">
        <v>88</v>
      </c>
      <c r="F444" s="2">
        <v>287202</v>
      </c>
      <c r="G444" s="2">
        <v>6.4</v>
      </c>
      <c r="H444" s="2">
        <v>93746</v>
      </c>
      <c r="I444" s="2" t="s">
        <v>227</v>
      </c>
      <c r="J444" s="2" t="s">
        <v>183</v>
      </c>
      <c r="K444" s="2" t="s">
        <v>183</v>
      </c>
      <c r="L444" s="2">
        <v>410</v>
      </c>
      <c r="M444" s="2" t="s">
        <v>230</v>
      </c>
      <c r="N444" s="2" t="s">
        <v>228</v>
      </c>
    </row>
    <row r="445" spans="1:14" x14ac:dyDescent="0.25">
      <c r="A445" s="2">
        <v>7508</v>
      </c>
      <c r="B445" s="2">
        <v>7601</v>
      </c>
      <c r="C445" s="2" t="s">
        <v>226</v>
      </c>
      <c r="D445" s="2">
        <v>554</v>
      </c>
      <c r="E445" s="2" t="s">
        <v>76</v>
      </c>
      <c r="F445" s="2">
        <v>234661</v>
      </c>
      <c r="G445" s="2">
        <v>5.2</v>
      </c>
      <c r="H445" s="2">
        <v>76327</v>
      </c>
      <c r="I445" s="2" t="s">
        <v>227</v>
      </c>
      <c r="J445" s="2" t="s">
        <v>183</v>
      </c>
      <c r="K445" s="2" t="s">
        <v>183</v>
      </c>
      <c r="L445" s="2">
        <v>410</v>
      </c>
      <c r="M445" s="2" t="s">
        <v>230</v>
      </c>
      <c r="N445" s="2" t="s">
        <v>228</v>
      </c>
    </row>
    <row r="446" spans="1:14" x14ac:dyDescent="0.25">
      <c r="A446" s="2">
        <v>7509</v>
      </c>
      <c r="B446" s="2">
        <v>7601</v>
      </c>
      <c r="C446" s="2" t="s">
        <v>226</v>
      </c>
      <c r="D446" s="2">
        <v>48</v>
      </c>
      <c r="E446" s="2" t="s">
        <v>7</v>
      </c>
      <c r="F446" s="2">
        <v>218856</v>
      </c>
      <c r="G446" s="2">
        <v>4.8</v>
      </c>
      <c r="H446" s="2">
        <v>69674</v>
      </c>
      <c r="I446" s="2" t="s">
        <v>227</v>
      </c>
      <c r="J446" s="2" t="s">
        <v>183</v>
      </c>
      <c r="K446" s="2" t="s">
        <v>183</v>
      </c>
      <c r="L446" s="2">
        <v>410</v>
      </c>
      <c r="M446" s="2" t="s">
        <v>230</v>
      </c>
      <c r="N446" s="2" t="s">
        <v>228</v>
      </c>
    </row>
    <row r="447" spans="1:14" x14ac:dyDescent="0.25">
      <c r="A447" s="2">
        <v>7510</v>
      </c>
      <c r="B447" s="2">
        <v>7601</v>
      </c>
      <c r="C447" s="2" t="s">
        <v>226</v>
      </c>
      <c r="D447" s="2">
        <v>682</v>
      </c>
      <c r="E447" s="2" t="s">
        <v>90</v>
      </c>
      <c r="F447" s="2">
        <v>123768</v>
      </c>
      <c r="G447" s="2">
        <v>2.7</v>
      </c>
      <c r="H447" s="2">
        <v>43036</v>
      </c>
      <c r="I447" s="2" t="s">
        <v>227</v>
      </c>
      <c r="J447" s="2" t="s">
        <v>183</v>
      </c>
      <c r="K447" s="2" t="s">
        <v>183</v>
      </c>
      <c r="L447" s="2">
        <v>410</v>
      </c>
      <c r="M447" s="2" t="s">
        <v>230</v>
      </c>
      <c r="N447" s="2" t="s">
        <v>228</v>
      </c>
    </row>
    <row r="448" spans="1:14" x14ac:dyDescent="0.25">
      <c r="A448" s="2">
        <v>7511</v>
      </c>
      <c r="B448" s="2">
        <v>7601</v>
      </c>
      <c r="C448" s="2" t="s">
        <v>226</v>
      </c>
      <c r="D448" s="2">
        <v>156</v>
      </c>
      <c r="E448" s="2" t="s">
        <v>18</v>
      </c>
      <c r="F448" s="2">
        <v>89768</v>
      </c>
      <c r="G448" s="2">
        <v>2</v>
      </c>
      <c r="H448" s="2">
        <v>27036</v>
      </c>
      <c r="I448" s="2" t="s">
        <v>227</v>
      </c>
      <c r="J448" s="2" t="s">
        <v>183</v>
      </c>
      <c r="K448" s="2" t="s">
        <v>183</v>
      </c>
      <c r="L448" s="2">
        <v>410</v>
      </c>
      <c r="M448" s="2" t="s">
        <v>230</v>
      </c>
      <c r="N448" s="2" t="s">
        <v>228</v>
      </c>
    </row>
    <row r="449" spans="1:14" x14ac:dyDescent="0.25">
      <c r="A449" s="2">
        <v>7512</v>
      </c>
      <c r="B449" s="2">
        <v>7601</v>
      </c>
      <c r="C449" s="2" t="s">
        <v>226</v>
      </c>
      <c r="D449" s="2">
        <v>276</v>
      </c>
      <c r="E449" s="2" t="s">
        <v>37</v>
      </c>
      <c r="F449" s="2">
        <v>30429</v>
      </c>
      <c r="G449" s="2">
        <v>0.7</v>
      </c>
      <c r="H449" s="2">
        <v>8872</v>
      </c>
      <c r="I449" s="2" t="s">
        <v>227</v>
      </c>
      <c r="J449" s="2" t="s">
        <v>183</v>
      </c>
      <c r="K449" s="2" t="s">
        <v>183</v>
      </c>
      <c r="L449" s="2">
        <v>410</v>
      </c>
      <c r="M449" s="2" t="s">
        <v>230</v>
      </c>
      <c r="N449" s="2" t="s">
        <v>228</v>
      </c>
    </row>
    <row r="450" spans="1:14" x14ac:dyDescent="0.25">
      <c r="A450" s="2">
        <v>7513</v>
      </c>
      <c r="B450" s="2">
        <v>7601</v>
      </c>
      <c r="C450" s="2" t="s">
        <v>226</v>
      </c>
      <c r="D450" s="2">
        <v>392</v>
      </c>
      <c r="E450" s="2" t="s">
        <v>51</v>
      </c>
      <c r="F450" s="2">
        <v>25426</v>
      </c>
      <c r="G450" s="2">
        <v>0.6</v>
      </c>
      <c r="H450" s="2">
        <v>6098</v>
      </c>
      <c r="I450" s="2" t="s">
        <v>227</v>
      </c>
      <c r="J450" s="2" t="s">
        <v>183</v>
      </c>
      <c r="K450" s="2" t="s">
        <v>183</v>
      </c>
      <c r="L450" s="2">
        <v>410</v>
      </c>
      <c r="M450" s="2" t="s">
        <v>230</v>
      </c>
      <c r="N450" s="2" t="s">
        <v>228</v>
      </c>
    </row>
    <row r="451" spans="1:14" x14ac:dyDescent="0.25">
      <c r="A451" s="2">
        <v>7389</v>
      </c>
      <c r="B451" s="2">
        <v>7601</v>
      </c>
      <c r="C451" s="2" t="s">
        <v>226</v>
      </c>
      <c r="D451" s="2">
        <v>392</v>
      </c>
      <c r="E451" s="2" t="s">
        <v>51</v>
      </c>
      <c r="F451" s="2">
        <v>779</v>
      </c>
      <c r="G451" s="2">
        <v>0</v>
      </c>
      <c r="H451" s="2">
        <v>194</v>
      </c>
      <c r="I451" s="2" t="s">
        <v>227</v>
      </c>
      <c r="J451" s="2" t="s">
        <v>183</v>
      </c>
      <c r="K451" s="2" t="s">
        <v>183</v>
      </c>
      <c r="L451" s="2">
        <v>484</v>
      </c>
      <c r="M451" s="2" t="s">
        <v>70</v>
      </c>
      <c r="N451" s="2" t="s">
        <v>228</v>
      </c>
    </row>
    <row r="452" spans="1:14" x14ac:dyDescent="0.25">
      <c r="A452" s="2">
        <v>7514</v>
      </c>
      <c r="B452" s="2">
        <v>7601</v>
      </c>
      <c r="C452" s="2" t="s">
        <v>226</v>
      </c>
      <c r="D452" s="2">
        <v>512</v>
      </c>
      <c r="E452" s="2" t="s">
        <v>80</v>
      </c>
      <c r="F452" s="2">
        <v>14146</v>
      </c>
      <c r="G452" s="2">
        <v>0.3</v>
      </c>
      <c r="H452" s="2">
        <v>4571</v>
      </c>
      <c r="I452" s="2" t="s">
        <v>227</v>
      </c>
      <c r="J452" s="2" t="s">
        <v>183</v>
      </c>
      <c r="K452" s="2" t="s">
        <v>183</v>
      </c>
      <c r="L452" s="2">
        <v>410</v>
      </c>
      <c r="M452" s="2" t="s">
        <v>230</v>
      </c>
      <c r="N452" s="2" t="s">
        <v>228</v>
      </c>
    </row>
    <row r="453" spans="1:14" x14ac:dyDescent="0.25">
      <c r="A453" s="2">
        <v>7515</v>
      </c>
      <c r="B453" s="2">
        <v>7601</v>
      </c>
      <c r="C453" s="2" t="s">
        <v>226</v>
      </c>
      <c r="D453" s="2">
        <v>704</v>
      </c>
      <c r="E453" s="2" t="s">
        <v>232</v>
      </c>
      <c r="F453" s="2">
        <v>11014</v>
      </c>
      <c r="G453" s="2">
        <v>0.2</v>
      </c>
      <c r="H453" s="2">
        <v>4346</v>
      </c>
      <c r="I453" s="2" t="s">
        <v>227</v>
      </c>
      <c r="J453" s="2" t="s">
        <v>183</v>
      </c>
      <c r="K453" s="2" t="s">
        <v>183</v>
      </c>
      <c r="L453" s="2">
        <v>410</v>
      </c>
      <c r="M453" s="2" t="s">
        <v>230</v>
      </c>
      <c r="N453" s="2" t="s">
        <v>228</v>
      </c>
    </row>
    <row r="454" spans="1:14" x14ac:dyDescent="0.25">
      <c r="A454" s="2">
        <v>7517</v>
      </c>
      <c r="B454" s="2">
        <v>7601</v>
      </c>
      <c r="C454" s="2" t="s">
        <v>226</v>
      </c>
      <c r="D454" s="2">
        <v>842</v>
      </c>
      <c r="E454" s="2" t="s">
        <v>229</v>
      </c>
      <c r="F454" s="2">
        <v>6754</v>
      </c>
      <c r="G454" s="2">
        <v>0.1</v>
      </c>
      <c r="H454" s="2">
        <v>2745</v>
      </c>
      <c r="I454" s="2" t="s">
        <v>227</v>
      </c>
      <c r="J454" s="2" t="s">
        <v>183</v>
      </c>
      <c r="K454" s="2" t="s">
        <v>183</v>
      </c>
      <c r="L454" s="2">
        <v>410</v>
      </c>
      <c r="M454" s="2" t="s">
        <v>230</v>
      </c>
      <c r="N454" s="2" t="s">
        <v>228</v>
      </c>
    </row>
    <row r="455" spans="1:14" x14ac:dyDescent="0.25">
      <c r="A455" s="2">
        <v>7516</v>
      </c>
      <c r="B455" s="2">
        <v>7601</v>
      </c>
      <c r="C455" s="2" t="s">
        <v>226</v>
      </c>
      <c r="D455" s="2">
        <v>158</v>
      </c>
      <c r="E455" s="2" t="s">
        <v>233</v>
      </c>
      <c r="F455" s="2">
        <v>6965</v>
      </c>
      <c r="G455" s="2">
        <v>0.2</v>
      </c>
      <c r="H455" s="2">
        <v>2150</v>
      </c>
      <c r="I455" s="2" t="s">
        <v>227</v>
      </c>
      <c r="J455" s="2" t="s">
        <v>183</v>
      </c>
      <c r="K455" s="2" t="s">
        <v>183</v>
      </c>
      <c r="L455" s="2">
        <v>410</v>
      </c>
      <c r="M455" s="2" t="s">
        <v>230</v>
      </c>
      <c r="N455" s="2" t="s">
        <v>228</v>
      </c>
    </row>
    <row r="456" spans="1:14" x14ac:dyDescent="0.25">
      <c r="A456" s="2">
        <v>7518</v>
      </c>
      <c r="B456" s="2">
        <v>7601</v>
      </c>
      <c r="C456" s="2" t="s">
        <v>226</v>
      </c>
      <c r="D456" s="2">
        <v>360</v>
      </c>
      <c r="E456" s="2" t="s">
        <v>46</v>
      </c>
      <c r="F456" s="2">
        <v>2473</v>
      </c>
      <c r="G456" s="2">
        <v>0.1</v>
      </c>
      <c r="H456" s="2">
        <v>933</v>
      </c>
      <c r="I456" s="2" t="s">
        <v>227</v>
      </c>
      <c r="J456" s="2" t="s">
        <v>183</v>
      </c>
      <c r="K456" s="2" t="s">
        <v>183</v>
      </c>
      <c r="L456" s="2">
        <v>410</v>
      </c>
      <c r="M456" s="2" t="s">
        <v>230</v>
      </c>
      <c r="N456" s="2" t="s">
        <v>228</v>
      </c>
    </row>
    <row r="457" spans="1:14" x14ac:dyDescent="0.25">
      <c r="A457" s="2">
        <v>7519</v>
      </c>
      <c r="B457" s="2">
        <v>7601</v>
      </c>
      <c r="C457" s="2" t="s">
        <v>226</v>
      </c>
      <c r="D457" s="2">
        <v>508</v>
      </c>
      <c r="E457" s="2" t="s">
        <v>123</v>
      </c>
      <c r="F457" s="2">
        <v>1562</v>
      </c>
      <c r="G457" s="2">
        <v>0</v>
      </c>
      <c r="H457" s="2">
        <v>489</v>
      </c>
      <c r="I457" s="2" t="s">
        <v>227</v>
      </c>
      <c r="J457" s="2" t="s">
        <v>183</v>
      </c>
      <c r="K457" s="2" t="s">
        <v>183</v>
      </c>
      <c r="L457" s="2">
        <v>410</v>
      </c>
      <c r="M457" s="2" t="s">
        <v>230</v>
      </c>
      <c r="N457" s="2" t="s">
        <v>228</v>
      </c>
    </row>
    <row r="458" spans="1:14" x14ac:dyDescent="0.25">
      <c r="A458" s="2">
        <v>7520</v>
      </c>
      <c r="B458" s="2">
        <v>7601</v>
      </c>
      <c r="C458" s="2" t="s">
        <v>226</v>
      </c>
      <c r="D458" s="2">
        <v>752</v>
      </c>
      <c r="E458" s="2" t="s">
        <v>100</v>
      </c>
      <c r="F458" s="2">
        <v>1085</v>
      </c>
      <c r="G458" s="2">
        <v>0</v>
      </c>
      <c r="H458" s="2">
        <v>387</v>
      </c>
      <c r="I458" s="2" t="s">
        <v>227</v>
      </c>
      <c r="J458" s="2" t="s">
        <v>183</v>
      </c>
      <c r="K458" s="2" t="s">
        <v>183</v>
      </c>
      <c r="L458" s="2">
        <v>410</v>
      </c>
      <c r="M458" s="2" t="s">
        <v>230</v>
      </c>
      <c r="N458" s="2" t="s">
        <v>228</v>
      </c>
    </row>
    <row r="459" spans="1:14" x14ac:dyDescent="0.25">
      <c r="A459" s="2">
        <v>7521</v>
      </c>
      <c r="B459" s="2">
        <v>7601</v>
      </c>
      <c r="C459" s="2" t="s">
        <v>226</v>
      </c>
      <c r="D459" s="2">
        <v>566</v>
      </c>
      <c r="E459" s="2" t="s">
        <v>78</v>
      </c>
      <c r="F459" s="2">
        <v>788</v>
      </c>
      <c r="G459" s="2">
        <v>0</v>
      </c>
      <c r="H459" s="2">
        <v>295</v>
      </c>
      <c r="I459" s="2" t="s">
        <v>227</v>
      </c>
      <c r="J459" s="2" t="s">
        <v>183</v>
      </c>
      <c r="K459" s="2" t="s">
        <v>183</v>
      </c>
      <c r="L459" s="2">
        <v>410</v>
      </c>
      <c r="M459" s="2" t="s">
        <v>230</v>
      </c>
      <c r="N459" s="2" t="s">
        <v>228</v>
      </c>
    </row>
    <row r="460" spans="1:14" x14ac:dyDescent="0.25">
      <c r="A460" s="2">
        <v>7522</v>
      </c>
      <c r="B460" s="2">
        <v>7601</v>
      </c>
      <c r="C460" s="2" t="s">
        <v>226</v>
      </c>
      <c r="D460" s="2">
        <v>428</v>
      </c>
      <c r="E460" s="2" t="s">
        <v>58</v>
      </c>
      <c r="F460" s="2">
        <v>593</v>
      </c>
      <c r="G460" s="2">
        <v>0</v>
      </c>
      <c r="H460" s="2">
        <v>219</v>
      </c>
      <c r="I460" s="2" t="s">
        <v>227</v>
      </c>
      <c r="J460" s="2" t="s">
        <v>183</v>
      </c>
      <c r="K460" s="2" t="s">
        <v>183</v>
      </c>
      <c r="L460" s="2">
        <v>410</v>
      </c>
      <c r="M460" s="2" t="s">
        <v>230</v>
      </c>
      <c r="N460" s="2" t="s">
        <v>228</v>
      </c>
    </row>
    <row r="461" spans="1:14" x14ac:dyDescent="0.25">
      <c r="A461" s="2">
        <v>7523</v>
      </c>
      <c r="B461" s="2">
        <v>7601</v>
      </c>
      <c r="C461" s="2" t="s">
        <v>226</v>
      </c>
      <c r="D461" s="2">
        <v>484</v>
      </c>
      <c r="E461" s="2" t="s">
        <v>70</v>
      </c>
      <c r="F461" s="2">
        <v>553</v>
      </c>
      <c r="G461" s="2">
        <v>0</v>
      </c>
      <c r="H461" s="2">
        <v>192</v>
      </c>
      <c r="I461" s="2" t="s">
        <v>227</v>
      </c>
      <c r="J461" s="2" t="s">
        <v>183</v>
      </c>
      <c r="K461" s="2" t="s">
        <v>183</v>
      </c>
      <c r="L461" s="2">
        <v>410</v>
      </c>
      <c r="M461" s="2" t="s">
        <v>230</v>
      </c>
      <c r="N461" s="2" t="s">
        <v>228</v>
      </c>
    </row>
    <row r="462" spans="1:14" x14ac:dyDescent="0.25">
      <c r="A462" s="2">
        <v>7524</v>
      </c>
      <c r="B462" s="2">
        <v>7601</v>
      </c>
      <c r="C462" s="2" t="s">
        <v>226</v>
      </c>
      <c r="D462" s="2">
        <v>724</v>
      </c>
      <c r="E462" s="2" t="s">
        <v>98</v>
      </c>
      <c r="F462" s="2">
        <v>484</v>
      </c>
      <c r="G462" s="2">
        <v>0</v>
      </c>
      <c r="H462" s="2">
        <v>173</v>
      </c>
      <c r="I462" s="2" t="s">
        <v>227</v>
      </c>
      <c r="J462" s="2" t="s">
        <v>183</v>
      </c>
      <c r="K462" s="2" t="s">
        <v>183</v>
      </c>
      <c r="L462" s="2">
        <v>410</v>
      </c>
      <c r="M462" s="2" t="s">
        <v>230</v>
      </c>
      <c r="N462" s="2" t="s">
        <v>228</v>
      </c>
    </row>
    <row r="463" spans="1:14" x14ac:dyDescent="0.25">
      <c r="A463" s="2">
        <v>7525</v>
      </c>
      <c r="B463" s="2">
        <v>7601</v>
      </c>
      <c r="C463" s="2" t="s">
        <v>226</v>
      </c>
      <c r="D463" s="2">
        <v>826</v>
      </c>
      <c r="E463" s="2" t="s">
        <v>110</v>
      </c>
      <c r="F463" s="2">
        <v>288</v>
      </c>
      <c r="G463" s="2">
        <v>0</v>
      </c>
      <c r="H463" s="2">
        <v>77</v>
      </c>
      <c r="I463" s="2" t="s">
        <v>227</v>
      </c>
      <c r="J463" s="2" t="s">
        <v>183</v>
      </c>
      <c r="K463" s="2" t="s">
        <v>183</v>
      </c>
      <c r="L463" s="2">
        <v>410</v>
      </c>
      <c r="M463" s="2" t="s">
        <v>230</v>
      </c>
      <c r="N463" s="2" t="s">
        <v>228</v>
      </c>
    </row>
    <row r="464" spans="1:14" x14ac:dyDescent="0.25">
      <c r="A464" s="2">
        <v>7526</v>
      </c>
      <c r="B464" s="2">
        <v>7601</v>
      </c>
      <c r="C464" s="2" t="s">
        <v>226</v>
      </c>
      <c r="D464" s="2">
        <v>528</v>
      </c>
      <c r="E464" s="2" t="s">
        <v>75</v>
      </c>
      <c r="F464" s="2">
        <v>597201</v>
      </c>
      <c r="G464" s="2">
        <v>24.6</v>
      </c>
      <c r="H464" s="2">
        <v>169747</v>
      </c>
      <c r="I464" s="2" t="s">
        <v>227</v>
      </c>
      <c r="J464" s="2" t="s">
        <v>183</v>
      </c>
      <c r="K464" s="2" t="s">
        <v>183</v>
      </c>
      <c r="L464" s="2">
        <v>724</v>
      </c>
      <c r="M464" s="2" t="s">
        <v>98</v>
      </c>
      <c r="N464" s="2" t="s">
        <v>228</v>
      </c>
    </row>
    <row r="465" spans="1:14" x14ac:dyDescent="0.25">
      <c r="A465" s="2">
        <v>7527</v>
      </c>
      <c r="B465" s="2">
        <v>7601</v>
      </c>
      <c r="C465" s="2" t="s">
        <v>226</v>
      </c>
      <c r="D465" s="2">
        <v>48</v>
      </c>
      <c r="E465" s="2" t="s">
        <v>7</v>
      </c>
      <c r="F465" s="2">
        <v>332529</v>
      </c>
      <c r="G465" s="2">
        <v>13.7</v>
      </c>
      <c r="H465" s="2">
        <v>92086</v>
      </c>
      <c r="I465" s="2" t="s">
        <v>227</v>
      </c>
      <c r="J465" s="2" t="s">
        <v>183</v>
      </c>
      <c r="K465" s="2" t="s">
        <v>183</v>
      </c>
      <c r="L465" s="2">
        <v>724</v>
      </c>
      <c r="M465" s="2" t="s">
        <v>98</v>
      </c>
      <c r="N465" s="2" t="s">
        <v>228</v>
      </c>
    </row>
    <row r="466" spans="1:14" x14ac:dyDescent="0.25">
      <c r="A466" s="2">
        <v>7528</v>
      </c>
      <c r="B466" s="2">
        <v>7601</v>
      </c>
      <c r="C466" s="2" t="s">
        <v>226</v>
      </c>
      <c r="D466" s="2">
        <v>508</v>
      </c>
      <c r="E466" s="2" t="s">
        <v>123</v>
      </c>
      <c r="F466" s="2">
        <v>305187</v>
      </c>
      <c r="G466" s="2">
        <v>12.6</v>
      </c>
      <c r="H466" s="2">
        <v>98401</v>
      </c>
      <c r="I466" s="2" t="s">
        <v>227</v>
      </c>
      <c r="J466" s="2" t="s">
        <v>183</v>
      </c>
      <c r="K466" s="2" t="s">
        <v>183</v>
      </c>
      <c r="L466" s="2">
        <v>724</v>
      </c>
      <c r="M466" s="2" t="s">
        <v>98</v>
      </c>
      <c r="N466" s="2" t="s">
        <v>228</v>
      </c>
    </row>
    <row r="467" spans="1:14" x14ac:dyDescent="0.25">
      <c r="A467" s="2">
        <v>7529</v>
      </c>
      <c r="B467" s="2">
        <v>7601</v>
      </c>
      <c r="C467" s="2" t="s">
        <v>226</v>
      </c>
      <c r="D467" s="2">
        <v>784</v>
      </c>
      <c r="E467" s="2" t="s">
        <v>109</v>
      </c>
      <c r="F467" s="2">
        <v>200666</v>
      </c>
      <c r="G467" s="2">
        <v>8.3000000000000007</v>
      </c>
      <c r="H467" s="2">
        <v>55418</v>
      </c>
      <c r="I467" s="2" t="s">
        <v>227</v>
      </c>
      <c r="J467" s="2" t="s">
        <v>183</v>
      </c>
      <c r="K467" s="2" t="s">
        <v>183</v>
      </c>
      <c r="L467" s="2">
        <v>724</v>
      </c>
      <c r="M467" s="2" t="s">
        <v>98</v>
      </c>
      <c r="N467" s="2" t="s">
        <v>228</v>
      </c>
    </row>
    <row r="468" spans="1:14" x14ac:dyDescent="0.25">
      <c r="A468" s="2">
        <v>7530</v>
      </c>
      <c r="B468" s="2">
        <v>7601</v>
      </c>
      <c r="C468" s="2" t="s">
        <v>226</v>
      </c>
      <c r="D468" s="2">
        <v>704</v>
      </c>
      <c r="E468" s="2" t="s">
        <v>232</v>
      </c>
      <c r="F468" s="2">
        <v>136521</v>
      </c>
      <c r="G468" s="2">
        <v>5.6</v>
      </c>
      <c r="H468" s="2">
        <v>38953</v>
      </c>
      <c r="I468" s="2" t="s">
        <v>227</v>
      </c>
      <c r="J468" s="2" t="s">
        <v>183</v>
      </c>
      <c r="K468" s="2" t="s">
        <v>183</v>
      </c>
      <c r="L468" s="2">
        <v>724</v>
      </c>
      <c r="M468" s="2" t="s">
        <v>98</v>
      </c>
      <c r="N468" s="2" t="s">
        <v>228</v>
      </c>
    </row>
    <row r="469" spans="1:14" x14ac:dyDescent="0.25">
      <c r="A469" s="2">
        <v>7531</v>
      </c>
      <c r="B469" s="2">
        <v>7601</v>
      </c>
      <c r="C469" s="2" t="s">
        <v>226</v>
      </c>
      <c r="D469" s="2">
        <v>699</v>
      </c>
      <c r="E469" s="2" t="s">
        <v>45</v>
      </c>
      <c r="F469" s="2">
        <v>120842</v>
      </c>
      <c r="G469" s="2">
        <v>5</v>
      </c>
      <c r="H469" s="2">
        <v>32168</v>
      </c>
      <c r="I469" s="2" t="s">
        <v>227</v>
      </c>
      <c r="J469" s="2" t="s">
        <v>183</v>
      </c>
      <c r="K469" s="2" t="s">
        <v>183</v>
      </c>
      <c r="L469" s="2">
        <v>724</v>
      </c>
      <c r="M469" s="2" t="s">
        <v>98</v>
      </c>
      <c r="N469" s="2" t="s">
        <v>228</v>
      </c>
    </row>
    <row r="470" spans="1:14" x14ac:dyDescent="0.25">
      <c r="A470" s="2">
        <v>7532</v>
      </c>
      <c r="B470" s="2">
        <v>7601</v>
      </c>
      <c r="C470" s="2" t="s">
        <v>226</v>
      </c>
      <c r="D470" s="2">
        <v>792</v>
      </c>
      <c r="E470" s="2" t="s">
        <v>107</v>
      </c>
      <c r="F470" s="2">
        <v>96024</v>
      </c>
      <c r="G470" s="2">
        <v>4</v>
      </c>
      <c r="H470" s="2">
        <v>25124</v>
      </c>
      <c r="I470" s="2" t="s">
        <v>227</v>
      </c>
      <c r="J470" s="2" t="s">
        <v>183</v>
      </c>
      <c r="K470" s="2" t="s">
        <v>183</v>
      </c>
      <c r="L470" s="2">
        <v>724</v>
      </c>
      <c r="M470" s="2" t="s">
        <v>98</v>
      </c>
      <c r="N470" s="2" t="s">
        <v>228</v>
      </c>
    </row>
    <row r="471" spans="1:14" x14ac:dyDescent="0.25">
      <c r="A471" s="2">
        <v>7533</v>
      </c>
      <c r="B471" s="2">
        <v>7601</v>
      </c>
      <c r="C471" s="2" t="s">
        <v>226</v>
      </c>
      <c r="D471" s="2">
        <v>410</v>
      </c>
      <c r="E471" s="2" t="s">
        <v>230</v>
      </c>
      <c r="F471" s="2">
        <v>80932</v>
      </c>
      <c r="G471" s="2">
        <v>3.3</v>
      </c>
      <c r="H471" s="2">
        <v>25371</v>
      </c>
      <c r="I471" s="2" t="s">
        <v>227</v>
      </c>
      <c r="J471" s="2" t="s">
        <v>183</v>
      </c>
      <c r="K471" s="2" t="s">
        <v>183</v>
      </c>
      <c r="L471" s="2">
        <v>724</v>
      </c>
      <c r="M471" s="2" t="s">
        <v>98</v>
      </c>
      <c r="N471" s="2" t="s">
        <v>228</v>
      </c>
    </row>
    <row r="472" spans="1:14" x14ac:dyDescent="0.25">
      <c r="A472" s="2">
        <v>7534</v>
      </c>
      <c r="B472" s="2">
        <v>7601</v>
      </c>
      <c r="C472" s="2" t="s">
        <v>226</v>
      </c>
      <c r="D472" s="2">
        <v>458</v>
      </c>
      <c r="E472" s="2" t="s">
        <v>66</v>
      </c>
      <c r="F472" s="2">
        <v>64687</v>
      </c>
      <c r="G472" s="2">
        <v>2.7</v>
      </c>
      <c r="H472" s="2">
        <v>17067</v>
      </c>
      <c r="I472" s="2" t="s">
        <v>227</v>
      </c>
      <c r="J472" s="2" t="s">
        <v>183</v>
      </c>
      <c r="K472" s="2" t="s">
        <v>183</v>
      </c>
      <c r="L472" s="2">
        <v>724</v>
      </c>
      <c r="M472" s="2" t="s">
        <v>98</v>
      </c>
      <c r="N472" s="2" t="s">
        <v>228</v>
      </c>
    </row>
    <row r="473" spans="1:14" x14ac:dyDescent="0.25">
      <c r="A473" s="2">
        <v>7536</v>
      </c>
      <c r="B473" s="2">
        <v>7601</v>
      </c>
      <c r="C473" s="2" t="s">
        <v>226</v>
      </c>
      <c r="D473" s="2">
        <v>682</v>
      </c>
      <c r="E473" s="2" t="s">
        <v>90</v>
      </c>
      <c r="F473" s="2">
        <v>56797</v>
      </c>
      <c r="G473" s="2">
        <v>2.2999999999999998</v>
      </c>
      <c r="H473" s="2">
        <v>16011</v>
      </c>
      <c r="I473" s="2" t="s">
        <v>227</v>
      </c>
      <c r="J473" s="2" t="s">
        <v>183</v>
      </c>
      <c r="K473" s="2" t="s">
        <v>183</v>
      </c>
      <c r="L473" s="2">
        <v>724</v>
      </c>
      <c r="M473" s="2" t="s">
        <v>98</v>
      </c>
      <c r="N473" s="2" t="s">
        <v>228</v>
      </c>
    </row>
    <row r="474" spans="1:14" x14ac:dyDescent="0.25">
      <c r="A474" s="2">
        <v>7537</v>
      </c>
      <c r="B474" s="2">
        <v>7601</v>
      </c>
      <c r="C474" s="2" t="s">
        <v>226</v>
      </c>
      <c r="D474" s="2">
        <v>620</v>
      </c>
      <c r="E474" s="2" t="s">
        <v>87</v>
      </c>
      <c r="F474" s="2">
        <v>49945</v>
      </c>
      <c r="G474" s="2">
        <v>2.1</v>
      </c>
      <c r="H474" s="2">
        <v>14130</v>
      </c>
      <c r="I474" s="2" t="s">
        <v>227</v>
      </c>
      <c r="J474" s="2" t="s">
        <v>183</v>
      </c>
      <c r="K474" s="2" t="s">
        <v>183</v>
      </c>
      <c r="L474" s="2">
        <v>724</v>
      </c>
      <c r="M474" s="2" t="s">
        <v>98</v>
      </c>
      <c r="N474" s="2" t="s">
        <v>228</v>
      </c>
    </row>
    <row r="475" spans="1:14" x14ac:dyDescent="0.25">
      <c r="A475" s="2">
        <v>7538</v>
      </c>
      <c r="B475" s="2">
        <v>7601</v>
      </c>
      <c r="C475" s="2" t="s">
        <v>226</v>
      </c>
      <c r="D475" s="2">
        <v>76</v>
      </c>
      <c r="E475" s="2" t="s">
        <v>14</v>
      </c>
      <c r="F475" s="2">
        <v>45497</v>
      </c>
      <c r="G475" s="2">
        <v>1.9</v>
      </c>
      <c r="H475" s="2">
        <v>12225</v>
      </c>
      <c r="I475" s="2" t="s">
        <v>227</v>
      </c>
      <c r="J475" s="2" t="s">
        <v>183</v>
      </c>
      <c r="K475" s="2" t="s">
        <v>183</v>
      </c>
      <c r="L475" s="2">
        <v>724</v>
      </c>
      <c r="M475" s="2" t="s">
        <v>98</v>
      </c>
      <c r="N475" s="2" t="s">
        <v>228</v>
      </c>
    </row>
    <row r="476" spans="1:14" x14ac:dyDescent="0.25">
      <c r="A476" s="2">
        <v>7539</v>
      </c>
      <c r="B476" s="2">
        <v>7601</v>
      </c>
      <c r="C476" s="2" t="s">
        <v>226</v>
      </c>
      <c r="D476" s="2">
        <v>381</v>
      </c>
      <c r="E476" s="2" t="s">
        <v>50</v>
      </c>
      <c r="F476" s="2">
        <v>33310</v>
      </c>
      <c r="G476" s="2">
        <v>1.4</v>
      </c>
      <c r="H476" s="2">
        <v>10898</v>
      </c>
      <c r="I476" s="2" t="s">
        <v>227</v>
      </c>
      <c r="J476" s="2" t="s">
        <v>183</v>
      </c>
      <c r="K476" s="2" t="s">
        <v>183</v>
      </c>
      <c r="L476" s="2">
        <v>724</v>
      </c>
      <c r="M476" s="2" t="s">
        <v>98</v>
      </c>
      <c r="N476" s="2" t="s">
        <v>228</v>
      </c>
    </row>
    <row r="477" spans="1:14" x14ac:dyDescent="0.25">
      <c r="A477" s="2">
        <v>7540</v>
      </c>
      <c r="B477" s="2">
        <v>7601</v>
      </c>
      <c r="C477" s="2" t="s">
        <v>226</v>
      </c>
      <c r="D477" s="2">
        <v>579</v>
      </c>
      <c r="E477" s="2" t="s">
        <v>79</v>
      </c>
      <c r="F477" s="2">
        <v>29209</v>
      </c>
      <c r="G477" s="2">
        <v>1.2</v>
      </c>
      <c r="H477" s="2">
        <v>8446</v>
      </c>
      <c r="I477" s="2" t="s">
        <v>227</v>
      </c>
      <c r="J477" s="2" t="s">
        <v>183</v>
      </c>
      <c r="K477" s="2" t="s">
        <v>183</v>
      </c>
      <c r="L477" s="2">
        <v>724</v>
      </c>
      <c r="M477" s="2" t="s">
        <v>98</v>
      </c>
      <c r="N477" s="2" t="s">
        <v>228</v>
      </c>
    </row>
    <row r="478" spans="1:14" x14ac:dyDescent="0.25">
      <c r="A478" s="2">
        <v>7541</v>
      </c>
      <c r="B478" s="2">
        <v>7601</v>
      </c>
      <c r="C478" s="2" t="s">
        <v>226</v>
      </c>
      <c r="D478" s="2">
        <v>499</v>
      </c>
      <c r="E478" s="2" t="s">
        <v>72</v>
      </c>
      <c r="F478" s="2">
        <v>27736</v>
      </c>
      <c r="G478" s="2">
        <v>1.1000000000000001</v>
      </c>
      <c r="H478" s="2">
        <v>6633</v>
      </c>
      <c r="I478" s="2" t="s">
        <v>227</v>
      </c>
      <c r="J478" s="2" t="s">
        <v>183</v>
      </c>
      <c r="K478" s="2" t="s">
        <v>183</v>
      </c>
      <c r="L478" s="2">
        <v>724</v>
      </c>
      <c r="M478" s="2" t="s">
        <v>98</v>
      </c>
      <c r="N478" s="2" t="s">
        <v>228</v>
      </c>
    </row>
    <row r="479" spans="1:14" x14ac:dyDescent="0.25">
      <c r="A479" s="2">
        <v>7542</v>
      </c>
      <c r="B479" s="2">
        <v>7601</v>
      </c>
      <c r="C479" s="2" t="s">
        <v>226</v>
      </c>
      <c r="D479" s="2">
        <v>352</v>
      </c>
      <c r="E479" s="2" t="s">
        <v>44</v>
      </c>
      <c r="F479" s="2">
        <v>27667</v>
      </c>
      <c r="G479" s="2">
        <v>1.1000000000000001</v>
      </c>
      <c r="H479" s="2">
        <v>6725</v>
      </c>
      <c r="I479" s="2" t="s">
        <v>227</v>
      </c>
      <c r="J479" s="2" t="s">
        <v>183</v>
      </c>
      <c r="K479" s="2" t="s">
        <v>183</v>
      </c>
      <c r="L479" s="2">
        <v>724</v>
      </c>
      <c r="M479" s="2" t="s">
        <v>98</v>
      </c>
      <c r="N479" s="2" t="s">
        <v>228</v>
      </c>
    </row>
    <row r="480" spans="1:14" x14ac:dyDescent="0.25">
      <c r="A480" s="2">
        <v>7543</v>
      </c>
      <c r="B480" s="2">
        <v>7601</v>
      </c>
      <c r="C480" s="2" t="s">
        <v>226</v>
      </c>
      <c r="D480" s="2">
        <v>643</v>
      </c>
      <c r="E480" s="2" t="s">
        <v>209</v>
      </c>
      <c r="F480" s="2">
        <v>25474</v>
      </c>
      <c r="G480" s="2">
        <v>1</v>
      </c>
      <c r="H480" s="2">
        <v>8955</v>
      </c>
      <c r="I480" s="2" t="s">
        <v>227</v>
      </c>
      <c r="J480" s="2" t="s">
        <v>183</v>
      </c>
      <c r="K480" s="2" t="s">
        <v>183</v>
      </c>
      <c r="L480" s="2">
        <v>724</v>
      </c>
      <c r="M480" s="2" t="s">
        <v>98</v>
      </c>
      <c r="N480" s="2" t="s">
        <v>228</v>
      </c>
    </row>
    <row r="481" spans="1:14" x14ac:dyDescent="0.25">
      <c r="A481" s="2">
        <v>7544</v>
      </c>
      <c r="B481" s="2">
        <v>7601</v>
      </c>
      <c r="C481" s="2" t="s">
        <v>226</v>
      </c>
      <c r="D481" s="2">
        <v>484</v>
      </c>
      <c r="E481" s="2" t="s">
        <v>70</v>
      </c>
      <c r="F481" s="2">
        <v>21050</v>
      </c>
      <c r="G481" s="2">
        <v>0.9</v>
      </c>
      <c r="H481" s="2">
        <v>5875</v>
      </c>
      <c r="I481" s="2" t="s">
        <v>227</v>
      </c>
      <c r="J481" s="2" t="s">
        <v>183</v>
      </c>
      <c r="K481" s="2" t="s">
        <v>183</v>
      </c>
      <c r="L481" s="2">
        <v>724</v>
      </c>
      <c r="M481" s="2" t="s">
        <v>98</v>
      </c>
      <c r="N481" s="2" t="s">
        <v>228</v>
      </c>
    </row>
    <row r="482" spans="1:14" x14ac:dyDescent="0.25">
      <c r="A482" s="2">
        <v>7545</v>
      </c>
      <c r="B482" s="2">
        <v>7601</v>
      </c>
      <c r="C482" s="2" t="s">
        <v>226</v>
      </c>
      <c r="D482" s="2">
        <v>276</v>
      </c>
      <c r="E482" s="2" t="s">
        <v>37</v>
      </c>
      <c r="F482" s="2">
        <v>20171</v>
      </c>
      <c r="G482" s="2">
        <v>0.8</v>
      </c>
      <c r="H482" s="2">
        <v>6253.01</v>
      </c>
      <c r="I482" s="2" t="s">
        <v>227</v>
      </c>
      <c r="J482" s="2">
        <v>0</v>
      </c>
      <c r="K482" s="2" t="s">
        <v>235</v>
      </c>
      <c r="L482" s="2">
        <v>724</v>
      </c>
      <c r="M482" s="2" t="s">
        <v>98</v>
      </c>
      <c r="N482" s="2" t="s">
        <v>228</v>
      </c>
    </row>
    <row r="483" spans="1:14" x14ac:dyDescent="0.25">
      <c r="A483" s="2">
        <v>7546</v>
      </c>
      <c r="B483" s="2">
        <v>7601</v>
      </c>
      <c r="C483" s="2" t="s">
        <v>226</v>
      </c>
      <c r="D483" s="2">
        <v>120</v>
      </c>
      <c r="E483" s="2" t="s">
        <v>120</v>
      </c>
      <c r="F483" s="2">
        <v>19547</v>
      </c>
      <c r="G483" s="2">
        <v>0.8</v>
      </c>
      <c r="H483" s="2">
        <v>6738</v>
      </c>
      <c r="I483" s="2" t="s">
        <v>227</v>
      </c>
      <c r="J483" s="2" t="s">
        <v>183</v>
      </c>
      <c r="K483" s="2" t="s">
        <v>183</v>
      </c>
      <c r="L483" s="2">
        <v>724</v>
      </c>
      <c r="M483" s="2" t="s">
        <v>98</v>
      </c>
      <c r="N483" s="2" t="s">
        <v>228</v>
      </c>
    </row>
    <row r="484" spans="1:14" x14ac:dyDescent="0.25">
      <c r="A484" s="2">
        <v>7547</v>
      </c>
      <c r="B484" s="2">
        <v>7601</v>
      </c>
      <c r="C484" s="2" t="s">
        <v>226</v>
      </c>
      <c r="D484" s="2">
        <v>818</v>
      </c>
      <c r="E484" s="2" t="s">
        <v>28</v>
      </c>
      <c r="F484" s="2">
        <v>19266</v>
      </c>
      <c r="G484" s="2">
        <v>0.8</v>
      </c>
      <c r="H484" s="2">
        <v>5644</v>
      </c>
      <c r="I484" s="2" t="s">
        <v>227</v>
      </c>
      <c r="J484" s="2" t="s">
        <v>183</v>
      </c>
      <c r="K484" s="2" t="s">
        <v>183</v>
      </c>
      <c r="L484" s="2">
        <v>724</v>
      </c>
      <c r="M484" s="2" t="s">
        <v>98</v>
      </c>
      <c r="N484" s="2" t="s">
        <v>228</v>
      </c>
    </row>
    <row r="485" spans="1:14" x14ac:dyDescent="0.25">
      <c r="A485" s="2">
        <v>7548</v>
      </c>
      <c r="B485" s="2">
        <v>7601</v>
      </c>
      <c r="C485" s="2" t="s">
        <v>226</v>
      </c>
      <c r="D485" s="2">
        <v>288</v>
      </c>
      <c r="E485" s="2" t="s">
        <v>38</v>
      </c>
      <c r="F485" s="2">
        <v>12917</v>
      </c>
      <c r="G485" s="2">
        <v>0.5</v>
      </c>
      <c r="H485" s="2">
        <v>4002</v>
      </c>
      <c r="I485" s="2" t="s">
        <v>227</v>
      </c>
      <c r="J485" s="2" t="s">
        <v>183</v>
      </c>
      <c r="K485" s="2" t="s">
        <v>183</v>
      </c>
      <c r="L485" s="2">
        <v>724</v>
      </c>
      <c r="M485" s="2" t="s">
        <v>98</v>
      </c>
      <c r="N485" s="2" t="s">
        <v>228</v>
      </c>
    </row>
    <row r="486" spans="1:14" x14ac:dyDescent="0.25">
      <c r="A486" s="2">
        <v>7549</v>
      </c>
      <c r="B486" s="2">
        <v>7601</v>
      </c>
      <c r="C486" s="2" t="s">
        <v>226</v>
      </c>
      <c r="D486" s="2">
        <v>554</v>
      </c>
      <c r="E486" s="2" t="s">
        <v>76</v>
      </c>
      <c r="F486" s="2">
        <v>7250</v>
      </c>
      <c r="G486" s="2">
        <v>0.3</v>
      </c>
      <c r="H486" s="2">
        <v>1970</v>
      </c>
      <c r="I486" s="2" t="s">
        <v>227</v>
      </c>
      <c r="J486" s="2" t="s">
        <v>183</v>
      </c>
      <c r="K486" s="2" t="s">
        <v>183</v>
      </c>
      <c r="L486" s="2">
        <v>724</v>
      </c>
      <c r="M486" s="2" t="s">
        <v>98</v>
      </c>
      <c r="N486" s="2" t="s">
        <v>228</v>
      </c>
    </row>
    <row r="487" spans="1:14" x14ac:dyDescent="0.25">
      <c r="A487" s="2">
        <v>7550</v>
      </c>
      <c r="B487" s="2">
        <v>7601</v>
      </c>
      <c r="C487" s="2" t="s">
        <v>226</v>
      </c>
      <c r="D487" s="2">
        <v>579</v>
      </c>
      <c r="E487" s="2" t="s">
        <v>79</v>
      </c>
      <c r="F487" s="2">
        <v>867776</v>
      </c>
      <c r="G487" s="2">
        <v>81.5</v>
      </c>
      <c r="H487" s="2">
        <v>233202</v>
      </c>
      <c r="I487" s="2" t="s">
        <v>227</v>
      </c>
      <c r="J487" s="2" t="s">
        <v>183</v>
      </c>
      <c r="K487" s="2" t="s">
        <v>183</v>
      </c>
      <c r="L487" s="2">
        <v>752</v>
      </c>
      <c r="M487" s="2" t="s">
        <v>100</v>
      </c>
      <c r="N487" s="2" t="s">
        <v>228</v>
      </c>
    </row>
    <row r="488" spans="1:14" x14ac:dyDescent="0.25">
      <c r="A488" s="2">
        <v>7551</v>
      </c>
      <c r="B488" s="2">
        <v>7601</v>
      </c>
      <c r="C488" s="2" t="s">
        <v>226</v>
      </c>
      <c r="D488" s="2">
        <v>643</v>
      </c>
      <c r="E488" s="2" t="s">
        <v>209</v>
      </c>
      <c r="F488" s="2">
        <v>52762</v>
      </c>
      <c r="G488" s="2">
        <v>5</v>
      </c>
      <c r="H488" s="2">
        <v>21363</v>
      </c>
      <c r="I488" s="2" t="s">
        <v>227</v>
      </c>
      <c r="J488" s="2" t="s">
        <v>183</v>
      </c>
      <c r="K488" s="2" t="s">
        <v>183</v>
      </c>
      <c r="L488" s="2">
        <v>752</v>
      </c>
      <c r="M488" s="2" t="s">
        <v>100</v>
      </c>
      <c r="N488" s="2" t="s">
        <v>228</v>
      </c>
    </row>
    <row r="489" spans="1:14" x14ac:dyDescent="0.25">
      <c r="A489" s="2">
        <v>7552</v>
      </c>
      <c r="B489" s="2">
        <v>7601</v>
      </c>
      <c r="C489" s="2" t="s">
        <v>226</v>
      </c>
      <c r="D489" s="2">
        <v>528</v>
      </c>
      <c r="E489" s="2" t="s">
        <v>75</v>
      </c>
      <c r="F489" s="2">
        <v>48797</v>
      </c>
      <c r="G489" s="2">
        <v>4.5999999999999996</v>
      </c>
      <c r="H489" s="2">
        <v>12435</v>
      </c>
      <c r="I489" s="2" t="s">
        <v>227</v>
      </c>
      <c r="J489" s="2" t="s">
        <v>183</v>
      </c>
      <c r="K489" s="2" t="s">
        <v>183</v>
      </c>
      <c r="L489" s="2">
        <v>752</v>
      </c>
      <c r="M489" s="2" t="s">
        <v>100</v>
      </c>
      <c r="N489" s="2" t="s">
        <v>228</v>
      </c>
    </row>
    <row r="490" spans="1:14" x14ac:dyDescent="0.25">
      <c r="A490" s="2">
        <v>7553</v>
      </c>
      <c r="B490" s="2">
        <v>7601</v>
      </c>
      <c r="C490" s="2" t="s">
        <v>226</v>
      </c>
      <c r="D490" s="2">
        <v>246</v>
      </c>
      <c r="E490" s="2" t="s">
        <v>32</v>
      </c>
      <c r="F490" s="2">
        <v>25835</v>
      </c>
      <c r="G490" s="2">
        <v>2.4</v>
      </c>
      <c r="H490" s="2">
        <v>9664</v>
      </c>
      <c r="I490" s="2" t="s">
        <v>227</v>
      </c>
      <c r="J490" s="2" t="s">
        <v>183</v>
      </c>
      <c r="K490" s="2" t="s">
        <v>183</v>
      </c>
      <c r="L490" s="2">
        <v>752</v>
      </c>
      <c r="M490" s="2" t="s">
        <v>100</v>
      </c>
      <c r="N490" s="2" t="s">
        <v>228</v>
      </c>
    </row>
    <row r="491" spans="1:14" x14ac:dyDescent="0.25">
      <c r="A491" s="2">
        <v>7554</v>
      </c>
      <c r="B491" s="2">
        <v>7601</v>
      </c>
      <c r="C491" s="2" t="s">
        <v>226</v>
      </c>
      <c r="D491" s="2">
        <v>276</v>
      </c>
      <c r="E491" s="2" t="s">
        <v>37</v>
      </c>
      <c r="F491" s="2">
        <v>19613</v>
      </c>
      <c r="G491" s="2">
        <v>1.8</v>
      </c>
      <c r="H491" s="2">
        <v>4548</v>
      </c>
      <c r="I491" s="2" t="s">
        <v>227</v>
      </c>
      <c r="J491" s="2" t="s">
        <v>183</v>
      </c>
      <c r="K491" s="2" t="s">
        <v>183</v>
      </c>
      <c r="L491" s="2">
        <v>752</v>
      </c>
      <c r="M491" s="2" t="s">
        <v>100</v>
      </c>
      <c r="N491" s="2" t="s">
        <v>228</v>
      </c>
    </row>
    <row r="492" spans="1:14" x14ac:dyDescent="0.25">
      <c r="A492" s="2">
        <v>7555</v>
      </c>
      <c r="B492" s="2">
        <v>7601</v>
      </c>
      <c r="C492" s="2" t="s">
        <v>226</v>
      </c>
      <c r="D492" s="2">
        <v>398</v>
      </c>
      <c r="E492" s="2" t="s">
        <v>53</v>
      </c>
      <c r="F492" s="2">
        <v>11438</v>
      </c>
      <c r="G492" s="2">
        <v>1.1000000000000001</v>
      </c>
      <c r="H492" s="2">
        <v>6184</v>
      </c>
      <c r="I492" s="2" t="s">
        <v>227</v>
      </c>
      <c r="J492" s="2" t="s">
        <v>183</v>
      </c>
      <c r="K492" s="2" t="s">
        <v>183</v>
      </c>
      <c r="L492" s="2">
        <v>752</v>
      </c>
      <c r="M492" s="2" t="s">
        <v>100</v>
      </c>
      <c r="N492" s="2" t="s">
        <v>228</v>
      </c>
    </row>
    <row r="493" spans="1:14" x14ac:dyDescent="0.25">
      <c r="A493" s="2">
        <v>7556</v>
      </c>
      <c r="B493" s="2">
        <v>7601</v>
      </c>
      <c r="C493" s="2" t="s">
        <v>226</v>
      </c>
      <c r="D493" s="2">
        <v>826</v>
      </c>
      <c r="E493" s="2" t="s">
        <v>110</v>
      </c>
      <c r="F493" s="2">
        <v>11367</v>
      </c>
      <c r="G493" s="2">
        <v>1.1000000000000001</v>
      </c>
      <c r="H493" s="2">
        <v>2791</v>
      </c>
      <c r="I493" s="2" t="s">
        <v>227</v>
      </c>
      <c r="J493" s="2" t="s">
        <v>183</v>
      </c>
      <c r="K493" s="2" t="s">
        <v>183</v>
      </c>
      <c r="L493" s="2">
        <v>752</v>
      </c>
      <c r="M493" s="2" t="s">
        <v>100</v>
      </c>
      <c r="N493" s="2" t="s">
        <v>228</v>
      </c>
    </row>
    <row r="494" spans="1:14" x14ac:dyDescent="0.25">
      <c r="A494" s="2">
        <v>7557</v>
      </c>
      <c r="B494" s="2">
        <v>7601</v>
      </c>
      <c r="C494" s="2" t="s">
        <v>226</v>
      </c>
      <c r="D494" s="2">
        <v>442</v>
      </c>
      <c r="E494" s="2" t="s">
        <v>62</v>
      </c>
      <c r="F494" s="2">
        <v>9233</v>
      </c>
      <c r="G494" s="2">
        <v>0.9</v>
      </c>
      <c r="H494" s="2">
        <v>3253</v>
      </c>
      <c r="I494" s="2" t="s">
        <v>227</v>
      </c>
      <c r="J494" s="2" t="s">
        <v>183</v>
      </c>
      <c r="K494" s="2" t="s">
        <v>183</v>
      </c>
      <c r="L494" s="2">
        <v>752</v>
      </c>
      <c r="M494" s="2" t="s">
        <v>100</v>
      </c>
      <c r="N494" s="2" t="s">
        <v>228</v>
      </c>
    </row>
    <row r="495" spans="1:14" x14ac:dyDescent="0.25">
      <c r="A495" s="2">
        <v>7558</v>
      </c>
      <c r="B495" s="2">
        <v>7601</v>
      </c>
      <c r="C495" s="2" t="s">
        <v>226</v>
      </c>
      <c r="D495" s="2">
        <v>381</v>
      </c>
      <c r="E495" s="2" t="s">
        <v>50</v>
      </c>
      <c r="F495" s="2">
        <v>3634</v>
      </c>
      <c r="G495" s="2">
        <v>0.3</v>
      </c>
      <c r="H495" s="2">
        <v>1072</v>
      </c>
      <c r="I495" s="2" t="s">
        <v>227</v>
      </c>
      <c r="J495" s="2" t="s">
        <v>183</v>
      </c>
      <c r="K495" s="2" t="s">
        <v>183</v>
      </c>
      <c r="L495" s="2">
        <v>752</v>
      </c>
      <c r="M495" s="2" t="s">
        <v>100</v>
      </c>
      <c r="N495" s="2" t="s">
        <v>228</v>
      </c>
    </row>
    <row r="496" spans="1:14" x14ac:dyDescent="0.25">
      <c r="A496" s="2">
        <v>7559</v>
      </c>
      <c r="B496" s="2">
        <v>7601</v>
      </c>
      <c r="C496" s="2" t="s">
        <v>226</v>
      </c>
      <c r="D496" s="2">
        <v>233</v>
      </c>
      <c r="E496" s="2" t="s">
        <v>30</v>
      </c>
      <c r="F496" s="2">
        <v>3430</v>
      </c>
      <c r="G496" s="2">
        <v>0.3</v>
      </c>
      <c r="H496" s="2">
        <v>678</v>
      </c>
      <c r="I496" s="2" t="s">
        <v>227</v>
      </c>
      <c r="J496" s="2" t="s">
        <v>183</v>
      </c>
      <c r="K496" s="2" t="s">
        <v>183</v>
      </c>
      <c r="L496" s="2">
        <v>752</v>
      </c>
      <c r="M496" s="2" t="s">
        <v>100</v>
      </c>
      <c r="N496" s="2" t="s">
        <v>228</v>
      </c>
    </row>
    <row r="497" spans="1:14" x14ac:dyDescent="0.25">
      <c r="A497" s="2">
        <v>7560</v>
      </c>
      <c r="B497" s="2">
        <v>7601</v>
      </c>
      <c r="C497" s="2" t="s">
        <v>226</v>
      </c>
      <c r="D497" s="2">
        <v>352</v>
      </c>
      <c r="E497" s="2" t="s">
        <v>44</v>
      </c>
      <c r="F497" s="2">
        <v>2356</v>
      </c>
      <c r="G497" s="2">
        <v>0.2</v>
      </c>
      <c r="H497" s="2">
        <v>801</v>
      </c>
      <c r="I497" s="2" t="s">
        <v>227</v>
      </c>
      <c r="J497" s="2" t="s">
        <v>183</v>
      </c>
      <c r="K497" s="2" t="s">
        <v>183</v>
      </c>
      <c r="L497" s="2">
        <v>752</v>
      </c>
      <c r="M497" s="2" t="s">
        <v>100</v>
      </c>
      <c r="N497" s="2" t="s">
        <v>228</v>
      </c>
    </row>
    <row r="498" spans="1:14" x14ac:dyDescent="0.25">
      <c r="A498" s="2">
        <v>7561</v>
      </c>
      <c r="B498" s="2">
        <v>7601</v>
      </c>
      <c r="C498" s="2" t="s">
        <v>226</v>
      </c>
      <c r="D498" s="2">
        <v>616</v>
      </c>
      <c r="E498" s="2" t="s">
        <v>86</v>
      </c>
      <c r="F498" s="2">
        <v>2323</v>
      </c>
      <c r="G498" s="2">
        <v>0.2</v>
      </c>
      <c r="H498" s="2">
        <v>545</v>
      </c>
      <c r="I498" s="2" t="s">
        <v>227</v>
      </c>
      <c r="J498" s="2" t="s">
        <v>183</v>
      </c>
      <c r="K498" s="2" t="s">
        <v>183</v>
      </c>
      <c r="L498" s="2">
        <v>752</v>
      </c>
      <c r="M498" s="2" t="s">
        <v>100</v>
      </c>
      <c r="N498" s="2" t="s">
        <v>228</v>
      </c>
    </row>
    <row r="499" spans="1:14" x14ac:dyDescent="0.25">
      <c r="A499" s="2">
        <v>7259</v>
      </c>
      <c r="B499" s="2">
        <v>7601</v>
      </c>
      <c r="C499" s="2" t="s">
        <v>226</v>
      </c>
      <c r="D499" s="2">
        <v>251</v>
      </c>
      <c r="E499" s="2" t="s">
        <v>33</v>
      </c>
      <c r="F499" s="2">
        <v>33256</v>
      </c>
      <c r="G499" s="2">
        <v>3.6</v>
      </c>
      <c r="H499" s="2">
        <v>10309.36</v>
      </c>
      <c r="I499" s="2" t="s">
        <v>227</v>
      </c>
      <c r="J499" s="2">
        <v>0</v>
      </c>
      <c r="K499" s="2" t="s">
        <v>235</v>
      </c>
      <c r="L499" s="2">
        <v>348</v>
      </c>
      <c r="M499" s="2" t="s">
        <v>43</v>
      </c>
      <c r="N499" s="2" t="s">
        <v>228</v>
      </c>
    </row>
    <row r="500" spans="1:14" x14ac:dyDescent="0.25">
      <c r="A500" s="2">
        <v>7563</v>
      </c>
      <c r="B500" s="2">
        <v>7601</v>
      </c>
      <c r="C500" s="2" t="s">
        <v>226</v>
      </c>
      <c r="D500" s="2">
        <v>40</v>
      </c>
      <c r="E500" s="2" t="s">
        <v>5</v>
      </c>
      <c r="F500" s="2">
        <v>1879</v>
      </c>
      <c r="G500" s="2">
        <v>0.2</v>
      </c>
      <c r="H500" s="2">
        <v>603</v>
      </c>
      <c r="I500" s="2" t="s">
        <v>227</v>
      </c>
      <c r="J500" s="2" t="s">
        <v>183</v>
      </c>
      <c r="K500" s="2" t="s">
        <v>183</v>
      </c>
      <c r="L500" s="2">
        <v>752</v>
      </c>
      <c r="M500" s="2" t="s">
        <v>100</v>
      </c>
      <c r="N500" s="2" t="s">
        <v>228</v>
      </c>
    </row>
    <row r="501" spans="1:14" x14ac:dyDescent="0.25">
      <c r="A501" s="2">
        <v>7564</v>
      </c>
      <c r="B501" s="2">
        <v>7601</v>
      </c>
      <c r="C501" s="2" t="s">
        <v>226</v>
      </c>
      <c r="D501" s="2">
        <v>203</v>
      </c>
      <c r="E501" s="2" t="s">
        <v>211</v>
      </c>
      <c r="F501" s="2">
        <v>1092</v>
      </c>
      <c r="G501" s="2">
        <v>0.1</v>
      </c>
      <c r="H501" s="2">
        <v>315</v>
      </c>
      <c r="I501" s="2" t="s">
        <v>227</v>
      </c>
      <c r="J501" s="2" t="s">
        <v>183</v>
      </c>
      <c r="K501" s="2" t="s">
        <v>183</v>
      </c>
      <c r="L501" s="2">
        <v>752</v>
      </c>
      <c r="M501" s="2" t="s">
        <v>100</v>
      </c>
      <c r="N501" s="2" t="s">
        <v>228</v>
      </c>
    </row>
    <row r="502" spans="1:14" x14ac:dyDescent="0.25">
      <c r="A502" s="2">
        <v>7565</v>
      </c>
      <c r="B502" s="2">
        <v>7601</v>
      </c>
      <c r="C502" s="2" t="s">
        <v>226</v>
      </c>
      <c r="D502" s="2">
        <v>440</v>
      </c>
      <c r="E502" s="2" t="s">
        <v>61</v>
      </c>
      <c r="F502" s="2">
        <v>403</v>
      </c>
      <c r="G502" s="2">
        <v>0</v>
      </c>
      <c r="H502" s="2">
        <v>97</v>
      </c>
      <c r="I502" s="2" t="s">
        <v>227</v>
      </c>
      <c r="J502" s="2" t="s">
        <v>183</v>
      </c>
      <c r="K502" s="2" t="s">
        <v>183</v>
      </c>
      <c r="L502" s="2">
        <v>752</v>
      </c>
      <c r="M502" s="2" t="s">
        <v>100</v>
      </c>
      <c r="N502" s="2" t="s">
        <v>228</v>
      </c>
    </row>
    <row r="503" spans="1:14" x14ac:dyDescent="0.25">
      <c r="A503" s="2">
        <v>7566</v>
      </c>
      <c r="B503" s="2">
        <v>7601</v>
      </c>
      <c r="C503" s="2" t="s">
        <v>226</v>
      </c>
      <c r="D503" s="2">
        <v>724</v>
      </c>
      <c r="E503" s="2" t="s">
        <v>98</v>
      </c>
      <c r="F503" s="2">
        <v>256</v>
      </c>
      <c r="G503" s="2">
        <v>0</v>
      </c>
      <c r="H503" s="2">
        <v>56</v>
      </c>
      <c r="I503" s="2" t="s">
        <v>227</v>
      </c>
      <c r="J503" s="2" t="s">
        <v>183</v>
      </c>
      <c r="K503" s="2" t="s">
        <v>183</v>
      </c>
      <c r="L503" s="2">
        <v>752</v>
      </c>
      <c r="M503" s="2" t="s">
        <v>100</v>
      </c>
      <c r="N503" s="2" t="s">
        <v>228</v>
      </c>
    </row>
    <row r="504" spans="1:14" x14ac:dyDescent="0.25">
      <c r="A504" s="2">
        <v>7567</v>
      </c>
      <c r="B504" s="2">
        <v>7601</v>
      </c>
      <c r="C504" s="2" t="s">
        <v>226</v>
      </c>
      <c r="D504" s="2">
        <v>156</v>
      </c>
      <c r="E504" s="2" t="s">
        <v>18</v>
      </c>
      <c r="F504" s="2">
        <v>187</v>
      </c>
      <c r="G504" s="2">
        <v>0</v>
      </c>
      <c r="H504" s="2">
        <v>11</v>
      </c>
      <c r="I504" s="2" t="s">
        <v>227</v>
      </c>
      <c r="J504" s="2" t="s">
        <v>183</v>
      </c>
      <c r="K504" s="2" t="s">
        <v>183</v>
      </c>
      <c r="L504" s="2">
        <v>752</v>
      </c>
      <c r="M504" s="2" t="s">
        <v>100</v>
      </c>
      <c r="N504" s="2" t="s">
        <v>228</v>
      </c>
    </row>
    <row r="505" spans="1:14" x14ac:dyDescent="0.25">
      <c r="A505" s="2">
        <v>7568</v>
      </c>
      <c r="B505" s="2">
        <v>7601</v>
      </c>
      <c r="C505" s="2" t="s">
        <v>226</v>
      </c>
      <c r="D505" s="2">
        <v>705</v>
      </c>
      <c r="E505" s="2" t="s">
        <v>96</v>
      </c>
      <c r="F505" s="2">
        <v>112</v>
      </c>
      <c r="G505" s="2">
        <v>0</v>
      </c>
      <c r="H505" s="2">
        <v>23</v>
      </c>
      <c r="I505" s="2" t="s">
        <v>227</v>
      </c>
      <c r="J505" s="2" t="s">
        <v>183</v>
      </c>
      <c r="K505" s="2" t="s">
        <v>183</v>
      </c>
      <c r="L505" s="2">
        <v>752</v>
      </c>
      <c r="M505" s="2" t="s">
        <v>100</v>
      </c>
      <c r="N505" s="2" t="s">
        <v>228</v>
      </c>
    </row>
    <row r="506" spans="1:14" x14ac:dyDescent="0.25">
      <c r="A506" s="2">
        <v>7569</v>
      </c>
      <c r="B506" s="2">
        <v>7601</v>
      </c>
      <c r="C506" s="2" t="s">
        <v>226</v>
      </c>
      <c r="D506" s="2">
        <v>208</v>
      </c>
      <c r="E506" s="2" t="s">
        <v>24</v>
      </c>
      <c r="F506" s="2">
        <v>106</v>
      </c>
      <c r="G506" s="2">
        <v>0</v>
      </c>
      <c r="H506" s="2">
        <v>35</v>
      </c>
      <c r="I506" s="2" t="s">
        <v>227</v>
      </c>
      <c r="J506" s="2" t="s">
        <v>183</v>
      </c>
      <c r="K506" s="2" t="s">
        <v>183</v>
      </c>
      <c r="L506" s="2">
        <v>752</v>
      </c>
      <c r="M506" s="2" t="s">
        <v>100</v>
      </c>
      <c r="N506" s="2" t="s">
        <v>228</v>
      </c>
    </row>
    <row r="507" spans="1:14" x14ac:dyDescent="0.25">
      <c r="A507" s="2">
        <v>7570</v>
      </c>
      <c r="B507" s="2">
        <v>7601</v>
      </c>
      <c r="C507" s="2" t="s">
        <v>226</v>
      </c>
      <c r="D507" s="2">
        <v>842</v>
      </c>
      <c r="E507" s="2" t="s">
        <v>229</v>
      </c>
      <c r="F507" s="2">
        <v>67</v>
      </c>
      <c r="G507" s="2">
        <v>0</v>
      </c>
      <c r="H507" s="2">
        <v>2</v>
      </c>
      <c r="I507" s="2" t="s">
        <v>227</v>
      </c>
      <c r="J507" s="2" t="s">
        <v>183</v>
      </c>
      <c r="K507" s="2" t="s">
        <v>183</v>
      </c>
      <c r="L507" s="2">
        <v>752</v>
      </c>
      <c r="M507" s="2" t="s">
        <v>100</v>
      </c>
      <c r="N507" s="2" t="s">
        <v>228</v>
      </c>
    </row>
    <row r="508" spans="1:14" x14ac:dyDescent="0.25">
      <c r="A508" s="2">
        <v>7571</v>
      </c>
      <c r="B508" s="2">
        <v>7601</v>
      </c>
      <c r="C508" s="2" t="s">
        <v>226</v>
      </c>
      <c r="D508" s="2">
        <v>158</v>
      </c>
      <c r="E508" s="2" t="s">
        <v>233</v>
      </c>
      <c r="F508" s="2">
        <v>22</v>
      </c>
      <c r="G508" s="2">
        <v>0</v>
      </c>
      <c r="H508" s="2">
        <v>6</v>
      </c>
      <c r="I508" s="2" t="s">
        <v>227</v>
      </c>
      <c r="J508" s="2" t="s">
        <v>183</v>
      </c>
      <c r="K508" s="2" t="s">
        <v>183</v>
      </c>
      <c r="L508" s="2">
        <v>752</v>
      </c>
      <c r="M508" s="2" t="s">
        <v>100</v>
      </c>
      <c r="N508" s="2" t="s">
        <v>228</v>
      </c>
    </row>
    <row r="509" spans="1:14" x14ac:dyDescent="0.25">
      <c r="A509" s="2">
        <v>7572</v>
      </c>
      <c r="B509" s="2">
        <v>7601</v>
      </c>
      <c r="C509" s="2" t="s">
        <v>226</v>
      </c>
      <c r="D509" s="2">
        <v>344</v>
      </c>
      <c r="E509" s="2" t="s">
        <v>42</v>
      </c>
      <c r="F509" s="2">
        <v>15</v>
      </c>
      <c r="G509" s="2">
        <v>0</v>
      </c>
      <c r="H509" s="2">
        <v>4</v>
      </c>
      <c r="I509" s="2" t="s">
        <v>227</v>
      </c>
      <c r="J509" s="2" t="s">
        <v>183</v>
      </c>
      <c r="K509" s="2" t="s">
        <v>183</v>
      </c>
      <c r="L509" s="2">
        <v>752</v>
      </c>
      <c r="M509" s="2" t="s">
        <v>100</v>
      </c>
      <c r="N509" s="2" t="s">
        <v>228</v>
      </c>
    </row>
    <row r="510" spans="1:14" x14ac:dyDescent="0.25">
      <c r="A510" s="2">
        <v>7573</v>
      </c>
      <c r="B510" s="2">
        <v>7601</v>
      </c>
      <c r="C510" s="2" t="s">
        <v>226</v>
      </c>
      <c r="D510" s="2">
        <v>56</v>
      </c>
      <c r="E510" s="2" t="s">
        <v>11</v>
      </c>
      <c r="F510" s="2">
        <v>6</v>
      </c>
      <c r="G510" s="2">
        <v>0</v>
      </c>
      <c r="H510" s="2">
        <v>4</v>
      </c>
      <c r="I510" s="2" t="s">
        <v>227</v>
      </c>
      <c r="J510" s="2" t="s">
        <v>183</v>
      </c>
      <c r="K510" s="2" t="s">
        <v>183</v>
      </c>
      <c r="L510" s="2">
        <v>752</v>
      </c>
      <c r="M510" s="2" t="s">
        <v>100</v>
      </c>
      <c r="N510" s="2" t="s">
        <v>228</v>
      </c>
    </row>
    <row r="511" spans="1:14" x14ac:dyDescent="0.25">
      <c r="A511" s="2">
        <v>7574</v>
      </c>
      <c r="B511" s="2">
        <v>7601</v>
      </c>
      <c r="C511" s="2" t="s">
        <v>226</v>
      </c>
      <c r="D511" s="2">
        <v>643</v>
      </c>
      <c r="E511" s="2" t="s">
        <v>209</v>
      </c>
      <c r="F511" s="2">
        <v>1110770</v>
      </c>
      <c r="G511" s="2">
        <v>21.2</v>
      </c>
      <c r="H511" s="2">
        <v>403426</v>
      </c>
      <c r="I511" s="2" t="s">
        <v>227</v>
      </c>
      <c r="J511" s="2" t="s">
        <v>183</v>
      </c>
      <c r="K511" s="2" t="s">
        <v>183</v>
      </c>
      <c r="L511" s="2">
        <v>792</v>
      </c>
      <c r="M511" s="2" t="s">
        <v>107</v>
      </c>
      <c r="N511" s="2" t="s">
        <v>228</v>
      </c>
    </row>
    <row r="512" spans="1:14" x14ac:dyDescent="0.25">
      <c r="A512" s="2">
        <v>7575</v>
      </c>
      <c r="B512" s="2">
        <v>7601</v>
      </c>
      <c r="C512" s="2" t="s">
        <v>226</v>
      </c>
      <c r="D512" s="2">
        <v>458</v>
      </c>
      <c r="E512" s="2" t="s">
        <v>66</v>
      </c>
      <c r="F512" s="2">
        <v>936417</v>
      </c>
      <c r="G512" s="2">
        <v>17.899999999999999</v>
      </c>
      <c r="H512" s="2">
        <v>312336</v>
      </c>
      <c r="I512" s="2" t="s">
        <v>227</v>
      </c>
      <c r="J512" s="2" t="s">
        <v>183</v>
      </c>
      <c r="K512" s="2" t="s">
        <v>183</v>
      </c>
      <c r="L512" s="2">
        <v>792</v>
      </c>
      <c r="M512" s="2" t="s">
        <v>107</v>
      </c>
      <c r="N512" s="2" t="s">
        <v>228</v>
      </c>
    </row>
    <row r="513" spans="1:14" x14ac:dyDescent="0.25">
      <c r="A513" s="2">
        <v>7576</v>
      </c>
      <c r="B513" s="2">
        <v>7601</v>
      </c>
      <c r="C513" s="2" t="s">
        <v>226</v>
      </c>
      <c r="D513" s="2">
        <v>364</v>
      </c>
      <c r="E513" s="2" t="s">
        <v>234</v>
      </c>
      <c r="F513" s="2">
        <v>776547</v>
      </c>
      <c r="G513" s="2">
        <v>14.8</v>
      </c>
      <c r="H513" s="2">
        <v>264921</v>
      </c>
      <c r="I513" s="2" t="s">
        <v>227</v>
      </c>
      <c r="J513" s="2" t="s">
        <v>183</v>
      </c>
      <c r="K513" s="2" t="s">
        <v>183</v>
      </c>
      <c r="L513" s="2">
        <v>792</v>
      </c>
      <c r="M513" s="2" t="s">
        <v>107</v>
      </c>
      <c r="N513" s="2" t="s">
        <v>228</v>
      </c>
    </row>
    <row r="514" spans="1:14" x14ac:dyDescent="0.25">
      <c r="A514" s="2">
        <v>7577</v>
      </c>
      <c r="B514" s="2">
        <v>7601</v>
      </c>
      <c r="C514" s="2" t="s">
        <v>226</v>
      </c>
      <c r="D514" s="2">
        <v>699</v>
      </c>
      <c r="E514" s="2" t="s">
        <v>45</v>
      </c>
      <c r="F514" s="2">
        <v>682193</v>
      </c>
      <c r="G514" s="2">
        <v>13</v>
      </c>
      <c r="H514" s="2">
        <v>228380</v>
      </c>
      <c r="I514" s="2" t="s">
        <v>227</v>
      </c>
      <c r="J514" s="2" t="s">
        <v>183</v>
      </c>
      <c r="K514" s="2" t="s">
        <v>183</v>
      </c>
      <c r="L514" s="2">
        <v>792</v>
      </c>
      <c r="M514" s="2" t="s">
        <v>107</v>
      </c>
      <c r="N514" s="2" t="s">
        <v>228</v>
      </c>
    </row>
    <row r="515" spans="1:14" x14ac:dyDescent="0.25">
      <c r="A515" s="2">
        <v>7578</v>
      </c>
      <c r="B515" s="2">
        <v>7601</v>
      </c>
      <c r="C515" s="2" t="s">
        <v>226</v>
      </c>
      <c r="D515" s="2">
        <v>634</v>
      </c>
      <c r="E515" s="2" t="s">
        <v>88</v>
      </c>
      <c r="F515" s="2">
        <v>412097</v>
      </c>
      <c r="G515" s="2">
        <v>7.9</v>
      </c>
      <c r="H515" s="2">
        <v>122716</v>
      </c>
      <c r="I515" s="2" t="s">
        <v>227</v>
      </c>
      <c r="J515" s="2" t="s">
        <v>183</v>
      </c>
      <c r="K515" s="2" t="s">
        <v>183</v>
      </c>
      <c r="L515" s="2">
        <v>792</v>
      </c>
      <c r="M515" s="2" t="s">
        <v>107</v>
      </c>
      <c r="N515" s="2" t="s">
        <v>228</v>
      </c>
    </row>
    <row r="516" spans="1:14" x14ac:dyDescent="0.25">
      <c r="A516" s="2">
        <v>7579</v>
      </c>
      <c r="B516" s="2">
        <v>7601</v>
      </c>
      <c r="C516" s="2" t="s">
        <v>226</v>
      </c>
      <c r="D516" s="2">
        <v>48</v>
      </c>
      <c r="E516" s="2" t="s">
        <v>7</v>
      </c>
      <c r="F516" s="2">
        <v>402410</v>
      </c>
      <c r="G516" s="2">
        <v>7.7</v>
      </c>
      <c r="H516" s="2">
        <v>130705</v>
      </c>
      <c r="I516" s="2" t="s">
        <v>227</v>
      </c>
      <c r="J516" s="2" t="s">
        <v>183</v>
      </c>
      <c r="K516" s="2" t="s">
        <v>183</v>
      </c>
      <c r="L516" s="2">
        <v>792</v>
      </c>
      <c r="M516" s="2" t="s">
        <v>107</v>
      </c>
      <c r="N516" s="2" t="s">
        <v>228</v>
      </c>
    </row>
    <row r="517" spans="1:14" x14ac:dyDescent="0.25">
      <c r="A517" s="2">
        <v>7580</v>
      </c>
      <c r="B517" s="2">
        <v>7601</v>
      </c>
      <c r="C517" s="2" t="s">
        <v>226</v>
      </c>
      <c r="D517" s="2">
        <v>784</v>
      </c>
      <c r="E517" s="2" t="s">
        <v>109</v>
      </c>
      <c r="F517" s="2">
        <v>184751</v>
      </c>
      <c r="G517" s="2">
        <v>3.5</v>
      </c>
      <c r="H517" s="2">
        <v>59254</v>
      </c>
      <c r="I517" s="2" t="s">
        <v>227</v>
      </c>
      <c r="J517" s="2" t="s">
        <v>183</v>
      </c>
      <c r="K517" s="2" t="s">
        <v>183</v>
      </c>
      <c r="L517" s="2">
        <v>792</v>
      </c>
      <c r="M517" s="2" t="s">
        <v>107</v>
      </c>
      <c r="N517" s="2" t="s">
        <v>228</v>
      </c>
    </row>
    <row r="518" spans="1:14" x14ac:dyDescent="0.25">
      <c r="A518" s="2">
        <v>7581</v>
      </c>
      <c r="B518" s="2">
        <v>7601</v>
      </c>
      <c r="C518" s="2" t="s">
        <v>226</v>
      </c>
      <c r="D518" s="2">
        <v>512</v>
      </c>
      <c r="E518" s="2" t="s">
        <v>80</v>
      </c>
      <c r="F518" s="2">
        <v>143280</v>
      </c>
      <c r="G518" s="2">
        <v>2.7</v>
      </c>
      <c r="H518" s="2">
        <v>51054</v>
      </c>
      <c r="I518" s="2" t="s">
        <v>227</v>
      </c>
      <c r="J518" s="2" t="s">
        <v>183</v>
      </c>
      <c r="K518" s="2" t="s">
        <v>183</v>
      </c>
      <c r="L518" s="2">
        <v>792</v>
      </c>
      <c r="M518" s="2" t="s">
        <v>107</v>
      </c>
      <c r="N518" s="2" t="s">
        <v>228</v>
      </c>
    </row>
    <row r="519" spans="1:14" x14ac:dyDescent="0.25">
      <c r="A519" s="2">
        <v>7582</v>
      </c>
      <c r="B519" s="2">
        <v>7601</v>
      </c>
      <c r="C519" s="2" t="s">
        <v>226</v>
      </c>
      <c r="D519" s="2">
        <v>398</v>
      </c>
      <c r="E519" s="2" t="s">
        <v>53</v>
      </c>
      <c r="F519" s="2">
        <v>101116</v>
      </c>
      <c r="G519" s="2">
        <v>1.9</v>
      </c>
      <c r="H519" s="2">
        <v>31919</v>
      </c>
      <c r="I519" s="2" t="s">
        <v>227</v>
      </c>
      <c r="J519" s="2" t="s">
        <v>183</v>
      </c>
      <c r="K519" s="2" t="s">
        <v>183</v>
      </c>
      <c r="L519" s="2">
        <v>792</v>
      </c>
      <c r="M519" s="2" t="s">
        <v>107</v>
      </c>
      <c r="N519" s="2" t="s">
        <v>228</v>
      </c>
    </row>
    <row r="520" spans="1:14" x14ac:dyDescent="0.25">
      <c r="A520" s="2">
        <v>7583</v>
      </c>
      <c r="B520" s="2">
        <v>7601</v>
      </c>
      <c r="C520" s="2" t="s">
        <v>226</v>
      </c>
      <c r="D520" s="2">
        <v>762</v>
      </c>
      <c r="E520" s="2" t="s">
        <v>139</v>
      </c>
      <c r="F520" s="2">
        <v>95574</v>
      </c>
      <c r="G520" s="2">
        <v>1.8</v>
      </c>
      <c r="H520" s="2">
        <v>32659</v>
      </c>
      <c r="I520" s="2" t="s">
        <v>227</v>
      </c>
      <c r="J520" s="2" t="s">
        <v>183</v>
      </c>
      <c r="K520" s="2" t="s">
        <v>183</v>
      </c>
      <c r="L520" s="2">
        <v>792</v>
      </c>
      <c r="M520" s="2" t="s">
        <v>107</v>
      </c>
      <c r="N520" s="2" t="s">
        <v>228</v>
      </c>
    </row>
    <row r="521" spans="1:14" x14ac:dyDescent="0.25">
      <c r="A521" s="2">
        <v>7584</v>
      </c>
      <c r="B521" s="2">
        <v>7601</v>
      </c>
      <c r="C521" s="2" t="s">
        <v>226</v>
      </c>
      <c r="D521" s="2">
        <v>704</v>
      </c>
      <c r="E521" s="2" t="s">
        <v>232</v>
      </c>
      <c r="F521" s="2">
        <v>85873</v>
      </c>
      <c r="G521" s="2">
        <v>1.6</v>
      </c>
      <c r="H521" s="2">
        <v>25990</v>
      </c>
      <c r="I521" s="2" t="s">
        <v>227</v>
      </c>
      <c r="J521" s="2" t="s">
        <v>183</v>
      </c>
      <c r="K521" s="2" t="s">
        <v>183</v>
      </c>
      <c r="L521" s="2">
        <v>792</v>
      </c>
      <c r="M521" s="2" t="s">
        <v>107</v>
      </c>
      <c r="N521" s="2" t="s">
        <v>228</v>
      </c>
    </row>
    <row r="522" spans="1:14" x14ac:dyDescent="0.25">
      <c r="A522" s="2">
        <v>7585</v>
      </c>
      <c r="B522" s="2">
        <v>7601</v>
      </c>
      <c r="C522" s="2" t="s">
        <v>226</v>
      </c>
      <c r="D522" s="2">
        <v>31</v>
      </c>
      <c r="E522" s="2" t="s">
        <v>6</v>
      </c>
      <c r="F522" s="2">
        <v>82561</v>
      </c>
      <c r="G522" s="2">
        <v>1.6</v>
      </c>
      <c r="H522" s="2">
        <v>29524</v>
      </c>
      <c r="I522" s="2" t="s">
        <v>227</v>
      </c>
      <c r="J522" s="2" t="s">
        <v>183</v>
      </c>
      <c r="K522" s="2" t="s">
        <v>183</v>
      </c>
      <c r="L522" s="2">
        <v>792</v>
      </c>
      <c r="M522" s="2" t="s">
        <v>107</v>
      </c>
      <c r="N522" s="2" t="s">
        <v>228</v>
      </c>
    </row>
    <row r="523" spans="1:14" x14ac:dyDescent="0.25">
      <c r="A523" s="2">
        <v>7586</v>
      </c>
      <c r="B523" s="2">
        <v>7601</v>
      </c>
      <c r="C523" s="2" t="s">
        <v>226</v>
      </c>
      <c r="D523" s="2">
        <v>860</v>
      </c>
      <c r="E523" s="2" t="s">
        <v>118</v>
      </c>
      <c r="F523" s="2">
        <v>26737</v>
      </c>
      <c r="G523" s="2">
        <v>0.5</v>
      </c>
      <c r="H523" s="2">
        <v>8552</v>
      </c>
      <c r="I523" s="2" t="s">
        <v>227</v>
      </c>
      <c r="J523" s="2" t="s">
        <v>183</v>
      </c>
      <c r="K523" s="2" t="s">
        <v>183</v>
      </c>
      <c r="L523" s="2">
        <v>792</v>
      </c>
      <c r="M523" s="2" t="s">
        <v>107</v>
      </c>
      <c r="N523" s="2" t="s">
        <v>228</v>
      </c>
    </row>
    <row r="524" spans="1:14" x14ac:dyDescent="0.25">
      <c r="A524" s="2">
        <v>7587</v>
      </c>
      <c r="B524" s="2">
        <v>7601</v>
      </c>
      <c r="C524" s="2" t="s">
        <v>226</v>
      </c>
      <c r="D524" s="2">
        <v>381</v>
      </c>
      <c r="E524" s="2" t="s">
        <v>50</v>
      </c>
      <c r="F524" s="2">
        <v>25554</v>
      </c>
      <c r="G524" s="2">
        <v>0.5</v>
      </c>
      <c r="H524" s="2">
        <v>8656</v>
      </c>
      <c r="I524" s="2" t="s">
        <v>227</v>
      </c>
      <c r="J524" s="2" t="s">
        <v>183</v>
      </c>
      <c r="K524" s="2" t="s">
        <v>183</v>
      </c>
      <c r="L524" s="2">
        <v>792</v>
      </c>
      <c r="M524" s="2" t="s">
        <v>107</v>
      </c>
      <c r="N524" s="2" t="s">
        <v>228</v>
      </c>
    </row>
    <row r="525" spans="1:14" x14ac:dyDescent="0.25">
      <c r="A525" s="2">
        <v>7588</v>
      </c>
      <c r="B525" s="2">
        <v>7601</v>
      </c>
      <c r="C525" s="2" t="s">
        <v>226</v>
      </c>
      <c r="D525" s="2">
        <v>368</v>
      </c>
      <c r="E525" s="2" t="s">
        <v>47</v>
      </c>
      <c r="F525" s="2">
        <v>24067</v>
      </c>
      <c r="G525" s="2">
        <v>0.5</v>
      </c>
      <c r="H525" s="2">
        <v>8191</v>
      </c>
      <c r="I525" s="2" t="s">
        <v>227</v>
      </c>
      <c r="J525" s="2" t="s">
        <v>183</v>
      </c>
      <c r="K525" s="2" t="s">
        <v>183</v>
      </c>
      <c r="L525" s="2">
        <v>792</v>
      </c>
      <c r="M525" s="2" t="s">
        <v>107</v>
      </c>
      <c r="N525" s="2" t="s">
        <v>228</v>
      </c>
    </row>
    <row r="526" spans="1:14" x14ac:dyDescent="0.25">
      <c r="A526" s="2">
        <v>7589</v>
      </c>
      <c r="B526" s="2">
        <v>7601</v>
      </c>
      <c r="C526" s="2" t="s">
        <v>226</v>
      </c>
      <c r="D526" s="2">
        <v>752</v>
      </c>
      <c r="E526" s="2" t="s">
        <v>100</v>
      </c>
      <c r="F526" s="2">
        <v>18393</v>
      </c>
      <c r="G526" s="2">
        <v>0.4</v>
      </c>
      <c r="H526" s="2">
        <v>8096</v>
      </c>
      <c r="I526" s="2" t="s">
        <v>227</v>
      </c>
      <c r="J526" s="2" t="s">
        <v>183</v>
      </c>
      <c r="K526" s="2" t="s">
        <v>183</v>
      </c>
      <c r="L526" s="2">
        <v>792</v>
      </c>
      <c r="M526" s="2" t="s">
        <v>107</v>
      </c>
      <c r="N526" s="2" t="s">
        <v>228</v>
      </c>
    </row>
    <row r="527" spans="1:14" x14ac:dyDescent="0.25">
      <c r="A527" s="2">
        <v>7590</v>
      </c>
      <c r="B527" s="2">
        <v>7601</v>
      </c>
      <c r="C527" s="2" t="s">
        <v>226</v>
      </c>
      <c r="D527" s="2">
        <v>795</v>
      </c>
      <c r="E527" s="2" t="s">
        <v>169</v>
      </c>
      <c r="F527" s="2">
        <v>11923</v>
      </c>
      <c r="G527" s="2">
        <v>0.2</v>
      </c>
      <c r="H527" s="2">
        <v>6877</v>
      </c>
      <c r="I527" s="2" t="s">
        <v>227</v>
      </c>
      <c r="J527" s="2" t="s">
        <v>183</v>
      </c>
      <c r="K527" s="2" t="s">
        <v>183</v>
      </c>
      <c r="L527" s="2">
        <v>792</v>
      </c>
      <c r="M527" s="2" t="s">
        <v>107</v>
      </c>
      <c r="N527" s="2" t="s">
        <v>228</v>
      </c>
    </row>
    <row r="528" spans="1:14" x14ac:dyDescent="0.25">
      <c r="A528" s="2">
        <v>7591</v>
      </c>
      <c r="B528" s="2">
        <v>7601</v>
      </c>
      <c r="C528" s="2" t="s">
        <v>226</v>
      </c>
      <c r="D528" s="2">
        <v>818</v>
      </c>
      <c r="E528" s="2" t="s">
        <v>28</v>
      </c>
      <c r="F528" s="2">
        <v>10881</v>
      </c>
      <c r="G528" s="2">
        <v>0.2</v>
      </c>
      <c r="H528" s="2">
        <v>4375</v>
      </c>
      <c r="I528" s="2" t="s">
        <v>227</v>
      </c>
      <c r="J528" s="2" t="s">
        <v>183</v>
      </c>
      <c r="K528" s="2" t="s">
        <v>183</v>
      </c>
      <c r="L528" s="2">
        <v>792</v>
      </c>
      <c r="M528" s="2" t="s">
        <v>107</v>
      </c>
      <c r="N528" s="2" t="s">
        <v>228</v>
      </c>
    </row>
    <row r="529" spans="1:14" x14ac:dyDescent="0.25">
      <c r="A529" s="2">
        <v>7592</v>
      </c>
      <c r="B529" s="2">
        <v>7601</v>
      </c>
      <c r="C529" s="2" t="s">
        <v>226</v>
      </c>
      <c r="D529" s="2">
        <v>276</v>
      </c>
      <c r="E529" s="2" t="s">
        <v>37</v>
      </c>
      <c r="F529" s="2">
        <v>9359</v>
      </c>
      <c r="G529" s="2">
        <v>0.2</v>
      </c>
      <c r="H529" s="2">
        <v>3224</v>
      </c>
      <c r="I529" s="2" t="s">
        <v>227</v>
      </c>
      <c r="J529" s="2" t="s">
        <v>183</v>
      </c>
      <c r="K529" s="2" t="s">
        <v>183</v>
      </c>
      <c r="L529" s="2">
        <v>792</v>
      </c>
      <c r="M529" s="2" t="s">
        <v>107</v>
      </c>
      <c r="N529" s="2" t="s">
        <v>228</v>
      </c>
    </row>
    <row r="530" spans="1:14" x14ac:dyDescent="0.25">
      <c r="A530" s="2">
        <v>7593</v>
      </c>
      <c r="B530" s="2">
        <v>7601</v>
      </c>
      <c r="C530" s="2" t="s">
        <v>226</v>
      </c>
      <c r="D530" s="2">
        <v>999</v>
      </c>
      <c r="E530" s="2" t="s">
        <v>210</v>
      </c>
      <c r="F530" s="2">
        <v>9311</v>
      </c>
      <c r="G530" s="2">
        <v>0.2</v>
      </c>
      <c r="H530" s="2">
        <v>2577</v>
      </c>
      <c r="I530" s="2" t="s">
        <v>227</v>
      </c>
      <c r="J530" s="2" t="s">
        <v>183</v>
      </c>
      <c r="K530" s="2" t="s">
        <v>183</v>
      </c>
      <c r="L530" s="2">
        <v>792</v>
      </c>
      <c r="M530" s="2" t="s">
        <v>107</v>
      </c>
      <c r="N530" s="2" t="s">
        <v>228</v>
      </c>
    </row>
    <row r="531" spans="1:14" x14ac:dyDescent="0.25">
      <c r="A531" s="2">
        <v>7594</v>
      </c>
      <c r="B531" s="2">
        <v>7601</v>
      </c>
      <c r="C531" s="2" t="s">
        <v>226</v>
      </c>
      <c r="D531" s="2">
        <v>528</v>
      </c>
      <c r="E531" s="2" t="s">
        <v>75</v>
      </c>
      <c r="F531" s="2">
        <v>7457</v>
      </c>
      <c r="G531" s="2">
        <v>0.1</v>
      </c>
      <c r="H531" s="2">
        <v>2816</v>
      </c>
      <c r="I531" s="2" t="s">
        <v>227</v>
      </c>
      <c r="J531" s="2" t="s">
        <v>183</v>
      </c>
      <c r="K531" s="2" t="s">
        <v>183</v>
      </c>
      <c r="L531" s="2">
        <v>792</v>
      </c>
      <c r="M531" s="2" t="s">
        <v>107</v>
      </c>
      <c r="N531" s="2" t="s">
        <v>228</v>
      </c>
    </row>
    <row r="532" spans="1:14" x14ac:dyDescent="0.25">
      <c r="A532" s="2">
        <v>7595</v>
      </c>
      <c r="B532" s="2">
        <v>7601</v>
      </c>
      <c r="C532" s="2" t="s">
        <v>226</v>
      </c>
      <c r="D532" s="2">
        <v>124</v>
      </c>
      <c r="E532" s="2" t="s">
        <v>16</v>
      </c>
      <c r="F532" s="2">
        <v>7394</v>
      </c>
      <c r="G532" s="2">
        <v>0.1</v>
      </c>
      <c r="H532" s="2">
        <v>3528</v>
      </c>
      <c r="I532" s="2" t="s">
        <v>227</v>
      </c>
      <c r="J532" s="2" t="s">
        <v>183</v>
      </c>
      <c r="K532" s="2" t="s">
        <v>183</v>
      </c>
      <c r="L532" s="2">
        <v>792</v>
      </c>
      <c r="M532" s="2" t="s">
        <v>107</v>
      </c>
      <c r="N532" s="2" t="s">
        <v>228</v>
      </c>
    </row>
    <row r="533" spans="1:14" x14ac:dyDescent="0.25">
      <c r="A533" s="2">
        <v>7596</v>
      </c>
      <c r="B533" s="2">
        <v>7601</v>
      </c>
      <c r="C533" s="2" t="s">
        <v>226</v>
      </c>
      <c r="D533" s="2">
        <v>862</v>
      </c>
      <c r="E533" s="2" t="s">
        <v>231</v>
      </c>
      <c r="F533" s="2">
        <v>7329</v>
      </c>
      <c r="G533" s="2">
        <v>0.1</v>
      </c>
      <c r="H533" s="2">
        <v>2723</v>
      </c>
      <c r="I533" s="2" t="s">
        <v>227</v>
      </c>
      <c r="J533" s="2" t="s">
        <v>183</v>
      </c>
      <c r="K533" s="2" t="s">
        <v>183</v>
      </c>
      <c r="L533" s="2">
        <v>792</v>
      </c>
      <c r="M533" s="2" t="s">
        <v>107</v>
      </c>
      <c r="N533" s="2" t="s">
        <v>228</v>
      </c>
    </row>
    <row r="534" spans="1:14" x14ac:dyDescent="0.25">
      <c r="A534" s="2">
        <v>7597</v>
      </c>
      <c r="B534" s="2">
        <v>7601</v>
      </c>
      <c r="C534" s="2" t="s">
        <v>226</v>
      </c>
      <c r="D534" s="2">
        <v>360</v>
      </c>
      <c r="E534" s="2" t="s">
        <v>46</v>
      </c>
      <c r="F534" s="2">
        <v>6156</v>
      </c>
      <c r="G534" s="2">
        <v>0.1</v>
      </c>
      <c r="H534" s="2">
        <v>2054</v>
      </c>
      <c r="I534" s="2" t="s">
        <v>227</v>
      </c>
      <c r="J534" s="2" t="s">
        <v>183</v>
      </c>
      <c r="K534" s="2" t="s">
        <v>183</v>
      </c>
      <c r="L534" s="2">
        <v>792</v>
      </c>
      <c r="M534" s="2" t="s">
        <v>107</v>
      </c>
      <c r="N534" s="2" t="s">
        <v>228</v>
      </c>
    </row>
    <row r="535" spans="1:14" x14ac:dyDescent="0.25">
      <c r="A535" s="2">
        <v>7598</v>
      </c>
      <c r="B535" s="2">
        <v>7601</v>
      </c>
      <c r="C535" s="2" t="s">
        <v>226</v>
      </c>
      <c r="D535" s="2">
        <v>710</v>
      </c>
      <c r="E535" s="2" t="s">
        <v>97</v>
      </c>
      <c r="F535" s="2">
        <v>163719</v>
      </c>
      <c r="G535" s="2">
        <v>22.4</v>
      </c>
      <c r="H535" s="2">
        <v>53253</v>
      </c>
      <c r="I535" s="2" t="s">
        <v>227</v>
      </c>
      <c r="J535" s="2" t="s">
        <v>183</v>
      </c>
      <c r="K535" s="2" t="s">
        <v>183</v>
      </c>
      <c r="L535" s="2">
        <v>826</v>
      </c>
      <c r="M535" s="2" t="s">
        <v>110</v>
      </c>
      <c r="N535" s="2" t="s">
        <v>228</v>
      </c>
    </row>
    <row r="536" spans="1:14" x14ac:dyDescent="0.25">
      <c r="A536" s="2">
        <v>7599</v>
      </c>
      <c r="B536" s="2">
        <v>7601</v>
      </c>
      <c r="C536" s="2" t="s">
        <v>226</v>
      </c>
      <c r="D536" s="2">
        <v>784</v>
      </c>
      <c r="E536" s="2" t="s">
        <v>109</v>
      </c>
      <c r="F536" s="2">
        <v>143249</v>
      </c>
      <c r="G536" s="2">
        <v>19.600000000000001</v>
      </c>
      <c r="H536" s="2">
        <v>41721</v>
      </c>
      <c r="I536" s="2" t="s">
        <v>227</v>
      </c>
      <c r="J536" s="2" t="s">
        <v>183</v>
      </c>
      <c r="K536" s="2" t="s">
        <v>183</v>
      </c>
      <c r="L536" s="2">
        <v>826</v>
      </c>
      <c r="M536" s="2" t="s">
        <v>110</v>
      </c>
      <c r="N536" s="2" t="s">
        <v>228</v>
      </c>
    </row>
    <row r="537" spans="1:14" x14ac:dyDescent="0.25">
      <c r="A537" s="2">
        <v>7600</v>
      </c>
      <c r="B537" s="2">
        <v>7601</v>
      </c>
      <c r="C537" s="2" t="s">
        <v>226</v>
      </c>
      <c r="D537" s="2">
        <v>352</v>
      </c>
      <c r="E537" s="2" t="s">
        <v>44</v>
      </c>
      <c r="F537" s="2">
        <v>127156</v>
      </c>
      <c r="G537" s="2">
        <v>17.399999999999999</v>
      </c>
      <c r="H537" s="2">
        <v>37748</v>
      </c>
      <c r="I537" s="2" t="s">
        <v>227</v>
      </c>
      <c r="J537" s="2" t="s">
        <v>183</v>
      </c>
      <c r="K537" s="2" t="s">
        <v>183</v>
      </c>
      <c r="L537" s="2">
        <v>826</v>
      </c>
      <c r="M537" s="2" t="s">
        <v>110</v>
      </c>
      <c r="N537" s="2" t="s">
        <v>228</v>
      </c>
    </row>
    <row r="538" spans="1:14" x14ac:dyDescent="0.25">
      <c r="A538" s="2">
        <v>7601</v>
      </c>
      <c r="B538" s="2">
        <v>7601</v>
      </c>
      <c r="C538" s="2" t="s">
        <v>226</v>
      </c>
      <c r="D538" s="2">
        <v>579</v>
      </c>
      <c r="E538" s="2" t="s">
        <v>79</v>
      </c>
      <c r="F538" s="2">
        <v>55202</v>
      </c>
      <c r="G538" s="2">
        <v>7.5</v>
      </c>
      <c r="H538" s="2">
        <v>13606</v>
      </c>
      <c r="I538" s="2" t="s">
        <v>227</v>
      </c>
      <c r="J538" s="2" t="s">
        <v>183</v>
      </c>
      <c r="K538" s="2" t="s">
        <v>183</v>
      </c>
      <c r="L538" s="2">
        <v>826</v>
      </c>
      <c r="M538" s="2" t="s">
        <v>110</v>
      </c>
      <c r="N538" s="2" t="s">
        <v>228</v>
      </c>
    </row>
    <row r="539" spans="1:14" x14ac:dyDescent="0.25">
      <c r="A539" s="2">
        <v>7602</v>
      </c>
      <c r="B539" s="2">
        <v>7601</v>
      </c>
      <c r="C539" s="2" t="s">
        <v>226</v>
      </c>
      <c r="D539" s="2">
        <v>699</v>
      </c>
      <c r="E539" s="2" t="s">
        <v>45</v>
      </c>
      <c r="F539" s="2">
        <v>45287</v>
      </c>
      <c r="G539" s="2">
        <v>6.2</v>
      </c>
      <c r="H539" s="2">
        <v>12870</v>
      </c>
      <c r="I539" s="2" t="s">
        <v>227</v>
      </c>
      <c r="J539" s="2" t="s">
        <v>183</v>
      </c>
      <c r="K539" s="2" t="s">
        <v>183</v>
      </c>
      <c r="L539" s="2">
        <v>826</v>
      </c>
      <c r="M539" s="2" t="s">
        <v>110</v>
      </c>
      <c r="N539" s="2" t="s">
        <v>228</v>
      </c>
    </row>
    <row r="540" spans="1:14" x14ac:dyDescent="0.25">
      <c r="A540" s="2">
        <v>7603</v>
      </c>
      <c r="B540" s="2">
        <v>7601</v>
      </c>
      <c r="C540" s="2" t="s">
        <v>226</v>
      </c>
      <c r="D540" s="2">
        <v>528</v>
      </c>
      <c r="E540" s="2" t="s">
        <v>75</v>
      </c>
      <c r="F540" s="2">
        <v>37119</v>
      </c>
      <c r="G540" s="2">
        <v>5.0999999999999996</v>
      </c>
      <c r="H540" s="2">
        <v>10269</v>
      </c>
      <c r="I540" s="2" t="s">
        <v>227</v>
      </c>
      <c r="J540" s="2" t="s">
        <v>183</v>
      </c>
      <c r="K540" s="2" t="s">
        <v>183</v>
      </c>
      <c r="L540" s="2">
        <v>826</v>
      </c>
      <c r="M540" s="2" t="s">
        <v>110</v>
      </c>
      <c r="N540" s="2" t="s">
        <v>228</v>
      </c>
    </row>
    <row r="541" spans="1:14" x14ac:dyDescent="0.25">
      <c r="A541" s="2">
        <v>7604</v>
      </c>
      <c r="B541" s="2">
        <v>7601</v>
      </c>
      <c r="C541" s="2" t="s">
        <v>226</v>
      </c>
      <c r="D541" s="2">
        <v>643</v>
      </c>
      <c r="E541" s="2" t="s">
        <v>209</v>
      </c>
      <c r="F541" s="2">
        <v>32845</v>
      </c>
      <c r="G541" s="2">
        <v>4.5</v>
      </c>
      <c r="H541" s="2">
        <v>11498</v>
      </c>
      <c r="I541" s="2" t="s">
        <v>227</v>
      </c>
      <c r="J541" s="2" t="s">
        <v>183</v>
      </c>
      <c r="K541" s="2" t="s">
        <v>183</v>
      </c>
      <c r="L541" s="2">
        <v>826</v>
      </c>
      <c r="M541" s="2" t="s">
        <v>110</v>
      </c>
      <c r="N541" s="2" t="s">
        <v>228</v>
      </c>
    </row>
    <row r="542" spans="1:14" x14ac:dyDescent="0.25">
      <c r="A542" s="2">
        <v>7606</v>
      </c>
      <c r="B542" s="2">
        <v>7601</v>
      </c>
      <c r="C542" s="2" t="s">
        <v>226</v>
      </c>
      <c r="D542" s="2">
        <v>398</v>
      </c>
      <c r="E542" s="2" t="s">
        <v>53</v>
      </c>
      <c r="F542" s="2">
        <v>18923</v>
      </c>
      <c r="G542" s="2">
        <v>2.6</v>
      </c>
      <c r="H542" s="2">
        <v>6360</v>
      </c>
      <c r="I542" s="2" t="s">
        <v>227</v>
      </c>
      <c r="J542" s="2" t="s">
        <v>183</v>
      </c>
      <c r="K542" s="2" t="s">
        <v>183</v>
      </c>
      <c r="L542" s="2">
        <v>826</v>
      </c>
      <c r="M542" s="2" t="s">
        <v>110</v>
      </c>
      <c r="N542" s="2" t="s">
        <v>228</v>
      </c>
    </row>
    <row r="543" spans="1:14" x14ac:dyDescent="0.25">
      <c r="A543" s="2">
        <v>7607</v>
      </c>
      <c r="B543" s="2">
        <v>7601</v>
      </c>
      <c r="C543" s="2" t="s">
        <v>226</v>
      </c>
      <c r="D543" s="2">
        <v>124</v>
      </c>
      <c r="E543" s="2" t="s">
        <v>16</v>
      </c>
      <c r="F543" s="2">
        <v>15304</v>
      </c>
      <c r="G543" s="2">
        <v>2.1</v>
      </c>
      <c r="H543" s="2">
        <v>3644</v>
      </c>
      <c r="I543" s="2" t="s">
        <v>227</v>
      </c>
      <c r="J543" s="2" t="s">
        <v>183</v>
      </c>
      <c r="K543" s="2" t="s">
        <v>183</v>
      </c>
      <c r="L543" s="2">
        <v>826</v>
      </c>
      <c r="M543" s="2" t="s">
        <v>110</v>
      </c>
      <c r="N543" s="2" t="s">
        <v>228</v>
      </c>
    </row>
    <row r="544" spans="1:14" x14ac:dyDescent="0.25">
      <c r="A544" s="2">
        <v>7608</v>
      </c>
      <c r="B544" s="2">
        <v>7601</v>
      </c>
      <c r="C544" s="2" t="s">
        <v>226</v>
      </c>
      <c r="D544" s="2">
        <v>682</v>
      </c>
      <c r="E544" s="2" t="s">
        <v>90</v>
      </c>
      <c r="F544" s="2">
        <v>14548</v>
      </c>
      <c r="G544" s="2">
        <v>2</v>
      </c>
      <c r="H544" s="2">
        <v>4303</v>
      </c>
      <c r="I544" s="2" t="s">
        <v>227</v>
      </c>
      <c r="J544" s="2" t="s">
        <v>183</v>
      </c>
      <c r="K544" s="2" t="s">
        <v>183</v>
      </c>
      <c r="L544" s="2">
        <v>826</v>
      </c>
      <c r="M544" s="2" t="s">
        <v>110</v>
      </c>
      <c r="N544" s="2" t="s">
        <v>228</v>
      </c>
    </row>
    <row r="545" spans="1:14" x14ac:dyDescent="0.25">
      <c r="A545" s="2">
        <v>7609</v>
      </c>
      <c r="B545" s="2">
        <v>7601</v>
      </c>
      <c r="C545" s="2" t="s">
        <v>226</v>
      </c>
      <c r="D545" s="2">
        <v>48</v>
      </c>
      <c r="E545" s="2" t="s">
        <v>7</v>
      </c>
      <c r="F545" s="2">
        <v>14414</v>
      </c>
      <c r="G545" s="2">
        <v>2</v>
      </c>
      <c r="H545" s="2">
        <v>5188</v>
      </c>
      <c r="I545" s="2" t="s">
        <v>227</v>
      </c>
      <c r="J545" s="2" t="s">
        <v>183</v>
      </c>
      <c r="K545" s="2" t="s">
        <v>183</v>
      </c>
      <c r="L545" s="2">
        <v>826</v>
      </c>
      <c r="M545" s="2" t="s">
        <v>110</v>
      </c>
      <c r="N545" s="2" t="s">
        <v>228</v>
      </c>
    </row>
    <row r="546" spans="1:14" x14ac:dyDescent="0.25">
      <c r="A546" s="2">
        <v>7610</v>
      </c>
      <c r="B546" s="2">
        <v>7601</v>
      </c>
      <c r="C546" s="2" t="s">
        <v>226</v>
      </c>
      <c r="D546" s="2">
        <v>276</v>
      </c>
      <c r="E546" s="2" t="s">
        <v>37</v>
      </c>
      <c r="F546" s="2">
        <v>7907</v>
      </c>
      <c r="G546" s="2">
        <v>1.1000000000000001</v>
      </c>
      <c r="H546" s="2">
        <v>2060</v>
      </c>
      <c r="I546" s="2" t="s">
        <v>227</v>
      </c>
      <c r="J546" s="2" t="s">
        <v>183</v>
      </c>
      <c r="K546" s="2" t="s">
        <v>183</v>
      </c>
      <c r="L546" s="2">
        <v>826</v>
      </c>
      <c r="M546" s="2" t="s">
        <v>110</v>
      </c>
      <c r="N546" s="2" t="s">
        <v>228</v>
      </c>
    </row>
    <row r="547" spans="1:14" x14ac:dyDescent="0.25">
      <c r="A547" s="2">
        <v>7611</v>
      </c>
      <c r="B547" s="2">
        <v>7601</v>
      </c>
      <c r="C547" s="2" t="s">
        <v>226</v>
      </c>
      <c r="D547" s="2">
        <v>724</v>
      </c>
      <c r="E547" s="2" t="s">
        <v>98</v>
      </c>
      <c r="F547" s="2">
        <v>6679</v>
      </c>
      <c r="G547" s="2">
        <v>0.9</v>
      </c>
      <c r="H547" s="2">
        <v>1501</v>
      </c>
      <c r="I547" s="2" t="s">
        <v>227</v>
      </c>
      <c r="J547" s="2" t="s">
        <v>183</v>
      </c>
      <c r="K547" s="2" t="s">
        <v>183</v>
      </c>
      <c r="L547" s="2">
        <v>826</v>
      </c>
      <c r="M547" s="2" t="s">
        <v>110</v>
      </c>
      <c r="N547" s="2" t="s">
        <v>228</v>
      </c>
    </row>
    <row r="548" spans="1:14" x14ac:dyDescent="0.25">
      <c r="A548" s="2">
        <v>7612</v>
      </c>
      <c r="B548" s="2">
        <v>7601</v>
      </c>
      <c r="C548" s="2" t="s">
        <v>226</v>
      </c>
      <c r="D548" s="2">
        <v>36</v>
      </c>
      <c r="E548" s="2" t="s">
        <v>4</v>
      </c>
      <c r="F548" s="2">
        <v>5474</v>
      </c>
      <c r="G548" s="2">
        <v>0.7</v>
      </c>
      <c r="H548" s="2">
        <v>1975</v>
      </c>
      <c r="I548" s="2" t="s">
        <v>227</v>
      </c>
      <c r="J548" s="2" t="s">
        <v>183</v>
      </c>
      <c r="K548" s="2" t="s">
        <v>183</v>
      </c>
      <c r="L548" s="2">
        <v>826</v>
      </c>
      <c r="M548" s="2" t="s">
        <v>110</v>
      </c>
      <c r="N548" s="2" t="s">
        <v>228</v>
      </c>
    </row>
    <row r="549" spans="1:14" x14ac:dyDescent="0.25">
      <c r="A549" s="2">
        <v>7613</v>
      </c>
      <c r="B549" s="2">
        <v>7601</v>
      </c>
      <c r="C549" s="2" t="s">
        <v>226</v>
      </c>
      <c r="D549" s="2">
        <v>792</v>
      </c>
      <c r="E549" s="2" t="s">
        <v>107</v>
      </c>
      <c r="F549" s="2">
        <v>3570</v>
      </c>
      <c r="G549" s="2">
        <v>0.5</v>
      </c>
      <c r="H549" s="2">
        <v>851</v>
      </c>
      <c r="I549" s="2" t="s">
        <v>227</v>
      </c>
      <c r="J549" s="2" t="s">
        <v>183</v>
      </c>
      <c r="K549" s="2" t="s">
        <v>183</v>
      </c>
      <c r="L549" s="2">
        <v>826</v>
      </c>
      <c r="M549" s="2" t="s">
        <v>110</v>
      </c>
      <c r="N549" s="2" t="s">
        <v>228</v>
      </c>
    </row>
    <row r="550" spans="1:14" x14ac:dyDescent="0.25">
      <c r="A550" s="2">
        <v>7614</v>
      </c>
      <c r="B550" s="2">
        <v>7601</v>
      </c>
      <c r="C550" s="2" t="s">
        <v>226</v>
      </c>
      <c r="D550" s="2">
        <v>616</v>
      </c>
      <c r="E550" s="2" t="s">
        <v>86</v>
      </c>
      <c r="F550" s="2">
        <v>3357</v>
      </c>
      <c r="G550" s="2">
        <v>0.5</v>
      </c>
      <c r="H550" s="2">
        <v>1001</v>
      </c>
      <c r="I550" s="2" t="s">
        <v>227</v>
      </c>
      <c r="J550" s="2" t="s">
        <v>183</v>
      </c>
      <c r="K550" s="2" t="s">
        <v>183</v>
      </c>
      <c r="L550" s="2">
        <v>826</v>
      </c>
      <c r="M550" s="2" t="s">
        <v>110</v>
      </c>
      <c r="N550" s="2" t="s">
        <v>228</v>
      </c>
    </row>
    <row r="551" spans="1:14" x14ac:dyDescent="0.25">
      <c r="A551" s="2">
        <v>7615</v>
      </c>
      <c r="B551" s="2">
        <v>7601</v>
      </c>
      <c r="C551" s="2" t="s">
        <v>226</v>
      </c>
      <c r="D551" s="2">
        <v>458</v>
      </c>
      <c r="E551" s="2" t="s">
        <v>66</v>
      </c>
      <c r="F551" s="2">
        <v>2647</v>
      </c>
      <c r="G551" s="2">
        <v>0.4</v>
      </c>
      <c r="H551" s="2">
        <v>996</v>
      </c>
      <c r="I551" s="2" t="s">
        <v>227</v>
      </c>
      <c r="J551" s="2" t="s">
        <v>183</v>
      </c>
      <c r="K551" s="2" t="s">
        <v>183</v>
      </c>
      <c r="L551" s="2">
        <v>826</v>
      </c>
      <c r="M551" s="2" t="s">
        <v>110</v>
      </c>
      <c r="N551" s="2" t="s">
        <v>228</v>
      </c>
    </row>
    <row r="552" spans="1:14" x14ac:dyDescent="0.25">
      <c r="A552" s="2">
        <v>7616</v>
      </c>
      <c r="B552" s="2">
        <v>7601</v>
      </c>
      <c r="C552" s="2" t="s">
        <v>226</v>
      </c>
      <c r="D552" s="2">
        <v>381</v>
      </c>
      <c r="E552" s="2" t="s">
        <v>50</v>
      </c>
      <c r="F552" s="2">
        <v>2438</v>
      </c>
      <c r="G552" s="2">
        <v>0.3</v>
      </c>
      <c r="H552" s="2">
        <v>357</v>
      </c>
      <c r="I552" s="2" t="s">
        <v>227</v>
      </c>
      <c r="J552" s="2" t="s">
        <v>183</v>
      </c>
      <c r="K552" s="2" t="s">
        <v>183</v>
      </c>
      <c r="L552" s="2">
        <v>826</v>
      </c>
      <c r="M552" s="2" t="s">
        <v>110</v>
      </c>
      <c r="N552" s="2" t="s">
        <v>228</v>
      </c>
    </row>
    <row r="553" spans="1:14" x14ac:dyDescent="0.25">
      <c r="A553" s="2">
        <v>7617</v>
      </c>
      <c r="B553" s="2">
        <v>7601</v>
      </c>
      <c r="C553" s="2" t="s">
        <v>226</v>
      </c>
      <c r="D553" s="2">
        <v>508</v>
      </c>
      <c r="E553" s="2" t="s">
        <v>123</v>
      </c>
      <c r="F553" s="2">
        <v>2182</v>
      </c>
      <c r="G553" s="2">
        <v>0.3</v>
      </c>
      <c r="H553" s="2">
        <v>671</v>
      </c>
      <c r="I553" s="2" t="s">
        <v>227</v>
      </c>
      <c r="J553" s="2" t="s">
        <v>183</v>
      </c>
      <c r="K553" s="2" t="s">
        <v>183</v>
      </c>
      <c r="L553" s="2">
        <v>826</v>
      </c>
      <c r="M553" s="2" t="s">
        <v>110</v>
      </c>
      <c r="N553" s="2" t="s">
        <v>228</v>
      </c>
    </row>
    <row r="554" spans="1:14" x14ac:dyDescent="0.25">
      <c r="A554" s="2">
        <v>7618</v>
      </c>
      <c r="B554" s="2">
        <v>7601</v>
      </c>
      <c r="C554" s="2" t="s">
        <v>226</v>
      </c>
      <c r="D554" s="2">
        <v>372</v>
      </c>
      <c r="E554" s="2" t="s">
        <v>48</v>
      </c>
      <c r="F554" s="2">
        <v>1982</v>
      </c>
      <c r="G554" s="2">
        <v>0.3</v>
      </c>
      <c r="H554" s="2">
        <v>574</v>
      </c>
      <c r="I554" s="2" t="s">
        <v>227</v>
      </c>
      <c r="J554" s="2" t="s">
        <v>183</v>
      </c>
      <c r="K554" s="2" t="s">
        <v>183</v>
      </c>
      <c r="L554" s="2">
        <v>826</v>
      </c>
      <c r="M554" s="2" t="s">
        <v>110</v>
      </c>
      <c r="N554" s="2" t="s">
        <v>228</v>
      </c>
    </row>
    <row r="555" spans="1:14" x14ac:dyDescent="0.25">
      <c r="A555" s="2">
        <v>7619</v>
      </c>
      <c r="B555" s="2">
        <v>7601</v>
      </c>
      <c r="C555" s="2" t="s">
        <v>226</v>
      </c>
      <c r="D555" s="2">
        <v>842</v>
      </c>
      <c r="E555" s="2" t="s">
        <v>229</v>
      </c>
      <c r="F555" s="2">
        <v>1977</v>
      </c>
      <c r="G555" s="2">
        <v>0.3</v>
      </c>
      <c r="H555" s="2">
        <v>439</v>
      </c>
      <c r="I555" s="2" t="s">
        <v>227</v>
      </c>
      <c r="J555" s="2" t="s">
        <v>183</v>
      </c>
      <c r="K555" s="2" t="s">
        <v>183</v>
      </c>
      <c r="L555" s="2">
        <v>826</v>
      </c>
      <c r="M555" s="2" t="s">
        <v>110</v>
      </c>
      <c r="N555" s="2" t="s">
        <v>228</v>
      </c>
    </row>
    <row r="556" spans="1:14" x14ac:dyDescent="0.25">
      <c r="A556" s="2">
        <v>7620</v>
      </c>
      <c r="B556" s="2">
        <v>7601</v>
      </c>
      <c r="C556" s="2" t="s">
        <v>226</v>
      </c>
      <c r="D556" s="2">
        <v>56</v>
      </c>
      <c r="E556" s="2" t="s">
        <v>11</v>
      </c>
      <c r="F556" s="2">
        <v>1087</v>
      </c>
      <c r="G556" s="2">
        <v>0.1</v>
      </c>
      <c r="H556" s="2">
        <v>202</v>
      </c>
      <c r="I556" s="2" t="s">
        <v>227</v>
      </c>
      <c r="J556" s="2" t="s">
        <v>183</v>
      </c>
      <c r="K556" s="2" t="s">
        <v>183</v>
      </c>
      <c r="L556" s="2">
        <v>826</v>
      </c>
      <c r="M556" s="2" t="s">
        <v>110</v>
      </c>
      <c r="N556" s="2" t="s">
        <v>228</v>
      </c>
    </row>
    <row r="557" spans="1:14" x14ac:dyDescent="0.25">
      <c r="A557" s="2">
        <v>7621</v>
      </c>
      <c r="B557" s="2">
        <v>7601</v>
      </c>
      <c r="C557" s="2" t="s">
        <v>226</v>
      </c>
      <c r="D557" s="2">
        <v>156</v>
      </c>
      <c r="E557" s="2" t="s">
        <v>18</v>
      </c>
      <c r="F557" s="2">
        <v>845</v>
      </c>
      <c r="G557" s="2">
        <v>0.1</v>
      </c>
      <c r="H557" s="2">
        <v>105</v>
      </c>
      <c r="I557" s="2" t="s">
        <v>227</v>
      </c>
      <c r="J557" s="2" t="s">
        <v>183</v>
      </c>
      <c r="K557" s="2" t="s">
        <v>183</v>
      </c>
      <c r="L557" s="2">
        <v>826</v>
      </c>
      <c r="M557" s="2" t="s">
        <v>110</v>
      </c>
      <c r="N557" s="2" t="s">
        <v>228</v>
      </c>
    </row>
    <row r="558" spans="1:14" x14ac:dyDescent="0.25">
      <c r="A558" s="2">
        <v>7622</v>
      </c>
      <c r="B558" s="2">
        <v>7601</v>
      </c>
      <c r="C558" s="2" t="s">
        <v>226</v>
      </c>
      <c r="D558" s="2">
        <v>124</v>
      </c>
      <c r="E558" s="2" t="s">
        <v>16</v>
      </c>
      <c r="F558" s="2">
        <v>8994437</v>
      </c>
      <c r="G558" s="2">
        <v>58.7</v>
      </c>
      <c r="H558" s="2">
        <v>2579834</v>
      </c>
      <c r="I558" s="2" t="s">
        <v>227</v>
      </c>
      <c r="J558" s="2" t="s">
        <v>183</v>
      </c>
      <c r="K558" s="2" t="s">
        <v>183</v>
      </c>
      <c r="L558" s="2">
        <v>842</v>
      </c>
      <c r="M558" s="2" t="s">
        <v>229</v>
      </c>
      <c r="N558" s="2" t="s">
        <v>228</v>
      </c>
    </row>
    <row r="559" spans="1:14" x14ac:dyDescent="0.25">
      <c r="A559" s="2">
        <v>7623</v>
      </c>
      <c r="B559" s="2">
        <v>7601</v>
      </c>
      <c r="C559" s="2" t="s">
        <v>226</v>
      </c>
      <c r="D559" s="2">
        <v>784</v>
      </c>
      <c r="E559" s="2" t="s">
        <v>109</v>
      </c>
      <c r="F559" s="2">
        <v>1868822</v>
      </c>
      <c r="G559" s="2">
        <v>12.2</v>
      </c>
      <c r="H559" s="2">
        <v>516131</v>
      </c>
      <c r="I559" s="2" t="s">
        <v>227</v>
      </c>
      <c r="J559" s="2" t="s">
        <v>183</v>
      </c>
      <c r="K559" s="2" t="s">
        <v>183</v>
      </c>
      <c r="L559" s="2">
        <v>842</v>
      </c>
      <c r="M559" s="2" t="s">
        <v>229</v>
      </c>
      <c r="N559" s="2" t="s">
        <v>228</v>
      </c>
    </row>
    <row r="560" spans="1:14" x14ac:dyDescent="0.25">
      <c r="A560" s="2">
        <v>7624</v>
      </c>
      <c r="B560" s="2">
        <v>7601</v>
      </c>
      <c r="C560" s="2" t="s">
        <v>226</v>
      </c>
      <c r="D560" s="2">
        <v>48</v>
      </c>
      <c r="E560" s="2" t="s">
        <v>7</v>
      </c>
      <c r="F560" s="2">
        <v>936440</v>
      </c>
      <c r="G560" s="2">
        <v>6.1</v>
      </c>
      <c r="H560" s="2">
        <v>272074</v>
      </c>
      <c r="I560" s="2" t="s">
        <v>227</v>
      </c>
      <c r="J560" s="2" t="s">
        <v>183</v>
      </c>
      <c r="K560" s="2" t="s">
        <v>183</v>
      </c>
      <c r="L560" s="2">
        <v>842</v>
      </c>
      <c r="M560" s="2" t="s">
        <v>229</v>
      </c>
      <c r="N560" s="2" t="s">
        <v>228</v>
      </c>
    </row>
    <row r="561" spans="1:14" x14ac:dyDescent="0.25">
      <c r="A561" s="2">
        <v>7625</v>
      </c>
      <c r="B561" s="2">
        <v>7601</v>
      </c>
      <c r="C561" s="2" t="s">
        <v>226</v>
      </c>
      <c r="D561" s="2">
        <v>36</v>
      </c>
      <c r="E561" s="2" t="s">
        <v>4</v>
      </c>
      <c r="F561" s="2">
        <v>701469</v>
      </c>
      <c r="G561" s="2">
        <v>4.5999999999999996</v>
      </c>
      <c r="H561" s="2">
        <v>207404</v>
      </c>
      <c r="I561" s="2" t="s">
        <v>227</v>
      </c>
      <c r="J561" s="2" t="s">
        <v>183</v>
      </c>
      <c r="K561" s="2" t="s">
        <v>183</v>
      </c>
      <c r="L561" s="2">
        <v>842</v>
      </c>
      <c r="M561" s="2" t="s">
        <v>229</v>
      </c>
      <c r="N561" s="2" t="s">
        <v>228</v>
      </c>
    </row>
    <row r="562" spans="1:14" x14ac:dyDescent="0.25">
      <c r="A562" s="2">
        <v>7626</v>
      </c>
      <c r="B562" s="2">
        <v>7601</v>
      </c>
      <c r="C562" s="2" t="s">
        <v>226</v>
      </c>
      <c r="D562" s="2">
        <v>643</v>
      </c>
      <c r="E562" s="2" t="s">
        <v>209</v>
      </c>
      <c r="F562" s="2">
        <v>589021</v>
      </c>
      <c r="G562" s="2">
        <v>3.8</v>
      </c>
      <c r="H562" s="2">
        <v>191809</v>
      </c>
      <c r="I562" s="2" t="s">
        <v>227</v>
      </c>
      <c r="J562" s="2" t="s">
        <v>183</v>
      </c>
      <c r="K562" s="2" t="s">
        <v>183</v>
      </c>
      <c r="L562" s="2">
        <v>842</v>
      </c>
      <c r="M562" s="2" t="s">
        <v>229</v>
      </c>
      <c r="N562" s="2" t="s">
        <v>228</v>
      </c>
    </row>
    <row r="563" spans="1:14" x14ac:dyDescent="0.25">
      <c r="A563" s="2">
        <v>7627</v>
      </c>
      <c r="B563" s="2">
        <v>7601</v>
      </c>
      <c r="C563" s="2" t="s">
        <v>226</v>
      </c>
      <c r="D563" s="2">
        <v>32</v>
      </c>
      <c r="E563" s="2" t="s">
        <v>2</v>
      </c>
      <c r="F563" s="2">
        <v>588997</v>
      </c>
      <c r="G563" s="2">
        <v>3.8</v>
      </c>
      <c r="H563" s="2">
        <v>160903</v>
      </c>
      <c r="I563" s="2" t="s">
        <v>227</v>
      </c>
      <c r="J563" s="2" t="s">
        <v>183</v>
      </c>
      <c r="K563" s="2" t="s">
        <v>183</v>
      </c>
      <c r="L563" s="2">
        <v>842</v>
      </c>
      <c r="M563" s="2" t="s">
        <v>229</v>
      </c>
      <c r="N563" s="2" t="s">
        <v>228</v>
      </c>
    </row>
    <row r="564" spans="1:14" x14ac:dyDescent="0.25">
      <c r="A564" s="2">
        <v>7628</v>
      </c>
      <c r="B564" s="2">
        <v>7601</v>
      </c>
      <c r="C564" s="2" t="s">
        <v>226</v>
      </c>
      <c r="D564" s="2">
        <v>699</v>
      </c>
      <c r="E564" s="2" t="s">
        <v>45</v>
      </c>
      <c r="F564" s="2">
        <v>493374</v>
      </c>
      <c r="G564" s="2">
        <v>3.2</v>
      </c>
      <c r="H564" s="2">
        <v>141663</v>
      </c>
      <c r="I564" s="2" t="s">
        <v>227</v>
      </c>
      <c r="J564" s="2" t="s">
        <v>183</v>
      </c>
      <c r="K564" s="2" t="s">
        <v>183</v>
      </c>
      <c r="L564" s="2">
        <v>842</v>
      </c>
      <c r="M564" s="2" t="s">
        <v>229</v>
      </c>
      <c r="N564" s="2" t="s">
        <v>228</v>
      </c>
    </row>
    <row r="565" spans="1:14" x14ac:dyDescent="0.25">
      <c r="A565" s="2">
        <v>7629</v>
      </c>
      <c r="B565" s="2">
        <v>7601</v>
      </c>
      <c r="C565" s="2" t="s">
        <v>226</v>
      </c>
      <c r="D565" s="2">
        <v>634</v>
      </c>
      <c r="E565" s="2" t="s">
        <v>88</v>
      </c>
      <c r="F565" s="2">
        <v>394267</v>
      </c>
      <c r="G565" s="2">
        <v>2.6</v>
      </c>
      <c r="H565" s="2">
        <v>114801</v>
      </c>
      <c r="I565" s="2" t="s">
        <v>227</v>
      </c>
      <c r="J565" s="2" t="s">
        <v>183</v>
      </c>
      <c r="K565" s="2" t="s">
        <v>183</v>
      </c>
      <c r="L565" s="2">
        <v>842</v>
      </c>
      <c r="M565" s="2" t="s">
        <v>229</v>
      </c>
      <c r="N565" s="2" t="s">
        <v>228</v>
      </c>
    </row>
    <row r="566" spans="1:14" x14ac:dyDescent="0.25">
      <c r="A566" s="2">
        <v>7630</v>
      </c>
      <c r="B566" s="2">
        <v>7601</v>
      </c>
      <c r="C566" s="2" t="s">
        <v>226</v>
      </c>
      <c r="D566" s="2">
        <v>710</v>
      </c>
      <c r="E566" s="2" t="s">
        <v>97</v>
      </c>
      <c r="F566" s="2">
        <v>276666</v>
      </c>
      <c r="G566" s="2">
        <v>1.8</v>
      </c>
      <c r="H566" s="2">
        <v>92701</v>
      </c>
      <c r="I566" s="2" t="s">
        <v>227</v>
      </c>
      <c r="J566" s="2" t="s">
        <v>183</v>
      </c>
      <c r="K566" s="2" t="s">
        <v>183</v>
      </c>
      <c r="L566" s="2">
        <v>842</v>
      </c>
      <c r="M566" s="2" t="s">
        <v>229</v>
      </c>
      <c r="N566" s="2" t="s">
        <v>228</v>
      </c>
    </row>
    <row r="567" spans="1:14" x14ac:dyDescent="0.25">
      <c r="A567" s="2">
        <v>7631</v>
      </c>
      <c r="B567" s="2">
        <v>7601</v>
      </c>
      <c r="C567" s="2" t="s">
        <v>226</v>
      </c>
      <c r="D567" s="2">
        <v>76</v>
      </c>
      <c r="E567" s="2" t="s">
        <v>14</v>
      </c>
      <c r="F567" s="2">
        <v>105085</v>
      </c>
      <c r="G567" s="2">
        <v>0.7</v>
      </c>
      <c r="H567" s="2">
        <v>27615</v>
      </c>
      <c r="I567" s="2" t="s">
        <v>227</v>
      </c>
      <c r="J567" s="2" t="s">
        <v>183</v>
      </c>
      <c r="K567" s="2" t="s">
        <v>183</v>
      </c>
      <c r="L567" s="2">
        <v>842</v>
      </c>
      <c r="M567" s="2" t="s">
        <v>229</v>
      </c>
      <c r="N567" s="2" t="s">
        <v>228</v>
      </c>
    </row>
    <row r="568" spans="1:14" x14ac:dyDescent="0.25">
      <c r="A568" s="2">
        <v>7632</v>
      </c>
      <c r="B568" s="2">
        <v>7601</v>
      </c>
      <c r="C568" s="2" t="s">
        <v>226</v>
      </c>
      <c r="D568" s="2">
        <v>410</v>
      </c>
      <c r="E568" s="2" t="s">
        <v>230</v>
      </c>
      <c r="F568" s="2">
        <v>81532</v>
      </c>
      <c r="G568" s="2">
        <v>0.5</v>
      </c>
      <c r="H568" s="2">
        <v>23840</v>
      </c>
      <c r="I568" s="2" t="s">
        <v>227</v>
      </c>
      <c r="J568" s="2" t="s">
        <v>183</v>
      </c>
      <c r="K568" s="2" t="s">
        <v>183</v>
      </c>
      <c r="L568" s="2">
        <v>842</v>
      </c>
      <c r="M568" s="2" t="s">
        <v>229</v>
      </c>
      <c r="N568" s="2" t="s">
        <v>228</v>
      </c>
    </row>
    <row r="569" spans="1:14" x14ac:dyDescent="0.25">
      <c r="A569" s="2">
        <v>7633</v>
      </c>
      <c r="B569" s="2">
        <v>7601</v>
      </c>
      <c r="C569" s="2" t="s">
        <v>226</v>
      </c>
      <c r="D569" s="2">
        <v>484</v>
      </c>
      <c r="E569" s="2" t="s">
        <v>70</v>
      </c>
      <c r="F569" s="2">
        <v>81045</v>
      </c>
      <c r="G569" s="2">
        <v>0.5</v>
      </c>
      <c r="H569" s="2">
        <v>25044</v>
      </c>
      <c r="I569" s="2" t="s">
        <v>227</v>
      </c>
      <c r="J569" s="2" t="s">
        <v>183</v>
      </c>
      <c r="K569" s="2" t="s">
        <v>183</v>
      </c>
      <c r="L569" s="2">
        <v>842</v>
      </c>
      <c r="M569" s="2" t="s">
        <v>229</v>
      </c>
      <c r="N569" s="2" t="s">
        <v>228</v>
      </c>
    </row>
    <row r="570" spans="1:14" x14ac:dyDescent="0.25">
      <c r="A570" s="2">
        <v>7634</v>
      </c>
      <c r="B570" s="2">
        <v>7601</v>
      </c>
      <c r="C570" s="2" t="s">
        <v>226</v>
      </c>
      <c r="D570" s="2">
        <v>792</v>
      </c>
      <c r="E570" s="2" t="s">
        <v>107</v>
      </c>
      <c r="F570" s="2">
        <v>56923</v>
      </c>
      <c r="G570" s="2">
        <v>0.4</v>
      </c>
      <c r="H570" s="2">
        <v>13043</v>
      </c>
      <c r="I570" s="2" t="s">
        <v>227</v>
      </c>
      <c r="J570" s="2" t="s">
        <v>183</v>
      </c>
      <c r="K570" s="2" t="s">
        <v>183</v>
      </c>
      <c r="L570" s="2">
        <v>842</v>
      </c>
      <c r="M570" s="2" t="s">
        <v>229</v>
      </c>
      <c r="N570" s="2" t="s">
        <v>228</v>
      </c>
    </row>
    <row r="571" spans="1:14" x14ac:dyDescent="0.25">
      <c r="A571" s="2">
        <v>7605</v>
      </c>
      <c r="B571" s="2">
        <v>7601</v>
      </c>
      <c r="C571" s="2" t="s">
        <v>226</v>
      </c>
      <c r="D571" s="2">
        <v>251</v>
      </c>
      <c r="E571" s="2" t="s">
        <v>33</v>
      </c>
      <c r="F571" s="2">
        <v>19272</v>
      </c>
      <c r="G571" s="2">
        <v>2.6</v>
      </c>
      <c r="H571" s="2">
        <v>5472</v>
      </c>
      <c r="I571" s="2" t="s">
        <v>227</v>
      </c>
      <c r="J571" s="2" t="s">
        <v>183</v>
      </c>
      <c r="K571" s="2" t="s">
        <v>183</v>
      </c>
      <c r="L571" s="2">
        <v>826</v>
      </c>
      <c r="M571" s="2" t="s">
        <v>110</v>
      </c>
      <c r="N571" s="2" t="s">
        <v>228</v>
      </c>
    </row>
    <row r="572" spans="1:14" x14ac:dyDescent="0.25">
      <c r="A572" s="2">
        <v>7636</v>
      </c>
      <c r="B572" s="2">
        <v>7601</v>
      </c>
      <c r="C572" s="2" t="s">
        <v>226</v>
      </c>
      <c r="D572" s="2">
        <v>579</v>
      </c>
      <c r="E572" s="2" t="s">
        <v>79</v>
      </c>
      <c r="F572" s="2">
        <v>22025</v>
      </c>
      <c r="G572" s="2">
        <v>0.1</v>
      </c>
      <c r="H572" s="2">
        <v>5687</v>
      </c>
      <c r="I572" s="2" t="s">
        <v>227</v>
      </c>
      <c r="J572" s="2" t="s">
        <v>183</v>
      </c>
      <c r="K572" s="2" t="s">
        <v>183</v>
      </c>
      <c r="L572" s="2">
        <v>842</v>
      </c>
      <c r="M572" s="2" t="s">
        <v>229</v>
      </c>
      <c r="N572" s="2" t="s">
        <v>228</v>
      </c>
    </row>
    <row r="573" spans="1:14" x14ac:dyDescent="0.25">
      <c r="A573" s="2">
        <v>7637</v>
      </c>
      <c r="B573" s="2">
        <v>7601</v>
      </c>
      <c r="C573" s="2" t="s">
        <v>226</v>
      </c>
      <c r="D573" s="2">
        <v>752</v>
      </c>
      <c r="E573" s="2" t="s">
        <v>100</v>
      </c>
      <c r="F573" s="2">
        <v>19539</v>
      </c>
      <c r="G573" s="2">
        <v>0.1</v>
      </c>
      <c r="H573" s="2">
        <v>7319</v>
      </c>
      <c r="I573" s="2" t="s">
        <v>227</v>
      </c>
      <c r="J573" s="2" t="s">
        <v>183</v>
      </c>
      <c r="K573" s="2" t="s">
        <v>183</v>
      </c>
      <c r="L573" s="2">
        <v>842</v>
      </c>
      <c r="M573" s="2" t="s">
        <v>229</v>
      </c>
      <c r="N573" s="2" t="s">
        <v>228</v>
      </c>
    </row>
    <row r="574" spans="1:14" x14ac:dyDescent="0.25">
      <c r="A574" s="2">
        <v>7638</v>
      </c>
      <c r="B574" s="2">
        <v>7601</v>
      </c>
      <c r="C574" s="2" t="s">
        <v>226</v>
      </c>
      <c r="D574" s="2">
        <v>276</v>
      </c>
      <c r="E574" s="2" t="s">
        <v>37</v>
      </c>
      <c r="F574" s="2">
        <v>14402</v>
      </c>
      <c r="G574" s="2">
        <v>0.1</v>
      </c>
      <c r="H574" s="2">
        <v>2435</v>
      </c>
      <c r="I574" s="2" t="s">
        <v>227</v>
      </c>
      <c r="J574" s="2" t="s">
        <v>183</v>
      </c>
      <c r="K574" s="2" t="s">
        <v>183</v>
      </c>
      <c r="L574" s="2">
        <v>842</v>
      </c>
      <c r="M574" s="2" t="s">
        <v>229</v>
      </c>
      <c r="N574" s="2" t="s">
        <v>228</v>
      </c>
    </row>
    <row r="575" spans="1:14" x14ac:dyDescent="0.25">
      <c r="A575" s="2">
        <v>7639</v>
      </c>
      <c r="B575" s="2">
        <v>7601</v>
      </c>
      <c r="C575" s="2" t="s">
        <v>226</v>
      </c>
      <c r="D575" s="2">
        <v>724</v>
      </c>
      <c r="E575" s="2" t="s">
        <v>98</v>
      </c>
      <c r="F575" s="2">
        <v>13786</v>
      </c>
      <c r="G575" s="2">
        <v>0.1</v>
      </c>
      <c r="H575" s="2">
        <v>3519</v>
      </c>
      <c r="I575" s="2" t="s">
        <v>227</v>
      </c>
      <c r="J575" s="2" t="s">
        <v>183</v>
      </c>
      <c r="K575" s="2" t="s">
        <v>183</v>
      </c>
      <c r="L575" s="2">
        <v>842</v>
      </c>
      <c r="M575" s="2" t="s">
        <v>229</v>
      </c>
      <c r="N575" s="2" t="s">
        <v>228</v>
      </c>
    </row>
    <row r="576" spans="1:14" x14ac:dyDescent="0.25">
      <c r="A576" s="2">
        <v>7640</v>
      </c>
      <c r="B576" s="2">
        <v>7601</v>
      </c>
      <c r="C576" s="2" t="s">
        <v>226</v>
      </c>
      <c r="D576" s="2">
        <v>156</v>
      </c>
      <c r="E576" s="2" t="s">
        <v>18</v>
      </c>
      <c r="F576" s="2">
        <v>8352</v>
      </c>
      <c r="G576" s="2">
        <v>0.1</v>
      </c>
      <c r="H576" s="2">
        <v>1797</v>
      </c>
      <c r="I576" s="2" t="s">
        <v>227</v>
      </c>
      <c r="J576" s="2" t="s">
        <v>183</v>
      </c>
      <c r="K576" s="2" t="s">
        <v>183</v>
      </c>
      <c r="L576" s="2">
        <v>842</v>
      </c>
      <c r="M576" s="2" t="s">
        <v>229</v>
      </c>
      <c r="N576" s="2" t="s">
        <v>228</v>
      </c>
    </row>
    <row r="577" spans="1:14" x14ac:dyDescent="0.25">
      <c r="A577" s="2">
        <v>7641</v>
      </c>
      <c r="B577" s="2">
        <v>7601</v>
      </c>
      <c r="C577" s="2" t="s">
        <v>226</v>
      </c>
      <c r="D577" s="2">
        <v>764</v>
      </c>
      <c r="E577" s="2" t="s">
        <v>103</v>
      </c>
      <c r="F577" s="2">
        <v>6981</v>
      </c>
      <c r="G577" s="2">
        <v>0</v>
      </c>
      <c r="H577" s="2">
        <v>1789</v>
      </c>
      <c r="I577" s="2" t="s">
        <v>227</v>
      </c>
      <c r="J577" s="2" t="s">
        <v>183</v>
      </c>
      <c r="K577" s="2" t="s">
        <v>183</v>
      </c>
      <c r="L577" s="2">
        <v>842</v>
      </c>
      <c r="M577" s="2" t="s">
        <v>229</v>
      </c>
      <c r="N577" s="2" t="s">
        <v>228</v>
      </c>
    </row>
    <row r="578" spans="1:14" x14ac:dyDescent="0.25">
      <c r="A578" s="2">
        <v>7642</v>
      </c>
      <c r="B578" s="2">
        <v>7601</v>
      </c>
      <c r="C578" s="2" t="s">
        <v>226</v>
      </c>
      <c r="D578" s="2">
        <v>56</v>
      </c>
      <c r="E578" s="2" t="s">
        <v>11</v>
      </c>
      <c r="F578" s="2">
        <v>6308</v>
      </c>
      <c r="G578" s="2">
        <v>0</v>
      </c>
      <c r="H578" s="2">
        <v>561</v>
      </c>
      <c r="I578" s="2" t="s">
        <v>227</v>
      </c>
      <c r="J578" s="2" t="s">
        <v>183</v>
      </c>
      <c r="K578" s="2" t="s">
        <v>183</v>
      </c>
      <c r="L578" s="2">
        <v>842</v>
      </c>
      <c r="M578" s="2" t="s">
        <v>229</v>
      </c>
      <c r="N578" s="2" t="s">
        <v>228</v>
      </c>
    </row>
    <row r="579" spans="1:14" x14ac:dyDescent="0.25">
      <c r="A579" s="2">
        <v>7643</v>
      </c>
      <c r="B579" s="2">
        <v>7601</v>
      </c>
      <c r="C579" s="2" t="s">
        <v>226</v>
      </c>
      <c r="D579" s="2">
        <v>682</v>
      </c>
      <c r="E579" s="2" t="s">
        <v>90</v>
      </c>
      <c r="F579" s="2">
        <v>6006</v>
      </c>
      <c r="G579" s="2">
        <v>0</v>
      </c>
      <c r="H579" s="2">
        <v>2645</v>
      </c>
      <c r="I579" s="2" t="s">
        <v>227</v>
      </c>
      <c r="J579" s="2" t="s">
        <v>183</v>
      </c>
      <c r="K579" s="2" t="s">
        <v>183</v>
      </c>
      <c r="L579" s="2">
        <v>842</v>
      </c>
      <c r="M579" s="2" t="s">
        <v>229</v>
      </c>
      <c r="N579" s="2" t="s">
        <v>228</v>
      </c>
    </row>
    <row r="580" spans="1:14" x14ac:dyDescent="0.25">
      <c r="A580" s="2">
        <v>7644</v>
      </c>
      <c r="B580" s="2">
        <v>7601</v>
      </c>
      <c r="C580" s="2" t="s">
        <v>226</v>
      </c>
      <c r="D580" s="2">
        <v>381</v>
      </c>
      <c r="E580" s="2" t="s">
        <v>50</v>
      </c>
      <c r="F580" s="2">
        <v>5315</v>
      </c>
      <c r="G580" s="2">
        <v>0</v>
      </c>
      <c r="H580" s="2">
        <v>1131</v>
      </c>
      <c r="I580" s="2" t="s">
        <v>227</v>
      </c>
      <c r="J580" s="2" t="s">
        <v>183</v>
      </c>
      <c r="K580" s="2" t="s">
        <v>183</v>
      </c>
      <c r="L580" s="2">
        <v>842</v>
      </c>
      <c r="M580" s="2" t="s">
        <v>229</v>
      </c>
      <c r="N580" s="2" t="s">
        <v>228</v>
      </c>
    </row>
    <row r="581" spans="1:14" x14ac:dyDescent="0.25">
      <c r="A581" s="2">
        <v>7645</v>
      </c>
      <c r="B581" s="2">
        <v>7601</v>
      </c>
      <c r="C581" s="2" t="s">
        <v>226</v>
      </c>
      <c r="D581" s="2">
        <v>554</v>
      </c>
      <c r="E581" s="2" t="s">
        <v>76</v>
      </c>
      <c r="F581" s="2">
        <v>5262</v>
      </c>
      <c r="G581" s="2">
        <v>0</v>
      </c>
      <c r="H581" s="2">
        <v>1679</v>
      </c>
      <c r="I581" s="2" t="s">
        <v>227</v>
      </c>
      <c r="J581" s="2" t="s">
        <v>183</v>
      </c>
      <c r="K581" s="2" t="s">
        <v>183</v>
      </c>
      <c r="L581" s="2">
        <v>842</v>
      </c>
      <c r="M581" s="2" t="s">
        <v>229</v>
      </c>
      <c r="N581" s="2" t="s">
        <v>228</v>
      </c>
    </row>
    <row r="582" spans="1:14" x14ac:dyDescent="0.25">
      <c r="A582" s="2">
        <v>7646</v>
      </c>
      <c r="B582" s="2">
        <v>7601</v>
      </c>
      <c r="C582" s="2" t="s">
        <v>226</v>
      </c>
      <c r="D582" s="2">
        <v>458</v>
      </c>
      <c r="E582" s="2" t="s">
        <v>66</v>
      </c>
      <c r="F582" s="2">
        <v>373754</v>
      </c>
      <c r="G582" s="2">
        <v>23.6</v>
      </c>
      <c r="H582" s="2">
        <v>118527</v>
      </c>
      <c r="I582" s="2" t="s">
        <v>227</v>
      </c>
      <c r="J582" s="2" t="s">
        <v>183</v>
      </c>
      <c r="K582" s="2" t="s">
        <v>183</v>
      </c>
      <c r="L582" s="2">
        <v>704</v>
      </c>
      <c r="M582" s="2" t="s">
        <v>232</v>
      </c>
      <c r="N582" s="2" t="s">
        <v>228</v>
      </c>
    </row>
    <row r="583" spans="1:14" x14ac:dyDescent="0.25">
      <c r="A583" s="2">
        <v>7647</v>
      </c>
      <c r="B583" s="2">
        <v>7601</v>
      </c>
      <c r="C583" s="2" t="s">
        <v>226</v>
      </c>
      <c r="D583" s="2">
        <v>699</v>
      </c>
      <c r="E583" s="2" t="s">
        <v>45</v>
      </c>
      <c r="F583" s="2">
        <v>327991</v>
      </c>
      <c r="G583" s="2">
        <v>20.7</v>
      </c>
      <c r="H583" s="2">
        <v>105029</v>
      </c>
      <c r="I583" s="2" t="s">
        <v>227</v>
      </c>
      <c r="J583" s="2" t="s">
        <v>183</v>
      </c>
      <c r="K583" s="2" t="s">
        <v>183</v>
      </c>
      <c r="L583" s="2">
        <v>704</v>
      </c>
      <c r="M583" s="2" t="s">
        <v>232</v>
      </c>
      <c r="N583" s="2" t="s">
        <v>228</v>
      </c>
    </row>
    <row r="584" spans="1:14" x14ac:dyDescent="0.25">
      <c r="A584" s="2">
        <v>7648</v>
      </c>
      <c r="B584" s="2">
        <v>7601</v>
      </c>
      <c r="C584" s="2" t="s">
        <v>226</v>
      </c>
      <c r="D584" s="2">
        <v>36</v>
      </c>
      <c r="E584" s="2" t="s">
        <v>4</v>
      </c>
      <c r="F584" s="2">
        <v>288612</v>
      </c>
      <c r="G584" s="2">
        <v>18.2</v>
      </c>
      <c r="H584" s="2">
        <v>92203</v>
      </c>
      <c r="I584" s="2" t="s">
        <v>227</v>
      </c>
      <c r="J584" s="2" t="s">
        <v>183</v>
      </c>
      <c r="K584" s="2" t="s">
        <v>183</v>
      </c>
      <c r="L584" s="2">
        <v>704</v>
      </c>
      <c r="M584" s="2" t="s">
        <v>232</v>
      </c>
      <c r="N584" s="2" t="s">
        <v>228</v>
      </c>
    </row>
    <row r="585" spans="1:14" x14ac:dyDescent="0.25">
      <c r="A585" s="2">
        <v>7649</v>
      </c>
      <c r="B585" s="2">
        <v>7601</v>
      </c>
      <c r="C585" s="2" t="s">
        <v>226</v>
      </c>
      <c r="D585" s="2">
        <v>410</v>
      </c>
      <c r="E585" s="2" t="s">
        <v>230</v>
      </c>
      <c r="F585" s="2">
        <v>199638</v>
      </c>
      <c r="G585" s="2">
        <v>12.6</v>
      </c>
      <c r="H585" s="2">
        <v>61635</v>
      </c>
      <c r="I585" s="2" t="s">
        <v>227</v>
      </c>
      <c r="J585" s="2" t="s">
        <v>183</v>
      </c>
      <c r="K585" s="2" t="s">
        <v>183</v>
      </c>
      <c r="L585" s="2">
        <v>704</v>
      </c>
      <c r="M585" s="2" t="s">
        <v>232</v>
      </c>
      <c r="N585" s="2" t="s">
        <v>228</v>
      </c>
    </row>
    <row r="586" spans="1:14" x14ac:dyDescent="0.25">
      <c r="A586" s="2">
        <v>7650</v>
      </c>
      <c r="B586" s="2">
        <v>7601</v>
      </c>
      <c r="C586" s="2" t="s">
        <v>226</v>
      </c>
      <c r="D586" s="2">
        <v>158</v>
      </c>
      <c r="E586" s="2" t="s">
        <v>233</v>
      </c>
      <c r="F586" s="2">
        <v>65145</v>
      </c>
      <c r="G586" s="2">
        <v>4.0999999999999996</v>
      </c>
      <c r="H586" s="2">
        <v>20146</v>
      </c>
      <c r="I586" s="2" t="s">
        <v>227</v>
      </c>
      <c r="J586" s="2" t="s">
        <v>183</v>
      </c>
      <c r="K586" s="2" t="s">
        <v>183</v>
      </c>
      <c r="L586" s="2">
        <v>704</v>
      </c>
      <c r="M586" s="2" t="s">
        <v>232</v>
      </c>
      <c r="N586" s="2" t="s">
        <v>228</v>
      </c>
    </row>
    <row r="587" spans="1:14" x14ac:dyDescent="0.25">
      <c r="A587" s="2">
        <v>7651</v>
      </c>
      <c r="B587" s="2">
        <v>7601</v>
      </c>
      <c r="C587" s="2" t="s">
        <v>226</v>
      </c>
      <c r="D587" s="2">
        <v>360</v>
      </c>
      <c r="E587" s="2" t="s">
        <v>46</v>
      </c>
      <c r="F587" s="2">
        <v>61138</v>
      </c>
      <c r="G587" s="2">
        <v>3.9</v>
      </c>
      <c r="H587" s="2">
        <v>18875</v>
      </c>
      <c r="I587" s="2" t="s">
        <v>227</v>
      </c>
      <c r="J587" s="2" t="s">
        <v>183</v>
      </c>
      <c r="K587" s="2" t="s">
        <v>183</v>
      </c>
      <c r="L587" s="2">
        <v>704</v>
      </c>
      <c r="M587" s="2" t="s">
        <v>232</v>
      </c>
      <c r="N587" s="2" t="s">
        <v>228</v>
      </c>
    </row>
    <row r="588" spans="1:14" x14ac:dyDescent="0.25">
      <c r="A588" s="2">
        <v>7652</v>
      </c>
      <c r="B588" s="2">
        <v>7601</v>
      </c>
      <c r="C588" s="2" t="s">
        <v>226</v>
      </c>
      <c r="D588" s="2">
        <v>764</v>
      </c>
      <c r="E588" s="2" t="s">
        <v>103</v>
      </c>
      <c r="F588" s="2">
        <v>51624</v>
      </c>
      <c r="G588" s="2">
        <v>3.3</v>
      </c>
      <c r="H588" s="2">
        <v>15938</v>
      </c>
      <c r="I588" s="2" t="s">
        <v>227</v>
      </c>
      <c r="J588" s="2" t="s">
        <v>183</v>
      </c>
      <c r="K588" s="2" t="s">
        <v>183</v>
      </c>
      <c r="L588" s="2">
        <v>704</v>
      </c>
      <c r="M588" s="2" t="s">
        <v>232</v>
      </c>
      <c r="N588" s="2" t="s">
        <v>228</v>
      </c>
    </row>
    <row r="589" spans="1:14" x14ac:dyDescent="0.25">
      <c r="A589" s="2">
        <v>7653</v>
      </c>
      <c r="B589" s="2">
        <v>7601</v>
      </c>
      <c r="C589" s="2" t="s">
        <v>226</v>
      </c>
      <c r="D589" s="2">
        <v>682</v>
      </c>
      <c r="E589" s="2" t="s">
        <v>90</v>
      </c>
      <c r="F589" s="2">
        <v>44052</v>
      </c>
      <c r="G589" s="2">
        <v>2.8</v>
      </c>
      <c r="H589" s="2">
        <v>14115</v>
      </c>
      <c r="I589" s="2" t="s">
        <v>227</v>
      </c>
      <c r="J589" s="2" t="s">
        <v>183</v>
      </c>
      <c r="K589" s="2" t="s">
        <v>183</v>
      </c>
      <c r="L589" s="2">
        <v>704</v>
      </c>
      <c r="M589" s="2" t="s">
        <v>232</v>
      </c>
      <c r="N589" s="2" t="s">
        <v>228</v>
      </c>
    </row>
    <row r="590" spans="1:14" x14ac:dyDescent="0.25">
      <c r="A590" s="2">
        <v>7654</v>
      </c>
      <c r="B590" s="2">
        <v>7601</v>
      </c>
      <c r="C590" s="2" t="s">
        <v>226</v>
      </c>
      <c r="D590" s="2">
        <v>784</v>
      </c>
      <c r="E590" s="2" t="s">
        <v>109</v>
      </c>
      <c r="F590" s="2">
        <v>37980</v>
      </c>
      <c r="G590" s="2">
        <v>2.4</v>
      </c>
      <c r="H590" s="2">
        <v>11832</v>
      </c>
      <c r="I590" s="2" t="s">
        <v>227</v>
      </c>
      <c r="J590" s="2" t="s">
        <v>183</v>
      </c>
      <c r="K590" s="2" t="s">
        <v>183</v>
      </c>
      <c r="L590" s="2">
        <v>704</v>
      </c>
      <c r="M590" s="2" t="s">
        <v>232</v>
      </c>
      <c r="N590" s="2" t="s">
        <v>228</v>
      </c>
    </row>
    <row r="591" spans="1:14" x14ac:dyDescent="0.25">
      <c r="A591" s="2">
        <v>7655</v>
      </c>
      <c r="B591" s="2">
        <v>7601</v>
      </c>
      <c r="C591" s="2" t="s">
        <v>226</v>
      </c>
      <c r="D591" s="2">
        <v>643</v>
      </c>
      <c r="E591" s="2" t="s">
        <v>209</v>
      </c>
      <c r="F591" s="2">
        <v>36711</v>
      </c>
      <c r="G591" s="2">
        <v>2.2999999999999998</v>
      </c>
      <c r="H591" s="2">
        <v>11347</v>
      </c>
      <c r="I591" s="2" t="s">
        <v>227</v>
      </c>
      <c r="J591" s="2" t="s">
        <v>183</v>
      </c>
      <c r="K591" s="2" t="s">
        <v>183</v>
      </c>
      <c r="L591" s="2">
        <v>704</v>
      </c>
      <c r="M591" s="2" t="s">
        <v>232</v>
      </c>
      <c r="N591" s="2" t="s">
        <v>228</v>
      </c>
    </row>
    <row r="592" spans="1:14" x14ac:dyDescent="0.25">
      <c r="A592" s="2">
        <v>7656</v>
      </c>
      <c r="B592" s="2">
        <v>7601</v>
      </c>
      <c r="C592" s="2" t="s">
        <v>226</v>
      </c>
      <c r="D592" s="2">
        <v>156</v>
      </c>
      <c r="E592" s="2" t="s">
        <v>18</v>
      </c>
      <c r="F592" s="2">
        <v>32059</v>
      </c>
      <c r="G592" s="2">
        <v>2</v>
      </c>
      <c r="H592" s="2">
        <v>9922</v>
      </c>
      <c r="I592" s="2" t="s">
        <v>227</v>
      </c>
      <c r="J592" s="2" t="s">
        <v>183</v>
      </c>
      <c r="K592" s="2" t="s">
        <v>183</v>
      </c>
      <c r="L592" s="2">
        <v>704</v>
      </c>
      <c r="M592" s="2" t="s">
        <v>232</v>
      </c>
      <c r="N592" s="2" t="s">
        <v>228</v>
      </c>
    </row>
    <row r="593" spans="1:14" x14ac:dyDescent="0.25">
      <c r="A593" s="2">
        <v>7657</v>
      </c>
      <c r="B593" s="2">
        <v>7601</v>
      </c>
      <c r="C593" s="2" t="s">
        <v>226</v>
      </c>
      <c r="D593" s="2">
        <v>634</v>
      </c>
      <c r="E593" s="2" t="s">
        <v>88</v>
      </c>
      <c r="F593" s="2">
        <v>28048</v>
      </c>
      <c r="G593" s="2">
        <v>1.8</v>
      </c>
      <c r="H593" s="2">
        <v>8690</v>
      </c>
      <c r="I593" s="2" t="s">
        <v>227</v>
      </c>
      <c r="J593" s="2" t="s">
        <v>183</v>
      </c>
      <c r="K593" s="2" t="s">
        <v>183</v>
      </c>
      <c r="L593" s="2">
        <v>704</v>
      </c>
      <c r="M593" s="2" t="s">
        <v>232</v>
      </c>
      <c r="N593" s="2" t="s">
        <v>228</v>
      </c>
    </row>
    <row r="594" spans="1:14" x14ac:dyDescent="0.25">
      <c r="A594" s="2">
        <v>7658</v>
      </c>
      <c r="B594" s="2">
        <v>7601</v>
      </c>
      <c r="C594" s="2" t="s">
        <v>226</v>
      </c>
      <c r="D594" s="2">
        <v>710</v>
      </c>
      <c r="E594" s="2" t="s">
        <v>97</v>
      </c>
      <c r="F594" s="2">
        <v>13112</v>
      </c>
      <c r="G594" s="2">
        <v>0.8</v>
      </c>
      <c r="H594" s="2">
        <v>4201</v>
      </c>
      <c r="I594" s="2" t="s">
        <v>227</v>
      </c>
      <c r="J594" s="2" t="s">
        <v>183</v>
      </c>
      <c r="K594" s="2" t="s">
        <v>183</v>
      </c>
      <c r="L594" s="2">
        <v>704</v>
      </c>
      <c r="M594" s="2" t="s">
        <v>232</v>
      </c>
      <c r="N594" s="2" t="s">
        <v>228</v>
      </c>
    </row>
    <row r="595" spans="1:14" x14ac:dyDescent="0.25">
      <c r="A595" s="2">
        <v>7659</v>
      </c>
      <c r="B595" s="2">
        <v>7601</v>
      </c>
      <c r="C595" s="2" t="s">
        <v>226</v>
      </c>
      <c r="D595" s="2">
        <v>724</v>
      </c>
      <c r="E595" s="2" t="s">
        <v>98</v>
      </c>
      <c r="F595" s="2">
        <v>12310</v>
      </c>
      <c r="G595" s="2">
        <v>0.8</v>
      </c>
      <c r="H595" s="2">
        <v>3800</v>
      </c>
      <c r="I595" s="2" t="s">
        <v>227</v>
      </c>
      <c r="J595" s="2" t="s">
        <v>183</v>
      </c>
      <c r="K595" s="2" t="s">
        <v>183</v>
      </c>
      <c r="L595" s="2">
        <v>704</v>
      </c>
      <c r="M595" s="2" t="s">
        <v>232</v>
      </c>
      <c r="N595" s="2" t="s">
        <v>228</v>
      </c>
    </row>
    <row r="596" spans="1:14" x14ac:dyDescent="0.25">
      <c r="A596" s="2">
        <v>7660</v>
      </c>
      <c r="B596" s="2">
        <v>7601</v>
      </c>
      <c r="C596" s="2" t="s">
        <v>226</v>
      </c>
      <c r="D596" s="2">
        <v>702</v>
      </c>
      <c r="E596" s="2" t="s">
        <v>93</v>
      </c>
      <c r="F596" s="2">
        <v>2719</v>
      </c>
      <c r="G596" s="2">
        <v>0.2</v>
      </c>
      <c r="H596" s="2">
        <v>871</v>
      </c>
      <c r="I596" s="2" t="s">
        <v>227</v>
      </c>
      <c r="J596" s="2" t="s">
        <v>183</v>
      </c>
      <c r="K596" s="2" t="s">
        <v>183</v>
      </c>
      <c r="L596" s="2">
        <v>704</v>
      </c>
      <c r="M596" s="2" t="s">
        <v>232</v>
      </c>
      <c r="N596" s="2" t="s">
        <v>228</v>
      </c>
    </row>
    <row r="597" spans="1:14" x14ac:dyDescent="0.25">
      <c r="A597" s="2">
        <v>7661</v>
      </c>
      <c r="B597" s="2">
        <v>7601</v>
      </c>
      <c r="C597" s="2" t="s">
        <v>226</v>
      </c>
      <c r="D597" s="2">
        <v>116</v>
      </c>
      <c r="E597" s="2" t="s">
        <v>126</v>
      </c>
      <c r="F597" s="2">
        <v>2291</v>
      </c>
      <c r="G597" s="2">
        <v>0.1</v>
      </c>
      <c r="H597" s="2">
        <v>734</v>
      </c>
      <c r="I597" s="2" t="s">
        <v>227</v>
      </c>
      <c r="J597" s="2" t="s">
        <v>183</v>
      </c>
      <c r="K597" s="2" t="s">
        <v>183</v>
      </c>
      <c r="L597" s="2">
        <v>704</v>
      </c>
      <c r="M597" s="2" t="s">
        <v>232</v>
      </c>
      <c r="N597" s="2" t="s">
        <v>228</v>
      </c>
    </row>
    <row r="598" spans="1:14" x14ac:dyDescent="0.25">
      <c r="A598" s="2">
        <v>7662</v>
      </c>
      <c r="B598" s="2">
        <v>7601</v>
      </c>
      <c r="C598" s="2" t="s">
        <v>226</v>
      </c>
      <c r="D598" s="2">
        <v>40</v>
      </c>
      <c r="E598" s="2" t="s">
        <v>5</v>
      </c>
      <c r="F598" s="2">
        <v>1807</v>
      </c>
      <c r="G598" s="2">
        <v>0.1</v>
      </c>
      <c r="H598" s="2">
        <v>579</v>
      </c>
      <c r="I598" s="2" t="s">
        <v>227</v>
      </c>
      <c r="J598" s="2" t="s">
        <v>183</v>
      </c>
      <c r="K598" s="2" t="s">
        <v>183</v>
      </c>
      <c r="L598" s="2">
        <v>704</v>
      </c>
      <c r="M598" s="2" t="s">
        <v>232</v>
      </c>
      <c r="N598" s="2" t="s">
        <v>228</v>
      </c>
    </row>
    <row r="599" spans="1:14" x14ac:dyDescent="0.25">
      <c r="A599" s="2">
        <v>7663</v>
      </c>
      <c r="B599" s="2">
        <v>7601</v>
      </c>
      <c r="C599" s="2" t="s">
        <v>226</v>
      </c>
      <c r="D599" s="2">
        <v>554</v>
      </c>
      <c r="E599" s="2" t="s">
        <v>76</v>
      </c>
      <c r="F599" s="2">
        <v>1695</v>
      </c>
      <c r="G599" s="2">
        <v>0.1</v>
      </c>
      <c r="H599" s="2">
        <v>543</v>
      </c>
      <c r="I599" s="2" t="s">
        <v>227</v>
      </c>
      <c r="J599" s="2" t="s">
        <v>183</v>
      </c>
      <c r="K599" s="2" t="s">
        <v>183</v>
      </c>
      <c r="L599" s="2">
        <v>704</v>
      </c>
      <c r="M599" s="2" t="s">
        <v>232</v>
      </c>
      <c r="N599" s="2" t="s">
        <v>228</v>
      </c>
    </row>
    <row r="600" spans="1:14" x14ac:dyDescent="0.25">
      <c r="A600" s="2">
        <v>7203</v>
      </c>
      <c r="B600" s="2">
        <v>7601</v>
      </c>
      <c r="C600" s="2" t="s">
        <v>226</v>
      </c>
      <c r="D600" s="2">
        <v>392</v>
      </c>
      <c r="E600" s="2" t="s">
        <v>51</v>
      </c>
      <c r="F600" s="2">
        <v>12</v>
      </c>
      <c r="G600" s="2">
        <v>0</v>
      </c>
      <c r="H600" s="2">
        <v>3.7199999999999998</v>
      </c>
      <c r="I600" s="2" t="s">
        <v>227</v>
      </c>
      <c r="J600" s="2">
        <v>0</v>
      </c>
      <c r="K600" s="2" t="s">
        <v>235</v>
      </c>
      <c r="L600" s="2">
        <v>246</v>
      </c>
      <c r="M600" s="2" t="s">
        <v>32</v>
      </c>
      <c r="N600" s="2" t="s">
        <v>228</v>
      </c>
    </row>
    <row r="601" spans="1:14" x14ac:dyDescent="0.25">
      <c r="A601" s="2">
        <v>7665</v>
      </c>
      <c r="B601" s="2">
        <v>7601</v>
      </c>
      <c r="C601" s="2" t="s">
        <v>226</v>
      </c>
      <c r="D601" s="2">
        <v>381</v>
      </c>
      <c r="E601" s="2" t="s">
        <v>50</v>
      </c>
      <c r="F601" s="2">
        <v>1335</v>
      </c>
      <c r="G601" s="2">
        <v>0.1</v>
      </c>
      <c r="H601" s="2">
        <v>412</v>
      </c>
      <c r="I601" s="2" t="s">
        <v>227</v>
      </c>
      <c r="J601" s="2" t="s">
        <v>183</v>
      </c>
      <c r="K601" s="2" t="s">
        <v>183</v>
      </c>
      <c r="L601" s="2">
        <v>704</v>
      </c>
      <c r="M601" s="2" t="s">
        <v>232</v>
      </c>
      <c r="N601" s="2" t="s">
        <v>228</v>
      </c>
    </row>
    <row r="602" spans="1:14" x14ac:dyDescent="0.25">
      <c r="A602" s="2">
        <v>7666</v>
      </c>
      <c r="B602" s="2">
        <v>7601</v>
      </c>
      <c r="C602" s="2" t="s">
        <v>226</v>
      </c>
      <c r="D602" s="2">
        <v>752</v>
      </c>
      <c r="E602" s="2" t="s">
        <v>100</v>
      </c>
      <c r="F602" s="2">
        <v>1015</v>
      </c>
      <c r="G602" s="2">
        <v>0.1</v>
      </c>
      <c r="H602" s="2">
        <v>325</v>
      </c>
      <c r="I602" s="2" t="s">
        <v>227</v>
      </c>
      <c r="J602" s="2" t="s">
        <v>183</v>
      </c>
      <c r="K602" s="2" t="s">
        <v>183</v>
      </c>
      <c r="L602" s="2">
        <v>704</v>
      </c>
      <c r="M602" s="2" t="s">
        <v>232</v>
      </c>
      <c r="N602" s="2" t="s">
        <v>228</v>
      </c>
    </row>
    <row r="603" spans="1:14" x14ac:dyDescent="0.25">
      <c r="A603" s="2">
        <v>7667</v>
      </c>
      <c r="B603" s="2">
        <v>7601</v>
      </c>
      <c r="C603" s="2" t="s">
        <v>226</v>
      </c>
      <c r="D603" s="2">
        <v>566</v>
      </c>
      <c r="E603" s="2" t="s">
        <v>78</v>
      </c>
      <c r="F603" s="2">
        <v>999</v>
      </c>
      <c r="G603" s="2">
        <v>0.1</v>
      </c>
      <c r="H603" s="2">
        <v>308</v>
      </c>
      <c r="I603" s="2" t="s">
        <v>227</v>
      </c>
      <c r="J603" s="2" t="s">
        <v>183</v>
      </c>
      <c r="K603" s="2" t="s">
        <v>183</v>
      </c>
      <c r="L603" s="2">
        <v>704</v>
      </c>
      <c r="M603" s="2" t="s">
        <v>232</v>
      </c>
      <c r="N603" s="2" t="s">
        <v>228</v>
      </c>
    </row>
    <row r="604" spans="1:14" x14ac:dyDescent="0.25">
      <c r="A604" s="2">
        <v>7668</v>
      </c>
      <c r="B604" s="2">
        <v>7601</v>
      </c>
      <c r="C604" s="2" t="s">
        <v>226</v>
      </c>
      <c r="D604" s="2">
        <v>76</v>
      </c>
      <c r="E604" s="2" t="s">
        <v>14</v>
      </c>
      <c r="F604" s="2">
        <v>355</v>
      </c>
      <c r="G604" s="2">
        <v>0</v>
      </c>
      <c r="H604" s="2">
        <v>110</v>
      </c>
      <c r="I604" s="2" t="s">
        <v>227</v>
      </c>
      <c r="J604" s="2" t="s">
        <v>183</v>
      </c>
      <c r="K604" s="2" t="s">
        <v>183</v>
      </c>
      <c r="L604" s="2">
        <v>704</v>
      </c>
      <c r="M604" s="2" t="s">
        <v>232</v>
      </c>
      <c r="N604" s="2" t="s">
        <v>228</v>
      </c>
    </row>
    <row r="605" spans="1:14" x14ac:dyDescent="0.25">
      <c r="A605" s="2">
        <v>7669</v>
      </c>
      <c r="B605" s="2">
        <v>7601</v>
      </c>
      <c r="C605" s="2" t="s">
        <v>226</v>
      </c>
      <c r="D605" s="2">
        <v>842</v>
      </c>
      <c r="E605" s="2" t="s">
        <v>229</v>
      </c>
      <c r="F605" s="2">
        <v>213</v>
      </c>
      <c r="G605" s="2">
        <v>0</v>
      </c>
      <c r="H605" s="2">
        <v>66</v>
      </c>
      <c r="I605" s="2" t="s">
        <v>227</v>
      </c>
      <c r="J605" s="2" t="s">
        <v>183</v>
      </c>
      <c r="K605" s="2" t="s">
        <v>183</v>
      </c>
      <c r="L605" s="2">
        <v>704</v>
      </c>
      <c r="M605" s="2" t="s">
        <v>232</v>
      </c>
      <c r="N605" s="2" t="s">
        <v>228</v>
      </c>
    </row>
    <row r="606" spans="1:14" x14ac:dyDescent="0.25">
      <c r="A606" s="2">
        <v>7670</v>
      </c>
      <c r="B606" s="2">
        <v>7601</v>
      </c>
      <c r="C606" s="2" t="s">
        <v>226</v>
      </c>
      <c r="D606" s="2">
        <v>643</v>
      </c>
      <c r="E606" s="2" t="s">
        <v>209</v>
      </c>
      <c r="F606" s="2">
        <v>426062</v>
      </c>
      <c r="G606" s="2">
        <v>57.6</v>
      </c>
      <c r="H606" s="2">
        <v>130680</v>
      </c>
      <c r="I606" s="2" t="s">
        <v>227</v>
      </c>
      <c r="J606" s="2" t="s">
        <v>183</v>
      </c>
      <c r="K606" s="2" t="s">
        <v>183</v>
      </c>
      <c r="L606" s="2">
        <v>579</v>
      </c>
      <c r="M606" s="2" t="s">
        <v>79</v>
      </c>
      <c r="N606" s="2" t="s">
        <v>228</v>
      </c>
    </row>
    <row r="607" spans="1:14" x14ac:dyDescent="0.25">
      <c r="A607" s="2">
        <v>7671</v>
      </c>
      <c r="B607" s="2">
        <v>7601</v>
      </c>
      <c r="C607" s="2" t="s">
        <v>226</v>
      </c>
      <c r="D607" s="2">
        <v>784</v>
      </c>
      <c r="E607" s="2" t="s">
        <v>109</v>
      </c>
      <c r="F607" s="2">
        <v>83591</v>
      </c>
      <c r="G607" s="2">
        <v>11.3</v>
      </c>
      <c r="H607" s="2">
        <v>25367</v>
      </c>
      <c r="I607" s="2" t="s">
        <v>227</v>
      </c>
      <c r="J607" s="2" t="s">
        <v>183</v>
      </c>
      <c r="K607" s="2" t="s">
        <v>183</v>
      </c>
      <c r="L607" s="2">
        <v>579</v>
      </c>
      <c r="M607" s="2" t="s">
        <v>79</v>
      </c>
      <c r="N607" s="2" t="s">
        <v>228</v>
      </c>
    </row>
    <row r="608" spans="1:14" x14ac:dyDescent="0.25">
      <c r="A608" s="2">
        <v>7672</v>
      </c>
      <c r="B608" s="2">
        <v>7601</v>
      </c>
      <c r="C608" s="2" t="s">
        <v>226</v>
      </c>
      <c r="D608" s="2">
        <v>710</v>
      </c>
      <c r="E608" s="2" t="s">
        <v>97</v>
      </c>
      <c r="F608" s="2">
        <v>35042</v>
      </c>
      <c r="G608" s="2">
        <v>4.7</v>
      </c>
      <c r="H608" s="2">
        <v>10656</v>
      </c>
      <c r="I608" s="2" t="s">
        <v>227</v>
      </c>
      <c r="J608" s="2" t="s">
        <v>183</v>
      </c>
      <c r="K608" s="2" t="s">
        <v>183</v>
      </c>
      <c r="L608" s="2">
        <v>579</v>
      </c>
      <c r="M608" s="2" t="s">
        <v>79</v>
      </c>
      <c r="N608" s="2" t="s">
        <v>228</v>
      </c>
    </row>
    <row r="609" spans="1:14" x14ac:dyDescent="0.25">
      <c r="A609" s="2">
        <v>7673</v>
      </c>
      <c r="B609" s="2">
        <v>7601</v>
      </c>
      <c r="C609" s="2" t="s">
        <v>226</v>
      </c>
      <c r="D609" s="2">
        <v>699</v>
      </c>
      <c r="E609" s="2" t="s">
        <v>45</v>
      </c>
      <c r="F609" s="2">
        <v>33315</v>
      </c>
      <c r="G609" s="2">
        <v>4.5</v>
      </c>
      <c r="H609" s="2">
        <v>10680</v>
      </c>
      <c r="I609" s="2" t="s">
        <v>227</v>
      </c>
      <c r="J609" s="2" t="s">
        <v>183</v>
      </c>
      <c r="K609" s="2" t="s">
        <v>183</v>
      </c>
      <c r="L609" s="2">
        <v>579</v>
      </c>
      <c r="M609" s="2" t="s">
        <v>79</v>
      </c>
      <c r="N609" s="2" t="s">
        <v>228</v>
      </c>
    </row>
    <row r="610" spans="1:14" x14ac:dyDescent="0.25">
      <c r="A610" s="2">
        <v>7674</v>
      </c>
      <c r="B610" s="2">
        <v>7601</v>
      </c>
      <c r="C610" s="2" t="s">
        <v>226</v>
      </c>
      <c r="D610" s="2">
        <v>48</v>
      </c>
      <c r="E610" s="2" t="s">
        <v>7</v>
      </c>
      <c r="F610" s="2">
        <v>30916</v>
      </c>
      <c r="G610" s="2">
        <v>4.2</v>
      </c>
      <c r="H610" s="2">
        <v>7783</v>
      </c>
      <c r="I610" s="2" t="s">
        <v>227</v>
      </c>
      <c r="J610" s="2" t="s">
        <v>183</v>
      </c>
      <c r="K610" s="2" t="s">
        <v>183</v>
      </c>
      <c r="L610" s="2">
        <v>579</v>
      </c>
      <c r="M610" s="2" t="s">
        <v>79</v>
      </c>
      <c r="N610" s="2" t="s">
        <v>228</v>
      </c>
    </row>
    <row r="611" spans="1:14" x14ac:dyDescent="0.25">
      <c r="A611" s="2">
        <v>7675</v>
      </c>
      <c r="B611" s="2">
        <v>7601</v>
      </c>
      <c r="C611" s="2" t="s">
        <v>226</v>
      </c>
      <c r="D611" s="2">
        <v>398</v>
      </c>
      <c r="E611" s="2" t="s">
        <v>53</v>
      </c>
      <c r="F611" s="2">
        <v>22674</v>
      </c>
      <c r="G611" s="2">
        <v>3.1</v>
      </c>
      <c r="H611" s="2">
        <v>7686</v>
      </c>
      <c r="I611" s="2" t="s">
        <v>227</v>
      </c>
      <c r="J611" s="2" t="s">
        <v>183</v>
      </c>
      <c r="K611" s="2" t="s">
        <v>183</v>
      </c>
      <c r="L611" s="2">
        <v>579</v>
      </c>
      <c r="M611" s="2" t="s">
        <v>79</v>
      </c>
      <c r="N611" s="2" t="s">
        <v>228</v>
      </c>
    </row>
    <row r="612" spans="1:14" x14ac:dyDescent="0.25">
      <c r="A612" s="2">
        <v>7676</v>
      </c>
      <c r="B612" s="2">
        <v>7601</v>
      </c>
      <c r="C612" s="2" t="s">
        <v>226</v>
      </c>
      <c r="D612" s="2">
        <v>752</v>
      </c>
      <c r="E612" s="2" t="s">
        <v>100</v>
      </c>
      <c r="F612" s="2">
        <v>19708</v>
      </c>
      <c r="G612" s="2">
        <v>2.7</v>
      </c>
      <c r="H612" s="2">
        <v>6759</v>
      </c>
      <c r="I612" s="2" t="s">
        <v>227</v>
      </c>
      <c r="J612" s="2" t="s">
        <v>183</v>
      </c>
      <c r="K612" s="2" t="s">
        <v>183</v>
      </c>
      <c r="L612" s="2">
        <v>579</v>
      </c>
      <c r="M612" s="2" t="s">
        <v>79</v>
      </c>
      <c r="N612" s="2" t="s">
        <v>228</v>
      </c>
    </row>
    <row r="613" spans="1:14" x14ac:dyDescent="0.25">
      <c r="A613" s="2">
        <v>7677</v>
      </c>
      <c r="B613" s="2">
        <v>7601</v>
      </c>
      <c r="C613" s="2" t="s">
        <v>226</v>
      </c>
      <c r="D613" s="2">
        <v>702</v>
      </c>
      <c r="E613" s="2" t="s">
        <v>93</v>
      </c>
      <c r="F613" s="2">
        <v>17966</v>
      </c>
      <c r="G613" s="2">
        <v>2.4</v>
      </c>
      <c r="H613" s="2">
        <v>4896</v>
      </c>
      <c r="I613" s="2" t="s">
        <v>227</v>
      </c>
      <c r="J613" s="2" t="s">
        <v>183</v>
      </c>
      <c r="K613" s="2" t="s">
        <v>183</v>
      </c>
      <c r="L613" s="2">
        <v>579</v>
      </c>
      <c r="M613" s="2" t="s">
        <v>79</v>
      </c>
      <c r="N613" s="2" t="s">
        <v>228</v>
      </c>
    </row>
    <row r="614" spans="1:14" x14ac:dyDescent="0.25">
      <c r="A614" s="2">
        <v>7678</v>
      </c>
      <c r="B614" s="2">
        <v>7601</v>
      </c>
      <c r="C614" s="2" t="s">
        <v>226</v>
      </c>
      <c r="D614" s="2">
        <v>528</v>
      </c>
      <c r="E614" s="2" t="s">
        <v>75</v>
      </c>
      <c r="F614" s="2">
        <v>14289</v>
      </c>
      <c r="G614" s="2">
        <v>1.9</v>
      </c>
      <c r="H614" s="2">
        <v>4397</v>
      </c>
      <c r="I614" s="2" t="s">
        <v>227</v>
      </c>
      <c r="J614" s="2" t="s">
        <v>183</v>
      </c>
      <c r="K614" s="2" t="s">
        <v>183</v>
      </c>
      <c r="L614" s="2">
        <v>579</v>
      </c>
      <c r="M614" s="2" t="s">
        <v>79</v>
      </c>
      <c r="N614" s="2" t="s">
        <v>228</v>
      </c>
    </row>
    <row r="615" spans="1:14" x14ac:dyDescent="0.25">
      <c r="A615" s="2">
        <v>7679</v>
      </c>
      <c r="B615" s="2">
        <v>7601</v>
      </c>
      <c r="C615" s="2" t="s">
        <v>226</v>
      </c>
      <c r="D615" s="2">
        <v>512</v>
      </c>
      <c r="E615" s="2" t="s">
        <v>80</v>
      </c>
      <c r="F615" s="2">
        <v>13717</v>
      </c>
      <c r="G615" s="2">
        <v>1.9</v>
      </c>
      <c r="H615" s="2">
        <v>4959</v>
      </c>
      <c r="I615" s="2" t="s">
        <v>227</v>
      </c>
      <c r="J615" s="2" t="s">
        <v>183</v>
      </c>
      <c r="K615" s="2" t="s">
        <v>183</v>
      </c>
      <c r="L615" s="2">
        <v>579</v>
      </c>
      <c r="M615" s="2" t="s">
        <v>79</v>
      </c>
      <c r="N615" s="2" t="s">
        <v>228</v>
      </c>
    </row>
    <row r="616" spans="1:14" x14ac:dyDescent="0.25">
      <c r="A616" s="2">
        <v>7680</v>
      </c>
      <c r="B616" s="2">
        <v>7601</v>
      </c>
      <c r="C616" s="2" t="s">
        <v>226</v>
      </c>
      <c r="D616" s="2">
        <v>156</v>
      </c>
      <c r="E616" s="2" t="s">
        <v>18</v>
      </c>
      <c r="F616" s="2">
        <v>7543</v>
      </c>
      <c r="G616" s="2">
        <v>1</v>
      </c>
      <c r="H616" s="2">
        <v>1614</v>
      </c>
      <c r="I616" s="2" t="s">
        <v>227</v>
      </c>
      <c r="J616" s="2" t="s">
        <v>183</v>
      </c>
      <c r="K616" s="2" t="s">
        <v>183</v>
      </c>
      <c r="L616" s="2">
        <v>579</v>
      </c>
      <c r="M616" s="2" t="s">
        <v>79</v>
      </c>
      <c r="N616" s="2" t="s">
        <v>228</v>
      </c>
    </row>
    <row r="617" spans="1:14" x14ac:dyDescent="0.25">
      <c r="A617" s="2">
        <v>7681</v>
      </c>
      <c r="B617" s="2">
        <v>7601</v>
      </c>
      <c r="C617" s="2" t="s">
        <v>226</v>
      </c>
      <c r="D617" s="2">
        <v>458</v>
      </c>
      <c r="E617" s="2" t="s">
        <v>66</v>
      </c>
      <c r="F617" s="2">
        <v>6211</v>
      </c>
      <c r="G617" s="2">
        <v>0.8</v>
      </c>
      <c r="H617" s="2">
        <v>2192</v>
      </c>
      <c r="I617" s="2" t="s">
        <v>227</v>
      </c>
      <c r="J617" s="2" t="s">
        <v>183</v>
      </c>
      <c r="K617" s="2" t="s">
        <v>183</v>
      </c>
      <c r="L617" s="2">
        <v>579</v>
      </c>
      <c r="M617" s="2" t="s">
        <v>79</v>
      </c>
      <c r="N617" s="2" t="s">
        <v>228</v>
      </c>
    </row>
    <row r="618" spans="1:14" x14ac:dyDescent="0.25">
      <c r="A618" s="2">
        <v>7682</v>
      </c>
      <c r="B618" s="2">
        <v>7601</v>
      </c>
      <c r="C618" s="2" t="s">
        <v>226</v>
      </c>
      <c r="D618" s="2">
        <v>36</v>
      </c>
      <c r="E618" s="2" t="s">
        <v>4</v>
      </c>
      <c r="F618" s="2">
        <v>5735</v>
      </c>
      <c r="G618" s="2">
        <v>0.8</v>
      </c>
      <c r="H618" s="2">
        <v>1979</v>
      </c>
      <c r="I618" s="2" t="s">
        <v>227</v>
      </c>
      <c r="J618" s="2" t="s">
        <v>183</v>
      </c>
      <c r="K618" s="2" t="s">
        <v>183</v>
      </c>
      <c r="L618" s="2">
        <v>579</v>
      </c>
      <c r="M618" s="2" t="s">
        <v>79</v>
      </c>
      <c r="N618" s="2" t="s">
        <v>228</v>
      </c>
    </row>
    <row r="619" spans="1:14" x14ac:dyDescent="0.25">
      <c r="A619" s="2">
        <v>7683</v>
      </c>
      <c r="B619" s="2">
        <v>7601</v>
      </c>
      <c r="C619" s="2" t="s">
        <v>226</v>
      </c>
      <c r="D619" s="2">
        <v>233</v>
      </c>
      <c r="E619" s="2" t="s">
        <v>30</v>
      </c>
      <c r="F619" s="2">
        <v>4582</v>
      </c>
      <c r="G619" s="2">
        <v>0.6</v>
      </c>
      <c r="H619" s="2">
        <v>1076</v>
      </c>
      <c r="I619" s="2" t="s">
        <v>227</v>
      </c>
      <c r="J619" s="2" t="s">
        <v>183</v>
      </c>
      <c r="K619" s="2" t="s">
        <v>183</v>
      </c>
      <c r="L619" s="2">
        <v>579</v>
      </c>
      <c r="M619" s="2" t="s">
        <v>79</v>
      </c>
      <c r="N619" s="2" t="s">
        <v>228</v>
      </c>
    </row>
    <row r="620" spans="1:14" x14ac:dyDescent="0.25">
      <c r="A620" s="2">
        <v>7684</v>
      </c>
      <c r="B620" s="2">
        <v>7601</v>
      </c>
      <c r="C620" s="2" t="s">
        <v>226</v>
      </c>
      <c r="D620" s="2">
        <v>40</v>
      </c>
      <c r="E620" s="2" t="s">
        <v>5</v>
      </c>
      <c r="F620" s="2">
        <v>4558</v>
      </c>
      <c r="G620" s="2">
        <v>0.6</v>
      </c>
      <c r="H620" s="2">
        <v>1188</v>
      </c>
      <c r="I620" s="2" t="s">
        <v>227</v>
      </c>
      <c r="J620" s="2" t="s">
        <v>183</v>
      </c>
      <c r="K620" s="2" t="s">
        <v>183</v>
      </c>
      <c r="L620" s="2">
        <v>579</v>
      </c>
      <c r="M620" s="2" t="s">
        <v>79</v>
      </c>
      <c r="N620" s="2" t="s">
        <v>228</v>
      </c>
    </row>
    <row r="621" spans="1:14" x14ac:dyDescent="0.25">
      <c r="A621" s="2">
        <v>7685</v>
      </c>
      <c r="B621" s="2">
        <v>7601</v>
      </c>
      <c r="C621" s="2" t="s">
        <v>226</v>
      </c>
      <c r="D621" s="2">
        <v>826</v>
      </c>
      <c r="E621" s="2" t="s">
        <v>110</v>
      </c>
      <c r="F621" s="2">
        <v>4064</v>
      </c>
      <c r="G621" s="2">
        <v>0.5</v>
      </c>
      <c r="H621" s="2">
        <v>1458</v>
      </c>
      <c r="I621" s="2" t="s">
        <v>227</v>
      </c>
      <c r="J621" s="2" t="s">
        <v>183</v>
      </c>
      <c r="K621" s="2" t="s">
        <v>183</v>
      </c>
      <c r="L621" s="2">
        <v>579</v>
      </c>
      <c r="M621" s="2" t="s">
        <v>79</v>
      </c>
      <c r="N621" s="2" t="s">
        <v>228</v>
      </c>
    </row>
    <row r="622" spans="1:14" x14ac:dyDescent="0.25">
      <c r="A622" s="2">
        <v>7686</v>
      </c>
      <c r="B622" s="2">
        <v>7601</v>
      </c>
      <c r="C622" s="2" t="s">
        <v>226</v>
      </c>
      <c r="D622" s="2">
        <v>616</v>
      </c>
      <c r="E622" s="2" t="s">
        <v>86</v>
      </c>
      <c r="F622" s="2">
        <v>3105</v>
      </c>
      <c r="G622" s="2">
        <v>0.4</v>
      </c>
      <c r="H622" s="2">
        <v>822</v>
      </c>
      <c r="I622" s="2" t="s">
        <v>227</v>
      </c>
      <c r="J622" s="2" t="s">
        <v>183</v>
      </c>
      <c r="K622" s="2" t="s">
        <v>183</v>
      </c>
      <c r="L622" s="2">
        <v>579</v>
      </c>
      <c r="M622" s="2" t="s">
        <v>79</v>
      </c>
      <c r="N622" s="2" t="s">
        <v>228</v>
      </c>
    </row>
    <row r="623" spans="1:14" x14ac:dyDescent="0.25">
      <c r="A623" s="2">
        <v>7687</v>
      </c>
      <c r="B623" s="2">
        <v>7601</v>
      </c>
      <c r="C623" s="2" t="s">
        <v>226</v>
      </c>
      <c r="D623" s="2">
        <v>276</v>
      </c>
      <c r="E623" s="2" t="s">
        <v>37</v>
      </c>
      <c r="F623" s="2">
        <v>2372</v>
      </c>
      <c r="G623" s="2">
        <v>0.3</v>
      </c>
      <c r="H623" s="2">
        <v>675</v>
      </c>
      <c r="I623" s="2" t="s">
        <v>227</v>
      </c>
      <c r="J623" s="2" t="s">
        <v>183</v>
      </c>
      <c r="K623" s="2" t="s">
        <v>183</v>
      </c>
      <c r="L623" s="2">
        <v>579</v>
      </c>
      <c r="M623" s="2" t="s">
        <v>79</v>
      </c>
      <c r="N623" s="2" t="s">
        <v>228</v>
      </c>
    </row>
    <row r="624" spans="1:14" x14ac:dyDescent="0.25">
      <c r="A624" s="2">
        <v>7688</v>
      </c>
      <c r="B624" s="2">
        <v>7601</v>
      </c>
      <c r="C624" s="2" t="s">
        <v>226</v>
      </c>
      <c r="D624" s="2">
        <v>352</v>
      </c>
      <c r="E624" s="2" t="s">
        <v>44</v>
      </c>
      <c r="F624" s="2">
        <v>1908</v>
      </c>
      <c r="G624" s="2">
        <v>0.3</v>
      </c>
      <c r="H624" s="2">
        <v>647</v>
      </c>
      <c r="I624" s="2" t="s">
        <v>227</v>
      </c>
      <c r="J624" s="2" t="s">
        <v>183</v>
      </c>
      <c r="K624" s="2" t="s">
        <v>183</v>
      </c>
      <c r="L624" s="2">
        <v>579</v>
      </c>
      <c r="M624" s="2" t="s">
        <v>79</v>
      </c>
      <c r="N624" s="2" t="s">
        <v>228</v>
      </c>
    </row>
    <row r="625" spans="1:14" x14ac:dyDescent="0.25">
      <c r="A625" s="2">
        <v>7689</v>
      </c>
      <c r="B625" s="2">
        <v>7601</v>
      </c>
      <c r="C625" s="2" t="s">
        <v>226</v>
      </c>
      <c r="D625" s="2">
        <v>724</v>
      </c>
      <c r="E625" s="2" t="s">
        <v>98</v>
      </c>
      <c r="F625" s="2">
        <v>1678</v>
      </c>
      <c r="G625" s="2">
        <v>0.2</v>
      </c>
      <c r="H625" s="2">
        <v>304</v>
      </c>
      <c r="I625" s="2" t="s">
        <v>227</v>
      </c>
      <c r="J625" s="2" t="s">
        <v>183</v>
      </c>
      <c r="K625" s="2" t="s">
        <v>183</v>
      </c>
      <c r="L625" s="2">
        <v>579</v>
      </c>
      <c r="M625" s="2" t="s">
        <v>79</v>
      </c>
      <c r="N625" s="2" t="s">
        <v>228</v>
      </c>
    </row>
    <row r="626" spans="1:14" x14ac:dyDescent="0.25">
      <c r="A626" s="2">
        <v>7433</v>
      </c>
      <c r="B626" s="2">
        <v>7601</v>
      </c>
      <c r="C626" s="2" t="s">
        <v>226</v>
      </c>
      <c r="D626" s="2">
        <v>251</v>
      </c>
      <c r="E626" s="2" t="s">
        <v>33</v>
      </c>
      <c r="F626" s="2">
        <v>22282</v>
      </c>
      <c r="G626" s="2">
        <v>4</v>
      </c>
      <c r="H626" s="2">
        <v>5355</v>
      </c>
      <c r="I626" s="2" t="s">
        <v>227</v>
      </c>
      <c r="J626" s="2" t="s">
        <v>183</v>
      </c>
      <c r="K626" s="2" t="s">
        <v>183</v>
      </c>
      <c r="L626" s="2">
        <v>620</v>
      </c>
      <c r="M626" s="2" t="s">
        <v>87</v>
      </c>
      <c r="N626" s="2" t="s">
        <v>228</v>
      </c>
    </row>
    <row r="627" spans="1:14" x14ac:dyDescent="0.25">
      <c r="A627" s="2">
        <v>7691</v>
      </c>
      <c r="B627" s="2">
        <v>7601</v>
      </c>
      <c r="C627" s="2" t="s">
        <v>226</v>
      </c>
      <c r="D627" s="2">
        <v>381</v>
      </c>
      <c r="E627" s="2" t="s">
        <v>50</v>
      </c>
      <c r="F627" s="2">
        <v>236</v>
      </c>
      <c r="G627" s="2">
        <v>0</v>
      </c>
      <c r="H627" s="2">
        <v>71</v>
      </c>
      <c r="I627" s="2" t="s">
        <v>227</v>
      </c>
      <c r="J627" s="2" t="s">
        <v>183</v>
      </c>
      <c r="K627" s="2" t="s">
        <v>183</v>
      </c>
      <c r="L627" s="2">
        <v>579</v>
      </c>
      <c r="M627" s="2" t="s">
        <v>79</v>
      </c>
      <c r="N627" s="2" t="s">
        <v>228</v>
      </c>
    </row>
    <row r="628" spans="1:14" x14ac:dyDescent="0.25">
      <c r="A628" s="2">
        <v>7692</v>
      </c>
      <c r="B628" s="2">
        <v>7601</v>
      </c>
      <c r="C628" s="2" t="s">
        <v>226</v>
      </c>
      <c r="D628" s="2">
        <v>208</v>
      </c>
      <c r="E628" s="2" t="s">
        <v>24</v>
      </c>
      <c r="F628" s="2">
        <v>91</v>
      </c>
      <c r="G628" s="2">
        <v>0</v>
      </c>
      <c r="H628" s="2">
        <v>27</v>
      </c>
      <c r="I628" s="2" t="s">
        <v>227</v>
      </c>
      <c r="J628" s="2" t="s">
        <v>183</v>
      </c>
      <c r="K628" s="2" t="s">
        <v>183</v>
      </c>
      <c r="L628" s="2">
        <v>579</v>
      </c>
      <c r="M628" s="2" t="s">
        <v>79</v>
      </c>
      <c r="N628" s="2" t="s">
        <v>228</v>
      </c>
    </row>
    <row r="629" spans="1:14" x14ac:dyDescent="0.25">
      <c r="A629" s="2">
        <v>7693</v>
      </c>
      <c r="B629" s="2">
        <v>7601</v>
      </c>
      <c r="C629" s="2" t="s">
        <v>226</v>
      </c>
      <c r="D629" s="2">
        <v>756</v>
      </c>
      <c r="E629" s="2" t="s">
        <v>101</v>
      </c>
      <c r="F629" s="2">
        <v>80</v>
      </c>
      <c r="G629" s="2">
        <v>0</v>
      </c>
      <c r="H629" s="2">
        <v>25</v>
      </c>
      <c r="I629" s="2" t="s">
        <v>227</v>
      </c>
      <c r="J629" s="2" t="s">
        <v>183</v>
      </c>
      <c r="K629" s="2" t="s">
        <v>183</v>
      </c>
      <c r="L629" s="2">
        <v>579</v>
      </c>
      <c r="M629" s="2" t="s">
        <v>79</v>
      </c>
      <c r="N629" s="2" t="s">
        <v>228</v>
      </c>
    </row>
    <row r="630" spans="1:14" x14ac:dyDescent="0.25">
      <c r="A630" s="2">
        <v>7171</v>
      </c>
      <c r="B630" s="2">
        <v>7601</v>
      </c>
      <c r="C630" s="2" t="s">
        <v>226</v>
      </c>
      <c r="D630" s="2">
        <v>251</v>
      </c>
      <c r="E630" s="2" t="s">
        <v>33</v>
      </c>
      <c r="F630" s="2">
        <v>17553</v>
      </c>
      <c r="G630" s="2">
        <v>2</v>
      </c>
      <c r="H630" s="2">
        <v>5239</v>
      </c>
      <c r="I630" s="2" t="s">
        <v>227</v>
      </c>
      <c r="J630" s="2" t="s">
        <v>183</v>
      </c>
      <c r="K630" s="2" t="s">
        <v>183</v>
      </c>
      <c r="L630" s="2">
        <v>203</v>
      </c>
      <c r="M630" s="2" t="s">
        <v>211</v>
      </c>
      <c r="N630" s="2" t="s">
        <v>228</v>
      </c>
    </row>
    <row r="631" spans="1:14" x14ac:dyDescent="0.25">
      <c r="A631" s="2">
        <v>7635</v>
      </c>
      <c r="B631" s="2">
        <v>7601</v>
      </c>
      <c r="C631" s="2" t="s">
        <v>226</v>
      </c>
      <c r="D631" s="2">
        <v>251</v>
      </c>
      <c r="E631" s="2" t="s">
        <v>33</v>
      </c>
      <c r="F631" s="2">
        <v>38691</v>
      </c>
      <c r="G631" s="2">
        <v>0.3</v>
      </c>
      <c r="H631" s="2">
        <v>2492</v>
      </c>
      <c r="I631" s="2" t="s">
        <v>227</v>
      </c>
      <c r="J631" s="2" t="s">
        <v>183</v>
      </c>
      <c r="K631" s="2" t="s">
        <v>183</v>
      </c>
      <c r="L631" s="2">
        <v>842</v>
      </c>
      <c r="M631" s="2" t="s">
        <v>229</v>
      </c>
      <c r="N631" s="2" t="s">
        <v>228</v>
      </c>
    </row>
    <row r="632" spans="1:14" x14ac:dyDescent="0.25">
      <c r="A632" s="2">
        <v>7562</v>
      </c>
      <c r="B632" s="2">
        <v>7601</v>
      </c>
      <c r="C632" s="2" t="s">
        <v>226</v>
      </c>
      <c r="D632" s="2">
        <v>251</v>
      </c>
      <c r="E632" s="2" t="s">
        <v>33</v>
      </c>
      <c r="F632" s="2">
        <v>2283</v>
      </c>
      <c r="G632" s="2">
        <v>0.2</v>
      </c>
      <c r="H632" s="2">
        <v>131</v>
      </c>
      <c r="I632" s="2" t="s">
        <v>227</v>
      </c>
      <c r="J632" s="2" t="s">
        <v>183</v>
      </c>
      <c r="K632" s="2" t="s">
        <v>183</v>
      </c>
      <c r="L632" s="2">
        <v>752</v>
      </c>
      <c r="M632" s="2" t="s">
        <v>100</v>
      </c>
      <c r="N632" s="2" t="s">
        <v>228</v>
      </c>
    </row>
    <row r="633" spans="1:14" x14ac:dyDescent="0.25">
      <c r="A633" s="2">
        <v>7690</v>
      </c>
      <c r="B633" s="2">
        <v>7601</v>
      </c>
      <c r="C633" s="2" t="s">
        <v>226</v>
      </c>
      <c r="D633" s="2">
        <v>251</v>
      </c>
      <c r="E633" s="2" t="s">
        <v>33</v>
      </c>
      <c r="F633" s="2">
        <v>338</v>
      </c>
      <c r="G633" s="2">
        <v>0</v>
      </c>
      <c r="H633" s="2">
        <v>90</v>
      </c>
      <c r="I633" s="2" t="s">
        <v>227</v>
      </c>
      <c r="J633" s="2" t="s">
        <v>183</v>
      </c>
      <c r="K633" s="2" t="s">
        <v>183</v>
      </c>
      <c r="L633" s="2">
        <v>579</v>
      </c>
      <c r="M633" s="2" t="s">
        <v>79</v>
      </c>
      <c r="N633" s="2" t="s">
        <v>228</v>
      </c>
    </row>
    <row r="634" spans="1:14" x14ac:dyDescent="0.25">
      <c r="A634" s="2">
        <v>7405</v>
      </c>
      <c r="B634" s="2">
        <v>7601</v>
      </c>
      <c r="C634" s="2" t="s">
        <v>226</v>
      </c>
      <c r="D634" s="2">
        <v>251</v>
      </c>
      <c r="E634" s="2" t="s">
        <v>33</v>
      </c>
      <c r="F634" s="2">
        <v>127</v>
      </c>
      <c r="G634" s="2">
        <v>0</v>
      </c>
      <c r="H634" s="2">
        <v>32</v>
      </c>
      <c r="I634" s="2" t="s">
        <v>227</v>
      </c>
      <c r="J634" s="2" t="s">
        <v>183</v>
      </c>
      <c r="K634" s="2" t="s">
        <v>183</v>
      </c>
      <c r="L634" s="2">
        <v>504</v>
      </c>
      <c r="M634" s="2" t="s">
        <v>73</v>
      </c>
      <c r="N634" s="2" t="s">
        <v>228</v>
      </c>
    </row>
    <row r="635" spans="1:14" x14ac:dyDescent="0.25">
      <c r="A635" s="2">
        <v>7205</v>
      </c>
      <c r="B635" s="2">
        <v>7601</v>
      </c>
      <c r="C635" s="2" t="s">
        <v>226</v>
      </c>
      <c r="D635" s="2">
        <v>251</v>
      </c>
      <c r="E635" s="2" t="s">
        <v>33</v>
      </c>
      <c r="F635" s="2">
        <v>8</v>
      </c>
      <c r="G635" s="2">
        <v>0</v>
      </c>
      <c r="H635" s="2">
        <v>0</v>
      </c>
      <c r="I635" s="2" t="s">
        <v>227</v>
      </c>
      <c r="J635" s="2" t="s">
        <v>183</v>
      </c>
      <c r="K635" s="2" t="s">
        <v>183</v>
      </c>
      <c r="L635" s="2">
        <v>246</v>
      </c>
      <c r="M635" s="2" t="s">
        <v>32</v>
      </c>
      <c r="N635" s="2" t="s">
        <v>228</v>
      </c>
    </row>
    <row r="636" spans="1:14" x14ac:dyDescent="0.25">
      <c r="A636" s="2">
        <v>75</v>
      </c>
      <c r="B636" s="2" t="s">
        <v>257</v>
      </c>
      <c r="C636" s="2" t="s">
        <v>226</v>
      </c>
      <c r="D636" s="2">
        <v>356</v>
      </c>
      <c r="E636" s="2" t="s">
        <v>45</v>
      </c>
      <c r="F636" s="2">
        <v>48147</v>
      </c>
      <c r="G636" s="2">
        <v>11.8</v>
      </c>
      <c r="H636" s="2">
        <v>19252</v>
      </c>
      <c r="I636" s="2" t="s">
        <v>227</v>
      </c>
      <c r="J636" s="2"/>
      <c r="K636" s="2"/>
      <c r="L636" s="2">
        <v>124</v>
      </c>
      <c r="M636" s="2" t="s">
        <v>16</v>
      </c>
      <c r="N636" s="2" t="s">
        <v>228</v>
      </c>
    </row>
    <row r="637" spans="1:14" x14ac:dyDescent="0.25">
      <c r="A637" s="2">
        <v>76</v>
      </c>
      <c r="B637" s="2" t="s">
        <v>257</v>
      </c>
      <c r="C637" s="2" t="s">
        <v>226</v>
      </c>
      <c r="D637" s="2">
        <v>634</v>
      </c>
      <c r="E637" s="2" t="s">
        <v>88</v>
      </c>
      <c r="F637" s="2">
        <v>27039</v>
      </c>
      <c r="G637" s="2">
        <v>6.6</v>
      </c>
      <c r="H637" s="2">
        <v>9219</v>
      </c>
      <c r="I637" s="2" t="s">
        <v>227</v>
      </c>
      <c r="J637" s="2"/>
      <c r="K637" s="2"/>
      <c r="L637" s="2">
        <v>124</v>
      </c>
      <c r="M637" s="2" t="s">
        <v>16</v>
      </c>
      <c r="N637" s="2" t="s">
        <v>228</v>
      </c>
    </row>
    <row r="638" spans="1:14" x14ac:dyDescent="0.25">
      <c r="A638" s="2">
        <v>77</v>
      </c>
      <c r="B638" s="2" t="s">
        <v>257</v>
      </c>
      <c r="C638" s="2" t="s">
        <v>226</v>
      </c>
      <c r="D638" s="2">
        <v>784</v>
      </c>
      <c r="E638" s="2" t="s">
        <v>109</v>
      </c>
      <c r="F638" s="2">
        <v>25779</v>
      </c>
      <c r="G638" s="2">
        <v>6.3</v>
      </c>
      <c r="H638" s="2">
        <v>9743</v>
      </c>
      <c r="I638" s="2" t="s">
        <v>227</v>
      </c>
      <c r="J638" s="2"/>
      <c r="K638" s="2"/>
      <c r="L638" s="2">
        <v>124</v>
      </c>
      <c r="M638" s="2" t="s">
        <v>16</v>
      </c>
      <c r="N638" s="2" t="s">
        <v>228</v>
      </c>
    </row>
    <row r="639" spans="1:14" x14ac:dyDescent="0.25">
      <c r="A639" s="2">
        <v>78</v>
      </c>
      <c r="B639" s="2" t="s">
        <v>257</v>
      </c>
      <c r="C639" s="2" t="s">
        <v>226</v>
      </c>
      <c r="D639" s="2">
        <v>48</v>
      </c>
      <c r="E639" s="2" t="s">
        <v>7</v>
      </c>
      <c r="F639" s="2">
        <v>16675</v>
      </c>
      <c r="G639" s="2">
        <v>4.0999999999999996</v>
      </c>
      <c r="H639" s="2">
        <v>5968</v>
      </c>
      <c r="I639" s="2" t="s">
        <v>227</v>
      </c>
      <c r="J639" s="2"/>
      <c r="K639" s="2"/>
      <c r="L639" s="2">
        <v>124</v>
      </c>
      <c r="M639" s="2" t="s">
        <v>16</v>
      </c>
      <c r="N639" s="2" t="s">
        <v>228</v>
      </c>
    </row>
    <row r="640" spans="1:14" x14ac:dyDescent="0.25">
      <c r="A640" s="2">
        <v>79</v>
      </c>
      <c r="B640" s="2" t="s">
        <v>257</v>
      </c>
      <c r="C640" s="2" t="s">
        <v>226</v>
      </c>
      <c r="D640" s="2">
        <v>36</v>
      </c>
      <c r="E640" s="2" t="s">
        <v>4</v>
      </c>
      <c r="F640" s="2">
        <v>15826</v>
      </c>
      <c r="G640" s="2">
        <v>3.9</v>
      </c>
      <c r="H640" s="2">
        <v>5397</v>
      </c>
      <c r="I640" s="2" t="s">
        <v>227</v>
      </c>
      <c r="J640" s="2"/>
      <c r="K640" s="2"/>
      <c r="L640" s="2">
        <v>124</v>
      </c>
      <c r="M640" s="2" t="s">
        <v>16</v>
      </c>
      <c r="N640" s="2" t="s">
        <v>228</v>
      </c>
    </row>
    <row r="641" spans="1:14" x14ac:dyDescent="0.25">
      <c r="A641" s="2">
        <v>80</v>
      </c>
      <c r="B641" s="2" t="s">
        <v>257</v>
      </c>
      <c r="C641" s="2" t="s">
        <v>226</v>
      </c>
      <c r="D641" s="2">
        <v>124</v>
      </c>
      <c r="E641" s="2" t="s">
        <v>16</v>
      </c>
      <c r="F641" s="2">
        <v>8551</v>
      </c>
      <c r="G641" s="2">
        <v>2.1</v>
      </c>
      <c r="H641" s="2">
        <v>2987</v>
      </c>
      <c r="I641" s="2" t="s">
        <v>227</v>
      </c>
      <c r="J641" s="2"/>
      <c r="K641" s="2"/>
      <c r="L641" s="2">
        <v>124</v>
      </c>
      <c r="M641" s="2" t="s">
        <v>16</v>
      </c>
      <c r="N641" s="2" t="s">
        <v>228</v>
      </c>
    </row>
    <row r="642" spans="1:14" x14ac:dyDescent="0.25">
      <c r="A642" s="2">
        <v>81</v>
      </c>
      <c r="B642" s="2" t="s">
        <v>257</v>
      </c>
      <c r="C642" s="2" t="s">
        <v>226</v>
      </c>
      <c r="D642" s="2">
        <v>792</v>
      </c>
      <c r="E642" s="2" t="s">
        <v>255</v>
      </c>
      <c r="F642" s="2">
        <v>5674</v>
      </c>
      <c r="G642" s="2">
        <v>1.4</v>
      </c>
      <c r="H642" s="2">
        <v>1977</v>
      </c>
      <c r="I642" s="2" t="s">
        <v>227</v>
      </c>
      <c r="J642" s="2"/>
      <c r="K642" s="2"/>
      <c r="L642" s="2">
        <v>124</v>
      </c>
      <c r="M642" s="2" t="s">
        <v>16</v>
      </c>
      <c r="N642" s="2" t="s">
        <v>228</v>
      </c>
    </row>
    <row r="643" spans="1:14" x14ac:dyDescent="0.25">
      <c r="A643" s="2">
        <v>82</v>
      </c>
      <c r="B643" s="2" t="s">
        <v>257</v>
      </c>
      <c r="C643" s="2" t="s">
        <v>226</v>
      </c>
      <c r="D643" s="2">
        <v>410</v>
      </c>
      <c r="E643" s="2" t="s">
        <v>253</v>
      </c>
      <c r="F643" s="2">
        <v>5320</v>
      </c>
      <c r="G643" s="2">
        <v>1.3</v>
      </c>
      <c r="H643" s="2">
        <v>2280</v>
      </c>
      <c r="I643" s="2" t="s">
        <v>227</v>
      </c>
      <c r="J643" s="2"/>
      <c r="K643" s="2"/>
      <c r="L643" s="2">
        <v>124</v>
      </c>
      <c r="M643" s="2" t="s">
        <v>16</v>
      </c>
      <c r="N643" s="2" t="s">
        <v>228</v>
      </c>
    </row>
    <row r="644" spans="1:14" x14ac:dyDescent="0.25">
      <c r="A644" s="2">
        <v>83</v>
      </c>
      <c r="B644" s="2" t="s">
        <v>257</v>
      </c>
      <c r="C644" s="2" t="s">
        <v>226</v>
      </c>
      <c r="D644" s="2">
        <v>156</v>
      </c>
      <c r="E644" s="2" t="s">
        <v>18</v>
      </c>
      <c r="F644" s="2">
        <v>1764</v>
      </c>
      <c r="G644" s="2">
        <v>0.4</v>
      </c>
      <c r="H644" s="2">
        <v>448</v>
      </c>
      <c r="I644" s="2" t="s">
        <v>227</v>
      </c>
      <c r="J644" s="2"/>
      <c r="K644" s="2"/>
      <c r="L644" s="2">
        <v>124</v>
      </c>
      <c r="M644" s="2" t="s">
        <v>16</v>
      </c>
      <c r="N644" s="2" t="s">
        <v>228</v>
      </c>
    </row>
    <row r="645" spans="1:14" x14ac:dyDescent="0.25">
      <c r="A645" s="2">
        <v>84</v>
      </c>
      <c r="B645" s="2" t="s">
        <v>257</v>
      </c>
      <c r="C645" s="2" t="s">
        <v>226</v>
      </c>
      <c r="D645" s="2">
        <v>528</v>
      </c>
      <c r="E645" s="2" t="s">
        <v>75</v>
      </c>
      <c r="F645" s="2">
        <v>1582</v>
      </c>
      <c r="G645" s="2">
        <v>0.4</v>
      </c>
      <c r="H645" s="2">
        <v>443</v>
      </c>
      <c r="I645" s="2" t="s">
        <v>227</v>
      </c>
      <c r="J645" s="2"/>
      <c r="K645" s="2"/>
      <c r="L645" s="2">
        <v>124</v>
      </c>
      <c r="M645" s="2" t="s">
        <v>16</v>
      </c>
      <c r="N645" s="2" t="s">
        <v>228</v>
      </c>
    </row>
    <row r="646" spans="1:14" x14ac:dyDescent="0.25">
      <c r="A646" s="2">
        <v>85</v>
      </c>
      <c r="B646" s="2" t="s">
        <v>257</v>
      </c>
      <c r="C646" s="2" t="s">
        <v>226</v>
      </c>
      <c r="D646" s="2">
        <v>554</v>
      </c>
      <c r="E646" s="2" t="s">
        <v>76</v>
      </c>
      <c r="F646" s="2">
        <v>1169</v>
      </c>
      <c r="G646" s="2">
        <v>0.3</v>
      </c>
      <c r="H646" s="2">
        <v>355</v>
      </c>
      <c r="I646" s="2" t="s">
        <v>227</v>
      </c>
      <c r="J646" s="2"/>
      <c r="K646" s="2"/>
      <c r="L646" s="2">
        <v>124</v>
      </c>
      <c r="M646" s="2" t="s">
        <v>16</v>
      </c>
      <c r="N646" s="2" t="s">
        <v>228</v>
      </c>
    </row>
    <row r="647" spans="1:14" x14ac:dyDescent="0.25">
      <c r="A647" s="2">
        <v>86</v>
      </c>
      <c r="B647" s="2" t="s">
        <v>257</v>
      </c>
      <c r="C647" s="2" t="s">
        <v>226</v>
      </c>
      <c r="D647" s="2">
        <v>31</v>
      </c>
      <c r="E647" s="2" t="s">
        <v>6</v>
      </c>
      <c r="F647" s="2">
        <v>988</v>
      </c>
      <c r="G647" s="2">
        <v>0.2</v>
      </c>
      <c r="H647" s="2">
        <v>380</v>
      </c>
      <c r="I647" s="2" t="s">
        <v>227</v>
      </c>
      <c r="J647" s="2"/>
      <c r="K647" s="2"/>
      <c r="L647" s="2">
        <v>124</v>
      </c>
      <c r="M647" s="2" t="s">
        <v>16</v>
      </c>
      <c r="N647" s="2" t="s">
        <v>228</v>
      </c>
    </row>
    <row r="648" spans="1:14" x14ac:dyDescent="0.25">
      <c r="A648" s="2">
        <v>87</v>
      </c>
      <c r="B648" s="2" t="s">
        <v>257</v>
      </c>
      <c r="C648" s="2" t="s">
        <v>226</v>
      </c>
      <c r="D648" s="2">
        <v>276</v>
      </c>
      <c r="E648" s="2" t="s">
        <v>37</v>
      </c>
      <c r="F648" s="2">
        <v>955</v>
      </c>
      <c r="G648" s="2">
        <v>0.2</v>
      </c>
      <c r="H648" s="2">
        <v>335</v>
      </c>
      <c r="I648" s="2" t="s">
        <v>227</v>
      </c>
      <c r="J648" s="2"/>
      <c r="K648" s="2"/>
      <c r="L648" s="2">
        <v>124</v>
      </c>
      <c r="M648" s="2" t="s">
        <v>16</v>
      </c>
      <c r="N648" s="2" t="s">
        <v>228</v>
      </c>
    </row>
    <row r="649" spans="1:14" x14ac:dyDescent="0.25">
      <c r="A649" s="2">
        <v>88</v>
      </c>
      <c r="B649" s="2" t="s">
        <v>257</v>
      </c>
      <c r="C649" s="2" t="s">
        <v>226</v>
      </c>
      <c r="D649" s="2">
        <v>724</v>
      </c>
      <c r="E649" s="2" t="s">
        <v>98</v>
      </c>
      <c r="F649" s="2">
        <v>916</v>
      </c>
      <c r="G649" s="2">
        <v>0.2</v>
      </c>
      <c r="H649" s="2">
        <v>241</v>
      </c>
      <c r="I649" s="2" t="s">
        <v>227</v>
      </c>
      <c r="J649" s="2"/>
      <c r="K649" s="2"/>
      <c r="L649" s="2">
        <v>124</v>
      </c>
      <c r="M649" s="2" t="s">
        <v>16</v>
      </c>
      <c r="N649" s="2" t="s">
        <v>228</v>
      </c>
    </row>
    <row r="650" spans="1:14" x14ac:dyDescent="0.25">
      <c r="A650" s="2">
        <v>89</v>
      </c>
      <c r="B650" s="2" t="s">
        <v>257</v>
      </c>
      <c r="C650" s="2" t="s">
        <v>226</v>
      </c>
      <c r="D650" s="2">
        <v>660</v>
      </c>
      <c r="E650" s="2" t="s">
        <v>256</v>
      </c>
      <c r="F650" s="2">
        <v>598</v>
      </c>
      <c r="G650" s="2">
        <v>0.1</v>
      </c>
      <c r="H650" s="2">
        <v>225</v>
      </c>
      <c r="I650" s="2" t="s">
        <v>227</v>
      </c>
      <c r="J650" s="2"/>
      <c r="K650" s="2"/>
      <c r="L650" s="2">
        <v>124</v>
      </c>
      <c r="M650" s="2" t="s">
        <v>16</v>
      </c>
      <c r="N650" s="2" t="s">
        <v>228</v>
      </c>
    </row>
    <row r="651" spans="1:14" x14ac:dyDescent="0.25">
      <c r="A651" s="2">
        <v>90</v>
      </c>
      <c r="B651" s="2" t="s">
        <v>257</v>
      </c>
      <c r="C651" s="2" t="s">
        <v>226</v>
      </c>
      <c r="D651" s="2">
        <v>682</v>
      </c>
      <c r="E651" s="2" t="s">
        <v>90</v>
      </c>
      <c r="F651" s="2">
        <v>560</v>
      </c>
      <c r="G651" s="2">
        <v>0.1</v>
      </c>
      <c r="H651" s="2">
        <v>198</v>
      </c>
      <c r="I651" s="2" t="s">
        <v>227</v>
      </c>
      <c r="J651" s="2"/>
      <c r="K651" s="2"/>
      <c r="L651" s="2">
        <v>124</v>
      </c>
      <c r="M651" s="2" t="s">
        <v>16</v>
      </c>
      <c r="N651" s="2" t="s">
        <v>228</v>
      </c>
    </row>
    <row r="652" spans="1:14" x14ac:dyDescent="0.25">
      <c r="A652" s="2">
        <v>91</v>
      </c>
      <c r="B652" s="2" t="s">
        <v>257</v>
      </c>
      <c r="C652" s="2" t="s">
        <v>226</v>
      </c>
      <c r="D652" s="2">
        <v>380</v>
      </c>
      <c r="E652" s="2" t="s">
        <v>50</v>
      </c>
      <c r="F652" s="2">
        <v>366</v>
      </c>
      <c r="G652" s="2">
        <v>0.1</v>
      </c>
      <c r="H652" s="2">
        <v>124</v>
      </c>
      <c r="I652" s="2" t="s">
        <v>227</v>
      </c>
      <c r="J652" s="2"/>
      <c r="K652" s="2"/>
      <c r="L652" s="2">
        <v>124</v>
      </c>
      <c r="M652" s="2" t="s">
        <v>16</v>
      </c>
      <c r="N652" s="2" t="s">
        <v>228</v>
      </c>
    </row>
    <row r="653" spans="1:14" x14ac:dyDescent="0.25">
      <c r="A653" s="2">
        <v>92</v>
      </c>
      <c r="B653" s="2" t="s">
        <v>257</v>
      </c>
      <c r="C653" s="2" t="s">
        <v>226</v>
      </c>
      <c r="D653" s="2">
        <v>826</v>
      </c>
      <c r="E653" s="2" t="s">
        <v>110</v>
      </c>
      <c r="F653" s="2">
        <v>238</v>
      </c>
      <c r="G653" s="2">
        <v>0.1</v>
      </c>
      <c r="H653" s="2">
        <v>39</v>
      </c>
      <c r="I653" s="2" t="s">
        <v>227</v>
      </c>
      <c r="J653" s="2"/>
      <c r="K653" s="2"/>
      <c r="L653" s="2">
        <v>124</v>
      </c>
      <c r="M653" s="2" t="s">
        <v>16</v>
      </c>
      <c r="N653" s="2" t="s">
        <v>228</v>
      </c>
    </row>
    <row r="654" spans="1:14" x14ac:dyDescent="0.25">
      <c r="A654" s="2">
        <v>93</v>
      </c>
      <c r="B654" s="2" t="s">
        <v>257</v>
      </c>
      <c r="C654" s="2" t="s">
        <v>226</v>
      </c>
      <c r="D654" s="2">
        <v>250</v>
      </c>
      <c r="E654" s="2" t="s">
        <v>33</v>
      </c>
      <c r="F654" s="2">
        <v>210</v>
      </c>
      <c r="G654" s="2">
        <v>0.1</v>
      </c>
      <c r="H654" s="2">
        <v>18</v>
      </c>
      <c r="I654" s="2" t="s">
        <v>227</v>
      </c>
      <c r="J654" s="2"/>
      <c r="K654" s="2"/>
      <c r="L654" s="2">
        <v>124</v>
      </c>
      <c r="M654" s="2" t="s">
        <v>16</v>
      </c>
      <c r="N654" s="2" t="s">
        <v>228</v>
      </c>
    </row>
    <row r="655" spans="1:14" x14ac:dyDescent="0.25">
      <c r="A655" s="2">
        <v>94</v>
      </c>
      <c r="B655" s="2" t="s">
        <v>257</v>
      </c>
      <c r="C655" s="2" t="s">
        <v>226</v>
      </c>
      <c r="D655" s="2">
        <v>56</v>
      </c>
      <c r="E655" s="2" t="s">
        <v>11</v>
      </c>
      <c r="F655" s="2">
        <v>159</v>
      </c>
      <c r="G655" s="2">
        <v>0</v>
      </c>
      <c r="H655" s="2">
        <v>19</v>
      </c>
      <c r="I655" s="2" t="s">
        <v>227</v>
      </c>
      <c r="J655" s="2"/>
      <c r="K655" s="2"/>
      <c r="L655" s="2">
        <v>124</v>
      </c>
      <c r="M655" s="2" t="s">
        <v>16</v>
      </c>
      <c r="N655" s="2" t="s">
        <v>228</v>
      </c>
    </row>
    <row r="656" spans="1:14" x14ac:dyDescent="0.25">
      <c r="A656" s="2">
        <v>95</v>
      </c>
      <c r="B656" s="2" t="s">
        <v>257</v>
      </c>
      <c r="C656" s="2" t="s">
        <v>226</v>
      </c>
      <c r="D656" s="2">
        <v>688</v>
      </c>
      <c r="E656" s="2" t="s">
        <v>92</v>
      </c>
      <c r="F656" s="2">
        <v>154</v>
      </c>
      <c r="G656" s="2">
        <v>0</v>
      </c>
      <c r="H656" s="2">
        <v>39</v>
      </c>
      <c r="I656" s="2" t="s">
        <v>227</v>
      </c>
      <c r="J656" s="2"/>
      <c r="K656" s="2"/>
      <c r="L656" s="2">
        <v>124</v>
      </c>
      <c r="M656" s="2" t="s">
        <v>16</v>
      </c>
      <c r="N656" s="2" t="s">
        <v>228</v>
      </c>
    </row>
    <row r="657" spans="1:14" x14ac:dyDescent="0.25">
      <c r="A657" s="2">
        <v>96</v>
      </c>
      <c r="B657" s="2" t="s">
        <v>257</v>
      </c>
      <c r="C657" s="2" t="s">
        <v>226</v>
      </c>
      <c r="D657" s="2">
        <v>344</v>
      </c>
      <c r="E657" s="2" t="s">
        <v>252</v>
      </c>
      <c r="F657" s="2">
        <v>67</v>
      </c>
      <c r="G657" s="2">
        <v>0</v>
      </c>
      <c r="H657" s="2">
        <v>20</v>
      </c>
      <c r="I657" s="2" t="s">
        <v>227</v>
      </c>
      <c r="J657" s="2"/>
      <c r="K657" s="2"/>
      <c r="L657" s="2">
        <v>124</v>
      </c>
      <c r="M657" s="2" t="s">
        <v>16</v>
      </c>
      <c r="N657" s="2" t="s">
        <v>228</v>
      </c>
    </row>
    <row r="658" spans="1:14" x14ac:dyDescent="0.25">
      <c r="A658" s="2">
        <v>97</v>
      </c>
      <c r="B658" s="2" t="s">
        <v>257</v>
      </c>
      <c r="C658" s="2" t="s">
        <v>226</v>
      </c>
      <c r="D658" s="2">
        <v>268</v>
      </c>
      <c r="E658" s="2" t="s">
        <v>36</v>
      </c>
      <c r="F658" s="2">
        <v>25</v>
      </c>
      <c r="G658" s="2">
        <v>0</v>
      </c>
      <c r="H658" s="2">
        <v>14</v>
      </c>
      <c r="I658" s="2" t="s">
        <v>227</v>
      </c>
      <c r="J658" s="2"/>
      <c r="K658" s="2"/>
      <c r="L658" s="2">
        <v>124</v>
      </c>
      <c r="M658" s="2" t="s">
        <v>16</v>
      </c>
      <c r="N658" s="2" t="s">
        <v>228</v>
      </c>
    </row>
    <row r="659" spans="1:14" x14ac:dyDescent="0.25">
      <c r="A659" s="2">
        <v>98</v>
      </c>
      <c r="B659" s="2" t="s">
        <v>257</v>
      </c>
      <c r="C659" s="2" t="s">
        <v>226</v>
      </c>
      <c r="D659" s="2">
        <v>578</v>
      </c>
      <c r="E659" s="2" t="s">
        <v>79</v>
      </c>
      <c r="F659" s="2">
        <v>675040</v>
      </c>
      <c r="G659" s="2">
        <v>22.8</v>
      </c>
      <c r="H659" s="2">
        <v>235708</v>
      </c>
      <c r="I659" s="2" t="s">
        <v>227</v>
      </c>
      <c r="J659" s="2"/>
      <c r="K659" s="2"/>
      <c r="L659" s="2">
        <v>528</v>
      </c>
      <c r="M659" s="2" t="s">
        <v>75</v>
      </c>
      <c r="N659" s="2" t="s">
        <v>228</v>
      </c>
    </row>
    <row r="660" spans="1:14" x14ac:dyDescent="0.25">
      <c r="A660" s="2">
        <v>99</v>
      </c>
      <c r="B660" s="2" t="s">
        <v>257</v>
      </c>
      <c r="C660" s="2" t="s">
        <v>226</v>
      </c>
      <c r="D660" s="2">
        <v>124</v>
      </c>
      <c r="E660" s="2" t="s">
        <v>16</v>
      </c>
      <c r="F660" s="2">
        <v>360271</v>
      </c>
      <c r="G660" s="2">
        <v>12.2</v>
      </c>
      <c r="H660" s="2">
        <v>138576</v>
      </c>
      <c r="I660" s="2" t="s">
        <v>227</v>
      </c>
      <c r="J660" s="2"/>
      <c r="K660" s="2"/>
      <c r="L660" s="2">
        <v>528</v>
      </c>
      <c r="M660" s="2" t="s">
        <v>75</v>
      </c>
      <c r="N660" s="2" t="s">
        <v>228</v>
      </c>
    </row>
    <row r="661" spans="1:14" x14ac:dyDescent="0.25">
      <c r="A661" s="2">
        <v>100</v>
      </c>
      <c r="B661" s="2" t="s">
        <v>257</v>
      </c>
      <c r="C661" s="2" t="s">
        <v>226</v>
      </c>
      <c r="D661" s="2">
        <v>508</v>
      </c>
      <c r="E661" s="2" t="s">
        <v>123</v>
      </c>
      <c r="F661" s="2">
        <v>223133</v>
      </c>
      <c r="G661" s="2">
        <v>7.5</v>
      </c>
      <c r="H661" s="2">
        <v>85559</v>
      </c>
      <c r="I661" s="2" t="s">
        <v>227</v>
      </c>
      <c r="J661" s="2"/>
      <c r="K661" s="2"/>
      <c r="L661" s="2">
        <v>528</v>
      </c>
      <c r="M661" s="2" t="s">
        <v>75</v>
      </c>
      <c r="N661" s="2" t="s">
        <v>228</v>
      </c>
    </row>
    <row r="662" spans="1:14" x14ac:dyDescent="0.25">
      <c r="A662" s="2">
        <v>101</v>
      </c>
      <c r="B662" s="2" t="s">
        <v>257</v>
      </c>
      <c r="C662" s="2" t="s">
        <v>226</v>
      </c>
      <c r="D662" s="2">
        <v>48</v>
      </c>
      <c r="E662" s="2" t="s">
        <v>7</v>
      </c>
      <c r="F662" s="2">
        <v>146621</v>
      </c>
      <c r="G662" s="2">
        <v>4.9000000000000004</v>
      </c>
      <c r="H662" s="2">
        <v>56549</v>
      </c>
      <c r="I662" s="2" t="s">
        <v>227</v>
      </c>
      <c r="J662" s="2"/>
      <c r="K662" s="2"/>
      <c r="L662" s="2">
        <v>528</v>
      </c>
      <c r="M662" s="2" t="s">
        <v>75</v>
      </c>
      <c r="N662" s="2" t="s">
        <v>228</v>
      </c>
    </row>
    <row r="663" spans="1:14" x14ac:dyDescent="0.25">
      <c r="A663" s="2">
        <v>102</v>
      </c>
      <c r="B663" s="2" t="s">
        <v>257</v>
      </c>
      <c r="C663" s="2" t="s">
        <v>226</v>
      </c>
      <c r="D663" s="2">
        <v>710</v>
      </c>
      <c r="E663" s="2" t="s">
        <v>97</v>
      </c>
      <c r="F663" s="2">
        <v>112497</v>
      </c>
      <c r="G663" s="2">
        <v>3.8</v>
      </c>
      <c r="H663" s="2">
        <v>46167</v>
      </c>
      <c r="I663" s="2" t="s">
        <v>227</v>
      </c>
      <c r="J663" s="2"/>
      <c r="K663" s="2"/>
      <c r="L663" s="2">
        <v>528</v>
      </c>
      <c r="M663" s="2" t="s">
        <v>75</v>
      </c>
      <c r="N663" s="2" t="s">
        <v>228</v>
      </c>
    </row>
    <row r="664" spans="1:14" x14ac:dyDescent="0.25">
      <c r="A664" s="2">
        <v>103</v>
      </c>
      <c r="B664" s="2" t="s">
        <v>257</v>
      </c>
      <c r="C664" s="2" t="s">
        <v>226</v>
      </c>
      <c r="D664" s="2">
        <v>784</v>
      </c>
      <c r="E664" s="2" t="s">
        <v>109</v>
      </c>
      <c r="F664" s="2">
        <v>97897</v>
      </c>
      <c r="G664" s="2">
        <v>3.3</v>
      </c>
      <c r="H664" s="2">
        <v>39416</v>
      </c>
      <c r="I664" s="2" t="s">
        <v>227</v>
      </c>
      <c r="J664" s="2"/>
      <c r="K664" s="2"/>
      <c r="L664" s="2">
        <v>528</v>
      </c>
      <c r="M664" s="2" t="s">
        <v>75</v>
      </c>
      <c r="N664" s="2" t="s">
        <v>228</v>
      </c>
    </row>
    <row r="665" spans="1:14" x14ac:dyDescent="0.25">
      <c r="A665" s="2">
        <v>104</v>
      </c>
      <c r="B665" s="2" t="s">
        <v>257</v>
      </c>
      <c r="C665" s="2" t="s">
        <v>226</v>
      </c>
      <c r="D665" s="2">
        <v>56</v>
      </c>
      <c r="E665" s="2" t="s">
        <v>11</v>
      </c>
      <c r="F665" s="2">
        <v>53805</v>
      </c>
      <c r="G665" s="2">
        <v>1.8</v>
      </c>
      <c r="H665" s="2">
        <v>20123</v>
      </c>
      <c r="I665" s="2" t="s">
        <v>227</v>
      </c>
      <c r="J665" s="2"/>
      <c r="K665" s="2"/>
      <c r="L665" s="2">
        <v>528</v>
      </c>
      <c r="M665" s="2" t="s">
        <v>75</v>
      </c>
      <c r="N665" s="2" t="s">
        <v>228</v>
      </c>
    </row>
    <row r="666" spans="1:14" x14ac:dyDescent="0.25">
      <c r="A666" s="2">
        <v>105</v>
      </c>
      <c r="B666" s="2" t="s">
        <v>257</v>
      </c>
      <c r="C666" s="2" t="s">
        <v>226</v>
      </c>
      <c r="D666" s="2">
        <v>250</v>
      </c>
      <c r="E666" s="2" t="s">
        <v>33</v>
      </c>
      <c r="F666" s="2">
        <v>50874</v>
      </c>
      <c r="G666" s="2">
        <v>1.7</v>
      </c>
      <c r="H666" s="2">
        <v>18267</v>
      </c>
      <c r="I666" s="2" t="s">
        <v>227</v>
      </c>
      <c r="J666" s="2"/>
      <c r="K666" s="2"/>
      <c r="L666" s="2">
        <v>528</v>
      </c>
      <c r="M666" s="2" t="s">
        <v>75</v>
      </c>
      <c r="N666" s="2" t="s">
        <v>228</v>
      </c>
    </row>
    <row r="667" spans="1:14" x14ac:dyDescent="0.25">
      <c r="A667" s="2">
        <v>106</v>
      </c>
      <c r="B667" s="2" t="s">
        <v>257</v>
      </c>
      <c r="C667" s="2" t="s">
        <v>226</v>
      </c>
      <c r="D667" s="2">
        <v>276</v>
      </c>
      <c r="E667" s="2" t="s">
        <v>37</v>
      </c>
      <c r="F667" s="2">
        <v>50400</v>
      </c>
      <c r="G667" s="2">
        <v>1.7</v>
      </c>
      <c r="H667" s="2">
        <v>28823</v>
      </c>
      <c r="I667" s="2" t="s">
        <v>227</v>
      </c>
      <c r="J667" s="2"/>
      <c r="K667" s="2"/>
      <c r="L667" s="2">
        <v>528</v>
      </c>
      <c r="M667" s="2" t="s">
        <v>75</v>
      </c>
      <c r="N667" s="2" t="s">
        <v>228</v>
      </c>
    </row>
    <row r="668" spans="1:14" x14ac:dyDescent="0.25">
      <c r="A668" s="2">
        <v>107</v>
      </c>
      <c r="B668" s="2" t="s">
        <v>257</v>
      </c>
      <c r="C668" s="2" t="s">
        <v>226</v>
      </c>
      <c r="D668" s="2">
        <v>356</v>
      </c>
      <c r="E668" s="2" t="s">
        <v>45</v>
      </c>
      <c r="F668" s="2">
        <v>37702</v>
      </c>
      <c r="G668" s="2">
        <v>1.3</v>
      </c>
      <c r="H668" s="2">
        <v>15241</v>
      </c>
      <c r="I668" s="2" t="s">
        <v>227</v>
      </c>
      <c r="J668" s="2"/>
      <c r="K668" s="2"/>
      <c r="L668" s="2">
        <v>528</v>
      </c>
      <c r="M668" s="2" t="s">
        <v>75</v>
      </c>
      <c r="N668" s="2" t="s">
        <v>228</v>
      </c>
    </row>
    <row r="669" spans="1:14" x14ac:dyDescent="0.25">
      <c r="A669" s="2">
        <v>108</v>
      </c>
      <c r="B669" s="2" t="s">
        <v>257</v>
      </c>
      <c r="C669" s="2" t="s">
        <v>226</v>
      </c>
      <c r="D669" s="2">
        <v>458</v>
      </c>
      <c r="E669" s="2" t="s">
        <v>66</v>
      </c>
      <c r="F669" s="2">
        <v>34573</v>
      </c>
      <c r="G669" s="2">
        <v>1.2</v>
      </c>
      <c r="H669" s="2">
        <v>13683</v>
      </c>
      <c r="I669" s="2" t="s">
        <v>227</v>
      </c>
      <c r="J669" s="2"/>
      <c r="K669" s="2"/>
      <c r="L669" s="2">
        <v>528</v>
      </c>
      <c r="M669" s="2" t="s">
        <v>75</v>
      </c>
      <c r="N669" s="2" t="s">
        <v>228</v>
      </c>
    </row>
    <row r="670" spans="1:14" x14ac:dyDescent="0.25">
      <c r="A670" s="2">
        <v>109</v>
      </c>
      <c r="B670" s="2" t="s">
        <v>257</v>
      </c>
      <c r="C670" s="2" t="s">
        <v>226</v>
      </c>
      <c r="D670" s="2">
        <v>288</v>
      </c>
      <c r="E670" s="2" t="s">
        <v>38</v>
      </c>
      <c r="F670" s="2">
        <v>25785</v>
      </c>
      <c r="G670" s="2">
        <v>0.9</v>
      </c>
      <c r="H670" s="2">
        <v>10602</v>
      </c>
      <c r="I670" s="2" t="s">
        <v>227</v>
      </c>
      <c r="J670" s="2"/>
      <c r="K670" s="2"/>
      <c r="L670" s="2">
        <v>528</v>
      </c>
      <c r="M670" s="2" t="s">
        <v>75</v>
      </c>
      <c r="N670" s="2" t="s">
        <v>228</v>
      </c>
    </row>
    <row r="671" spans="1:14" x14ac:dyDescent="0.25">
      <c r="A671" s="2">
        <v>110</v>
      </c>
      <c r="B671" s="2" t="s">
        <v>257</v>
      </c>
      <c r="C671" s="2" t="s">
        <v>226</v>
      </c>
      <c r="D671" s="2">
        <v>724</v>
      </c>
      <c r="E671" s="2" t="s">
        <v>98</v>
      </c>
      <c r="F671" s="2">
        <v>23873</v>
      </c>
      <c r="G671" s="2">
        <v>0.8</v>
      </c>
      <c r="H671" s="2">
        <v>6122</v>
      </c>
      <c r="I671" s="2" t="s">
        <v>227</v>
      </c>
      <c r="J671" s="2"/>
      <c r="K671" s="2"/>
      <c r="L671" s="2">
        <v>528</v>
      </c>
      <c r="M671" s="2" t="s">
        <v>75</v>
      </c>
      <c r="N671" s="2" t="s">
        <v>228</v>
      </c>
    </row>
    <row r="672" spans="1:14" x14ac:dyDescent="0.25">
      <c r="A672" s="2">
        <v>111</v>
      </c>
      <c r="B672" s="2" t="s">
        <v>257</v>
      </c>
      <c r="C672" s="2" t="s">
        <v>226</v>
      </c>
      <c r="D672" s="2">
        <v>76</v>
      </c>
      <c r="E672" s="2" t="s">
        <v>14</v>
      </c>
      <c r="F672" s="2">
        <v>20056</v>
      </c>
      <c r="G672" s="2">
        <v>0.7</v>
      </c>
      <c r="H672" s="2">
        <v>8399</v>
      </c>
      <c r="I672" s="2" t="s">
        <v>227</v>
      </c>
      <c r="J672" s="2"/>
      <c r="K672" s="2"/>
      <c r="L672" s="2">
        <v>528</v>
      </c>
      <c r="M672" s="2" t="s">
        <v>75</v>
      </c>
      <c r="N672" s="2" t="s">
        <v>228</v>
      </c>
    </row>
    <row r="673" spans="1:14" x14ac:dyDescent="0.25">
      <c r="A673" s="2">
        <v>112</v>
      </c>
      <c r="B673" s="2" t="s">
        <v>257</v>
      </c>
      <c r="C673" s="2" t="s">
        <v>226</v>
      </c>
      <c r="D673" s="2">
        <v>752</v>
      </c>
      <c r="E673" s="2" t="s">
        <v>100</v>
      </c>
      <c r="F673" s="2">
        <v>19483</v>
      </c>
      <c r="G673" s="2">
        <v>0.7</v>
      </c>
      <c r="H673" s="2">
        <v>7827</v>
      </c>
      <c r="I673" s="2" t="s">
        <v>227</v>
      </c>
      <c r="J673" s="2"/>
      <c r="K673" s="2"/>
      <c r="L673" s="2">
        <v>528</v>
      </c>
      <c r="M673" s="2" t="s">
        <v>75</v>
      </c>
      <c r="N673" s="2" t="s">
        <v>228</v>
      </c>
    </row>
    <row r="674" spans="1:14" x14ac:dyDescent="0.25">
      <c r="A674" s="2">
        <v>113</v>
      </c>
      <c r="B674" s="2" t="s">
        <v>257</v>
      </c>
      <c r="C674" s="2" t="s">
        <v>226</v>
      </c>
      <c r="D674" s="2">
        <v>634</v>
      </c>
      <c r="E674" s="2" t="s">
        <v>88</v>
      </c>
      <c r="F674" s="2">
        <v>16474</v>
      </c>
      <c r="G674" s="2">
        <v>0.6</v>
      </c>
      <c r="H674" s="2">
        <v>7051</v>
      </c>
      <c r="I674" s="2" t="s">
        <v>227</v>
      </c>
      <c r="J674" s="2"/>
      <c r="K674" s="2"/>
      <c r="L674" s="2">
        <v>528</v>
      </c>
      <c r="M674" s="2" t="s">
        <v>75</v>
      </c>
      <c r="N674" s="2" t="s">
        <v>228</v>
      </c>
    </row>
    <row r="675" spans="1:14" x14ac:dyDescent="0.25">
      <c r="A675" s="2">
        <v>114</v>
      </c>
      <c r="B675" s="2" t="s">
        <v>257</v>
      </c>
      <c r="C675" s="2" t="s">
        <v>226</v>
      </c>
      <c r="D675" s="2">
        <v>36</v>
      </c>
      <c r="E675" s="2" t="s">
        <v>4</v>
      </c>
      <c r="F675" s="2">
        <v>12862</v>
      </c>
      <c r="G675" s="2">
        <v>0.4</v>
      </c>
      <c r="H675" s="2">
        <v>3786</v>
      </c>
      <c r="I675" s="2" t="s">
        <v>227</v>
      </c>
      <c r="J675" s="2"/>
      <c r="K675" s="2"/>
      <c r="L675" s="2">
        <v>528</v>
      </c>
      <c r="M675" s="2" t="s">
        <v>75</v>
      </c>
      <c r="N675" s="2" t="s">
        <v>228</v>
      </c>
    </row>
    <row r="676" spans="1:14" x14ac:dyDescent="0.25">
      <c r="A676" s="2">
        <v>115</v>
      </c>
      <c r="B676" s="2" t="s">
        <v>257</v>
      </c>
      <c r="C676" s="2" t="s">
        <v>226</v>
      </c>
      <c r="D676" s="2">
        <v>380</v>
      </c>
      <c r="E676" s="2" t="s">
        <v>50</v>
      </c>
      <c r="F676" s="2">
        <v>12834</v>
      </c>
      <c r="G676" s="2">
        <v>0.4</v>
      </c>
      <c r="H676" s="2">
        <v>4315</v>
      </c>
      <c r="I676" s="2" t="s">
        <v>227</v>
      </c>
      <c r="J676" s="2"/>
      <c r="K676" s="2"/>
      <c r="L676" s="2">
        <v>528</v>
      </c>
      <c r="M676" s="2" t="s">
        <v>75</v>
      </c>
      <c r="N676" s="2" t="s">
        <v>228</v>
      </c>
    </row>
    <row r="677" spans="1:14" x14ac:dyDescent="0.25">
      <c r="A677" s="2">
        <v>116</v>
      </c>
      <c r="B677" s="2" t="s">
        <v>257</v>
      </c>
      <c r="C677" s="2" t="s">
        <v>226</v>
      </c>
      <c r="D677" s="2">
        <v>360</v>
      </c>
      <c r="E677" s="2" t="s">
        <v>46</v>
      </c>
      <c r="F677" s="2">
        <v>12679</v>
      </c>
      <c r="G677" s="2">
        <v>0.4</v>
      </c>
      <c r="H677" s="2">
        <v>4986</v>
      </c>
      <c r="I677" s="2" t="s">
        <v>227</v>
      </c>
      <c r="J677" s="2"/>
      <c r="K677" s="2"/>
      <c r="L677" s="2">
        <v>528</v>
      </c>
      <c r="M677" s="2" t="s">
        <v>75</v>
      </c>
      <c r="N677" s="2" t="s">
        <v>228</v>
      </c>
    </row>
    <row r="678" spans="1:14" x14ac:dyDescent="0.25">
      <c r="A678" s="2">
        <v>117</v>
      </c>
      <c r="B678" s="2" t="s">
        <v>257</v>
      </c>
      <c r="C678" s="2" t="s">
        <v>226</v>
      </c>
      <c r="D678" s="2">
        <v>512</v>
      </c>
      <c r="E678" s="2" t="s">
        <v>80</v>
      </c>
      <c r="F678" s="2">
        <v>8628</v>
      </c>
      <c r="G678" s="2">
        <v>0.3</v>
      </c>
      <c r="H678" s="2">
        <v>3662</v>
      </c>
      <c r="I678" s="2" t="s">
        <v>227</v>
      </c>
      <c r="J678" s="2"/>
      <c r="K678" s="2"/>
      <c r="L678" s="2">
        <v>528</v>
      </c>
      <c r="M678" s="2" t="s">
        <v>75</v>
      </c>
      <c r="N678" s="2" t="s">
        <v>228</v>
      </c>
    </row>
    <row r="679" spans="1:14" x14ac:dyDescent="0.25">
      <c r="A679" s="2">
        <v>118</v>
      </c>
      <c r="B679" s="2" t="s">
        <v>257</v>
      </c>
      <c r="C679" s="2" t="s">
        <v>226</v>
      </c>
      <c r="D679" s="2">
        <v>826</v>
      </c>
      <c r="E679" s="2" t="s">
        <v>110</v>
      </c>
      <c r="F679" s="2">
        <v>8093</v>
      </c>
      <c r="G679" s="2">
        <v>0.3</v>
      </c>
      <c r="H679" s="2">
        <v>3110</v>
      </c>
      <c r="I679" s="2" t="s">
        <v>227</v>
      </c>
      <c r="J679" s="2"/>
      <c r="K679" s="2"/>
      <c r="L679" s="2">
        <v>528</v>
      </c>
      <c r="M679" s="2" t="s">
        <v>75</v>
      </c>
      <c r="N679" s="2" t="s">
        <v>228</v>
      </c>
    </row>
    <row r="680" spans="1:14" x14ac:dyDescent="0.25">
      <c r="A680" s="2">
        <v>119</v>
      </c>
      <c r="B680" s="2" t="s">
        <v>257</v>
      </c>
      <c r="C680" s="2" t="s">
        <v>226</v>
      </c>
      <c r="D680" s="2">
        <v>40</v>
      </c>
      <c r="E680" s="2" t="s">
        <v>5</v>
      </c>
      <c r="F680" s="2">
        <v>7342</v>
      </c>
      <c r="G680" s="2">
        <v>0.2</v>
      </c>
      <c r="H680" s="2">
        <v>4204</v>
      </c>
      <c r="I680" s="2" t="s">
        <v>227</v>
      </c>
      <c r="J680" s="2"/>
      <c r="K680" s="2"/>
      <c r="L680" s="2">
        <v>528</v>
      </c>
      <c r="M680" s="2" t="s">
        <v>75</v>
      </c>
      <c r="N680" s="2" t="s">
        <v>228</v>
      </c>
    </row>
    <row r="681" spans="1:14" x14ac:dyDescent="0.25">
      <c r="A681" s="2">
        <v>120</v>
      </c>
      <c r="B681" s="2" t="s">
        <v>257</v>
      </c>
      <c r="C681" s="2" t="s">
        <v>226</v>
      </c>
      <c r="D681" s="2">
        <v>840</v>
      </c>
      <c r="E681" s="2" t="s">
        <v>229</v>
      </c>
      <c r="F681" s="2">
        <v>7307</v>
      </c>
      <c r="G681" s="2">
        <v>0.2</v>
      </c>
      <c r="H681" s="2">
        <v>2682</v>
      </c>
      <c r="I681" s="2" t="s">
        <v>227</v>
      </c>
      <c r="J681" s="2"/>
      <c r="K681" s="2"/>
      <c r="L681" s="2">
        <v>528</v>
      </c>
      <c r="M681" s="2" t="s">
        <v>75</v>
      </c>
      <c r="N681" s="2" t="s">
        <v>228</v>
      </c>
    </row>
  </sheetData>
  <autoFilter ref="A3:N681" xr:uid="{4A4A08A7-6474-4C2B-AFD1-0554B9E6D5B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E45C-973F-4D43-9772-93065919C8DF}">
  <sheetPr codeName="Feuil11">
    <tabColor theme="5" tint="0.79998168889431442"/>
  </sheetPr>
  <dimension ref="A1:N612"/>
  <sheetViews>
    <sheetView workbookViewId="0">
      <selection activeCell="E3" sqref="E3"/>
    </sheetView>
  </sheetViews>
  <sheetFormatPr baseColWidth="10" defaultRowHeight="14.3" x14ac:dyDescent="0.25"/>
  <sheetData>
    <row r="1" spans="1:14" x14ac:dyDescent="0.25">
      <c r="A1" s="3" t="s">
        <v>307</v>
      </c>
    </row>
    <row r="3" spans="1:14" x14ac:dyDescent="0.25">
      <c r="A3" s="11" t="s">
        <v>212</v>
      </c>
      <c r="B3" s="11" t="s">
        <v>213</v>
      </c>
      <c r="C3" s="11" t="s">
        <v>214</v>
      </c>
      <c r="D3" s="11" t="s">
        <v>215</v>
      </c>
      <c r="E3" s="11" t="s">
        <v>216</v>
      </c>
      <c r="F3" s="12" t="s">
        <v>217</v>
      </c>
      <c r="G3" s="12" t="s">
        <v>218</v>
      </c>
      <c r="H3" s="12" t="s">
        <v>219</v>
      </c>
      <c r="I3" s="12" t="s">
        <v>220</v>
      </c>
      <c r="J3" s="12" t="s">
        <v>221</v>
      </c>
      <c r="K3" s="12" t="s">
        <v>222</v>
      </c>
      <c r="L3" s="12" t="s">
        <v>223</v>
      </c>
      <c r="M3" s="12" t="s">
        <v>224</v>
      </c>
      <c r="N3" s="12" t="s">
        <v>225</v>
      </c>
    </row>
    <row r="4" spans="1:14" x14ac:dyDescent="0.25">
      <c r="A4" s="2">
        <v>9879</v>
      </c>
      <c r="B4" s="2">
        <v>7601</v>
      </c>
      <c r="C4" s="2" t="s">
        <v>226</v>
      </c>
      <c r="D4" s="2">
        <v>251</v>
      </c>
      <c r="E4" s="2" t="s">
        <v>33</v>
      </c>
      <c r="F4" s="2">
        <v>254443</v>
      </c>
      <c r="G4" s="2">
        <v>5</v>
      </c>
      <c r="H4" s="2">
        <v>67646</v>
      </c>
      <c r="I4" s="2" t="s">
        <v>227</v>
      </c>
      <c r="J4" s="2" t="s">
        <v>183</v>
      </c>
      <c r="K4" s="2" t="s">
        <v>183</v>
      </c>
      <c r="L4" s="2">
        <v>579</v>
      </c>
      <c r="M4" s="2" t="s">
        <v>79</v>
      </c>
      <c r="N4" s="2" t="s">
        <v>237</v>
      </c>
    </row>
    <row r="5" spans="1:14" x14ac:dyDescent="0.25">
      <c r="A5" s="2">
        <v>9490</v>
      </c>
      <c r="B5" s="2">
        <v>7601</v>
      </c>
      <c r="C5" s="2" t="s">
        <v>226</v>
      </c>
      <c r="D5" s="2">
        <v>251</v>
      </c>
      <c r="E5" s="2" t="s">
        <v>33</v>
      </c>
      <c r="F5" s="2">
        <v>133792</v>
      </c>
      <c r="G5" s="2">
        <v>7.6</v>
      </c>
      <c r="H5" s="2">
        <v>43597</v>
      </c>
      <c r="I5" s="2" t="s">
        <v>227</v>
      </c>
      <c r="J5" s="2" t="s">
        <v>183</v>
      </c>
      <c r="K5" s="2" t="s">
        <v>183</v>
      </c>
      <c r="L5" s="2">
        <v>276</v>
      </c>
      <c r="M5" s="2" t="s">
        <v>37</v>
      </c>
      <c r="N5" s="2" t="s">
        <v>237</v>
      </c>
    </row>
    <row r="6" spans="1:14" x14ac:dyDescent="0.25">
      <c r="A6" s="2">
        <v>9583</v>
      </c>
      <c r="B6" s="2">
        <v>7601</v>
      </c>
      <c r="C6" s="2" t="s">
        <v>226</v>
      </c>
      <c r="D6" s="2">
        <v>251</v>
      </c>
      <c r="E6" s="2" t="s">
        <v>33</v>
      </c>
      <c r="F6" s="2">
        <v>105456</v>
      </c>
      <c r="G6" s="2">
        <v>6.2</v>
      </c>
      <c r="H6" s="2">
        <v>33025</v>
      </c>
      <c r="I6" s="2" t="s">
        <v>227</v>
      </c>
      <c r="J6" s="2" t="s">
        <v>183</v>
      </c>
      <c r="K6" s="2" t="s">
        <v>183</v>
      </c>
      <c r="L6" s="2">
        <v>381</v>
      </c>
      <c r="M6" s="2" t="s">
        <v>50</v>
      </c>
      <c r="N6" s="2" t="s">
        <v>237</v>
      </c>
    </row>
    <row r="7" spans="1:14" x14ac:dyDescent="0.25">
      <c r="A7" s="2">
        <v>9730</v>
      </c>
      <c r="B7" s="2">
        <v>7601</v>
      </c>
      <c r="C7" s="2" t="s">
        <v>226</v>
      </c>
      <c r="D7" s="2">
        <v>251</v>
      </c>
      <c r="E7" s="2" t="s">
        <v>33</v>
      </c>
      <c r="F7" s="2">
        <v>109107</v>
      </c>
      <c r="G7" s="2">
        <v>11.2</v>
      </c>
      <c r="H7" s="2">
        <v>30116</v>
      </c>
      <c r="I7" s="2" t="s">
        <v>227</v>
      </c>
      <c r="J7" s="2" t="s">
        <v>183</v>
      </c>
      <c r="K7" s="2" t="s">
        <v>183</v>
      </c>
      <c r="L7" s="2">
        <v>724</v>
      </c>
      <c r="M7" s="2" t="s">
        <v>98</v>
      </c>
      <c r="N7" s="2" t="s">
        <v>237</v>
      </c>
    </row>
    <row r="8" spans="1:14" x14ac:dyDescent="0.25">
      <c r="A8" s="2">
        <v>9357</v>
      </c>
      <c r="B8" s="2">
        <v>7601</v>
      </c>
      <c r="C8" s="2" t="s">
        <v>226</v>
      </c>
      <c r="D8" s="2">
        <v>251</v>
      </c>
      <c r="E8" s="2" t="s">
        <v>33</v>
      </c>
      <c r="F8" s="2">
        <v>38632</v>
      </c>
      <c r="G8" s="2">
        <v>15.3</v>
      </c>
      <c r="H8" s="2">
        <v>11610</v>
      </c>
      <c r="I8" s="2" t="s">
        <v>227</v>
      </c>
      <c r="J8" s="2" t="s">
        <v>183</v>
      </c>
      <c r="K8" s="2" t="s">
        <v>183</v>
      </c>
      <c r="L8" s="2">
        <v>56</v>
      </c>
      <c r="M8" s="2" t="s">
        <v>11</v>
      </c>
      <c r="N8" s="2" t="s">
        <v>237</v>
      </c>
    </row>
    <row r="9" spans="1:14" x14ac:dyDescent="0.25">
      <c r="A9" s="2">
        <v>9635</v>
      </c>
      <c r="B9" s="2">
        <v>7601</v>
      </c>
      <c r="C9" s="2" t="s">
        <v>226</v>
      </c>
      <c r="D9" s="2">
        <v>251</v>
      </c>
      <c r="E9" s="2" t="s">
        <v>33</v>
      </c>
      <c r="F9" s="2">
        <v>20703</v>
      </c>
      <c r="G9" s="2">
        <v>2.8</v>
      </c>
      <c r="H9" s="2">
        <v>7655</v>
      </c>
      <c r="I9" s="2" t="s">
        <v>227</v>
      </c>
      <c r="J9" s="2" t="s">
        <v>183</v>
      </c>
      <c r="K9" s="2" t="s">
        <v>183</v>
      </c>
      <c r="L9" s="2">
        <v>616</v>
      </c>
      <c r="M9" s="2" t="s">
        <v>86</v>
      </c>
      <c r="N9" s="2" t="s">
        <v>237</v>
      </c>
    </row>
    <row r="10" spans="1:14" x14ac:dyDescent="0.25">
      <c r="A10" s="2">
        <v>9334</v>
      </c>
      <c r="B10" s="2">
        <v>7601</v>
      </c>
      <c r="C10" s="2" t="s">
        <v>226</v>
      </c>
      <c r="D10" s="2">
        <v>276</v>
      </c>
      <c r="E10" s="2" t="s">
        <v>37</v>
      </c>
      <c r="F10" s="2">
        <v>437074</v>
      </c>
      <c r="G10" s="2">
        <v>73.900000000000006</v>
      </c>
      <c r="H10" s="2">
        <v>154936</v>
      </c>
      <c r="I10" s="2" t="s">
        <v>227</v>
      </c>
      <c r="J10" s="2" t="s">
        <v>183</v>
      </c>
      <c r="K10" s="2" t="s">
        <v>183</v>
      </c>
      <c r="L10" s="2">
        <v>40</v>
      </c>
      <c r="M10" s="2" t="s">
        <v>5</v>
      </c>
      <c r="N10" s="2" t="s">
        <v>237</v>
      </c>
    </row>
    <row r="11" spans="1:14" x14ac:dyDescent="0.25">
      <c r="A11" s="2">
        <v>9335</v>
      </c>
      <c r="B11" s="2">
        <v>7601</v>
      </c>
      <c r="C11" s="2" t="s">
        <v>226</v>
      </c>
      <c r="D11" s="2">
        <v>348</v>
      </c>
      <c r="E11" s="2" t="s">
        <v>43</v>
      </c>
      <c r="F11" s="2">
        <v>51899</v>
      </c>
      <c r="G11" s="2">
        <v>8.8000000000000007</v>
      </c>
      <c r="H11" s="2">
        <v>12877</v>
      </c>
      <c r="I11" s="2" t="s">
        <v>227</v>
      </c>
      <c r="J11" s="2" t="s">
        <v>183</v>
      </c>
      <c r="K11" s="2" t="s">
        <v>183</v>
      </c>
      <c r="L11" s="2">
        <v>40</v>
      </c>
      <c r="M11" s="2" t="s">
        <v>5</v>
      </c>
      <c r="N11" s="2" t="s">
        <v>237</v>
      </c>
    </row>
    <row r="12" spans="1:14" x14ac:dyDescent="0.25">
      <c r="A12" s="2">
        <v>9336</v>
      </c>
      <c r="B12" s="2">
        <v>7601</v>
      </c>
      <c r="C12" s="2" t="s">
        <v>226</v>
      </c>
      <c r="D12" s="2">
        <v>381</v>
      </c>
      <c r="E12" s="2" t="s">
        <v>50</v>
      </c>
      <c r="F12" s="2">
        <v>16982</v>
      </c>
      <c r="G12" s="2">
        <v>2.9</v>
      </c>
      <c r="H12" s="2">
        <v>4307</v>
      </c>
      <c r="I12" s="2" t="s">
        <v>227</v>
      </c>
      <c r="J12" s="2" t="s">
        <v>183</v>
      </c>
      <c r="K12" s="2" t="s">
        <v>183</v>
      </c>
      <c r="L12" s="2">
        <v>40</v>
      </c>
      <c r="M12" s="2" t="s">
        <v>5</v>
      </c>
      <c r="N12" s="2" t="s">
        <v>237</v>
      </c>
    </row>
    <row r="13" spans="1:14" x14ac:dyDescent="0.25">
      <c r="A13" s="2">
        <v>9828</v>
      </c>
      <c r="B13" s="2">
        <v>7601</v>
      </c>
      <c r="C13" s="2" t="s">
        <v>226</v>
      </c>
      <c r="D13" s="2">
        <v>251</v>
      </c>
      <c r="E13" s="2" t="s">
        <v>33</v>
      </c>
      <c r="F13" s="2">
        <v>27419</v>
      </c>
      <c r="G13" s="2">
        <v>1.5</v>
      </c>
      <c r="H13" s="2">
        <v>5305</v>
      </c>
      <c r="I13" s="2" t="s">
        <v>227</v>
      </c>
      <c r="J13" s="2" t="s">
        <v>183</v>
      </c>
      <c r="K13" s="2" t="s">
        <v>183</v>
      </c>
      <c r="L13" s="2">
        <v>842</v>
      </c>
      <c r="M13" s="2" t="s">
        <v>229</v>
      </c>
      <c r="N13" s="2" t="s">
        <v>237</v>
      </c>
    </row>
    <row r="14" spans="1:14" x14ac:dyDescent="0.25">
      <c r="A14" s="2">
        <v>9338</v>
      </c>
      <c r="B14" s="2">
        <v>7601</v>
      </c>
      <c r="C14" s="2" t="s">
        <v>226</v>
      </c>
      <c r="D14" s="2">
        <v>756</v>
      </c>
      <c r="E14" s="2" t="s">
        <v>101</v>
      </c>
      <c r="F14" s="2">
        <v>12324</v>
      </c>
      <c r="G14" s="2">
        <v>2.1</v>
      </c>
      <c r="H14" s="2">
        <v>3374</v>
      </c>
      <c r="I14" s="2" t="s">
        <v>227</v>
      </c>
      <c r="J14" s="2" t="s">
        <v>183</v>
      </c>
      <c r="K14" s="2" t="s">
        <v>183</v>
      </c>
      <c r="L14" s="2">
        <v>40</v>
      </c>
      <c r="M14" s="2" t="s">
        <v>5</v>
      </c>
      <c r="N14" s="2" t="s">
        <v>237</v>
      </c>
    </row>
    <row r="15" spans="1:14" x14ac:dyDescent="0.25">
      <c r="A15" s="2">
        <v>9339</v>
      </c>
      <c r="B15" s="2">
        <v>7601</v>
      </c>
      <c r="C15" s="2" t="s">
        <v>226</v>
      </c>
      <c r="D15" s="2">
        <v>56</v>
      </c>
      <c r="E15" s="2" t="s">
        <v>11</v>
      </c>
      <c r="F15" s="2">
        <v>11046</v>
      </c>
      <c r="G15" s="2">
        <v>1.9</v>
      </c>
      <c r="H15" s="2">
        <v>3608</v>
      </c>
      <c r="I15" s="2" t="s">
        <v>227</v>
      </c>
      <c r="J15" s="2" t="s">
        <v>183</v>
      </c>
      <c r="K15" s="2" t="s">
        <v>183</v>
      </c>
      <c r="L15" s="2">
        <v>40</v>
      </c>
      <c r="M15" s="2" t="s">
        <v>5</v>
      </c>
      <c r="N15" s="2" t="s">
        <v>237</v>
      </c>
    </row>
    <row r="16" spans="1:14" x14ac:dyDescent="0.25">
      <c r="A16" s="2">
        <v>9340</v>
      </c>
      <c r="B16" s="2">
        <v>7601</v>
      </c>
      <c r="C16" s="2" t="s">
        <v>226</v>
      </c>
      <c r="D16" s="2">
        <v>203</v>
      </c>
      <c r="E16" s="2" t="s">
        <v>211</v>
      </c>
      <c r="F16" s="2">
        <v>10926</v>
      </c>
      <c r="G16" s="2">
        <v>1.8</v>
      </c>
      <c r="H16" s="2">
        <v>3451</v>
      </c>
      <c r="I16" s="2" t="s">
        <v>227</v>
      </c>
      <c r="J16" s="2" t="s">
        <v>183</v>
      </c>
      <c r="K16" s="2" t="s">
        <v>183</v>
      </c>
      <c r="L16" s="2">
        <v>40</v>
      </c>
      <c r="M16" s="2" t="s">
        <v>5</v>
      </c>
      <c r="N16" s="2" t="s">
        <v>237</v>
      </c>
    </row>
    <row r="17" spans="1:14" x14ac:dyDescent="0.25">
      <c r="A17" s="2">
        <v>9341</v>
      </c>
      <c r="B17" s="2">
        <v>7601</v>
      </c>
      <c r="C17" s="2" t="s">
        <v>226</v>
      </c>
      <c r="D17" s="2">
        <v>616</v>
      </c>
      <c r="E17" s="2" t="s">
        <v>86</v>
      </c>
      <c r="F17" s="2">
        <v>8757</v>
      </c>
      <c r="G17" s="2">
        <v>1.5</v>
      </c>
      <c r="H17" s="2">
        <v>2815</v>
      </c>
      <c r="I17" s="2" t="s">
        <v>227</v>
      </c>
      <c r="J17" s="2" t="s">
        <v>183</v>
      </c>
      <c r="K17" s="2" t="s">
        <v>183</v>
      </c>
      <c r="L17" s="2">
        <v>40</v>
      </c>
      <c r="M17" s="2" t="s">
        <v>5</v>
      </c>
      <c r="N17" s="2" t="s">
        <v>237</v>
      </c>
    </row>
    <row r="18" spans="1:14" x14ac:dyDescent="0.25">
      <c r="A18" s="2">
        <v>9342</v>
      </c>
      <c r="B18" s="2">
        <v>7601</v>
      </c>
      <c r="C18" s="2" t="s">
        <v>226</v>
      </c>
      <c r="D18" s="2">
        <v>528</v>
      </c>
      <c r="E18" s="2" t="s">
        <v>75</v>
      </c>
      <c r="F18" s="2">
        <v>6322</v>
      </c>
      <c r="G18" s="2">
        <v>1.1000000000000001</v>
      </c>
      <c r="H18" s="2">
        <v>3463</v>
      </c>
      <c r="I18" s="2" t="s">
        <v>227</v>
      </c>
      <c r="J18" s="2" t="s">
        <v>183</v>
      </c>
      <c r="K18" s="2" t="s">
        <v>183</v>
      </c>
      <c r="L18" s="2">
        <v>40</v>
      </c>
      <c r="M18" s="2" t="s">
        <v>5</v>
      </c>
      <c r="N18" s="2" t="s">
        <v>237</v>
      </c>
    </row>
    <row r="19" spans="1:14" x14ac:dyDescent="0.25">
      <c r="A19" s="2">
        <v>9343</v>
      </c>
      <c r="B19" s="2">
        <v>7601</v>
      </c>
      <c r="C19" s="2" t="s">
        <v>226</v>
      </c>
      <c r="D19" s="2">
        <v>703</v>
      </c>
      <c r="E19" s="2" t="s">
        <v>95</v>
      </c>
      <c r="F19" s="2">
        <v>5232</v>
      </c>
      <c r="G19" s="2">
        <v>0.9</v>
      </c>
      <c r="H19" s="2">
        <v>1741</v>
      </c>
      <c r="I19" s="2" t="s">
        <v>227</v>
      </c>
      <c r="J19" s="2" t="s">
        <v>183</v>
      </c>
      <c r="K19" s="2" t="s">
        <v>183</v>
      </c>
      <c r="L19" s="2">
        <v>40</v>
      </c>
      <c r="M19" s="2" t="s">
        <v>5</v>
      </c>
      <c r="N19" s="2" t="s">
        <v>237</v>
      </c>
    </row>
    <row r="20" spans="1:14" x14ac:dyDescent="0.25">
      <c r="A20" s="2">
        <v>9344</v>
      </c>
      <c r="B20" s="2">
        <v>7601</v>
      </c>
      <c r="C20" s="2" t="s">
        <v>226</v>
      </c>
      <c r="D20" s="2">
        <v>579</v>
      </c>
      <c r="E20" s="2" t="s">
        <v>79</v>
      </c>
      <c r="F20" s="2">
        <v>4308</v>
      </c>
      <c r="G20" s="2">
        <v>0.7</v>
      </c>
      <c r="H20" s="2">
        <v>1135</v>
      </c>
      <c r="I20" s="2" t="s">
        <v>227</v>
      </c>
      <c r="J20" s="2" t="s">
        <v>183</v>
      </c>
      <c r="K20" s="2" t="s">
        <v>183</v>
      </c>
      <c r="L20" s="2">
        <v>40</v>
      </c>
      <c r="M20" s="2" t="s">
        <v>5</v>
      </c>
      <c r="N20" s="2" t="s">
        <v>237</v>
      </c>
    </row>
    <row r="21" spans="1:14" x14ac:dyDescent="0.25">
      <c r="A21" s="2">
        <v>9345</v>
      </c>
      <c r="B21" s="2">
        <v>7601</v>
      </c>
      <c r="C21" s="2" t="s">
        <v>226</v>
      </c>
      <c r="D21" s="2">
        <v>642</v>
      </c>
      <c r="E21" s="2" t="s">
        <v>89</v>
      </c>
      <c r="F21" s="2">
        <v>4243</v>
      </c>
      <c r="G21" s="2">
        <v>0.7</v>
      </c>
      <c r="H21" s="2">
        <v>1155</v>
      </c>
      <c r="I21" s="2" t="s">
        <v>227</v>
      </c>
      <c r="J21" s="2" t="s">
        <v>183</v>
      </c>
      <c r="K21" s="2" t="s">
        <v>183</v>
      </c>
      <c r="L21" s="2">
        <v>40</v>
      </c>
      <c r="M21" s="2" t="s">
        <v>5</v>
      </c>
      <c r="N21" s="2" t="s">
        <v>237</v>
      </c>
    </row>
    <row r="22" spans="1:14" x14ac:dyDescent="0.25">
      <c r="A22" s="2">
        <v>9346</v>
      </c>
      <c r="B22" s="2">
        <v>7601</v>
      </c>
      <c r="C22" s="2" t="s">
        <v>226</v>
      </c>
      <c r="D22" s="2">
        <v>705</v>
      </c>
      <c r="E22" s="2" t="s">
        <v>96</v>
      </c>
      <c r="F22" s="2">
        <v>4134</v>
      </c>
      <c r="G22" s="2">
        <v>0.7</v>
      </c>
      <c r="H22" s="2">
        <v>1525</v>
      </c>
      <c r="I22" s="2" t="s">
        <v>227</v>
      </c>
      <c r="J22" s="2" t="s">
        <v>183</v>
      </c>
      <c r="K22" s="2" t="s">
        <v>183</v>
      </c>
      <c r="L22" s="2">
        <v>40</v>
      </c>
      <c r="M22" s="2" t="s">
        <v>5</v>
      </c>
      <c r="N22" s="2" t="s">
        <v>237</v>
      </c>
    </row>
    <row r="23" spans="1:14" x14ac:dyDescent="0.25">
      <c r="A23" s="2">
        <v>9347</v>
      </c>
      <c r="B23" s="2">
        <v>7601</v>
      </c>
      <c r="C23" s="2" t="s">
        <v>226</v>
      </c>
      <c r="D23" s="2">
        <v>752</v>
      </c>
      <c r="E23" s="2" t="s">
        <v>100</v>
      </c>
      <c r="F23" s="2">
        <v>1861</v>
      </c>
      <c r="G23" s="2">
        <v>0.3</v>
      </c>
      <c r="H23" s="2">
        <v>588</v>
      </c>
      <c r="I23" s="2" t="s">
        <v>227</v>
      </c>
      <c r="J23" s="2" t="s">
        <v>183</v>
      </c>
      <c r="K23" s="2" t="s">
        <v>183</v>
      </c>
      <c r="L23" s="2">
        <v>40</v>
      </c>
      <c r="M23" s="2" t="s">
        <v>5</v>
      </c>
      <c r="N23" s="2" t="s">
        <v>237</v>
      </c>
    </row>
    <row r="24" spans="1:14" x14ac:dyDescent="0.25">
      <c r="A24" s="2">
        <v>9348</v>
      </c>
      <c r="B24" s="2">
        <v>7601</v>
      </c>
      <c r="C24" s="2" t="s">
        <v>226</v>
      </c>
      <c r="D24" s="2">
        <v>246</v>
      </c>
      <c r="E24" s="2" t="s">
        <v>32</v>
      </c>
      <c r="F24" s="2">
        <v>1861</v>
      </c>
      <c r="G24" s="2">
        <v>0.3</v>
      </c>
      <c r="H24" s="2">
        <v>558</v>
      </c>
      <c r="I24" s="2" t="s">
        <v>227</v>
      </c>
      <c r="J24" s="2" t="s">
        <v>183</v>
      </c>
      <c r="K24" s="2" t="s">
        <v>183</v>
      </c>
      <c r="L24" s="2">
        <v>40</v>
      </c>
      <c r="M24" s="2" t="s">
        <v>5</v>
      </c>
      <c r="N24" s="2" t="s">
        <v>237</v>
      </c>
    </row>
    <row r="25" spans="1:14" x14ac:dyDescent="0.25">
      <c r="A25" s="2">
        <v>9349</v>
      </c>
      <c r="B25" s="2">
        <v>7601</v>
      </c>
      <c r="C25" s="2" t="s">
        <v>226</v>
      </c>
      <c r="D25" s="2">
        <v>688</v>
      </c>
      <c r="E25" s="2" t="s">
        <v>92</v>
      </c>
      <c r="F25" s="2">
        <v>575</v>
      </c>
      <c r="G25" s="2">
        <v>0.1</v>
      </c>
      <c r="H25" s="2">
        <v>135</v>
      </c>
      <c r="I25" s="2" t="s">
        <v>227</v>
      </c>
      <c r="J25" s="2" t="s">
        <v>183</v>
      </c>
      <c r="K25" s="2" t="s">
        <v>183</v>
      </c>
      <c r="L25" s="2">
        <v>40</v>
      </c>
      <c r="M25" s="2" t="s">
        <v>5</v>
      </c>
      <c r="N25" s="2" t="s">
        <v>237</v>
      </c>
    </row>
    <row r="26" spans="1:14" x14ac:dyDescent="0.25">
      <c r="A26" s="2">
        <v>9350</v>
      </c>
      <c r="B26" s="2">
        <v>7601</v>
      </c>
      <c r="C26" s="2" t="s">
        <v>226</v>
      </c>
      <c r="D26" s="2">
        <v>826</v>
      </c>
      <c r="E26" s="2" t="s">
        <v>110</v>
      </c>
      <c r="F26" s="2">
        <v>529</v>
      </c>
      <c r="G26" s="2">
        <v>0.1</v>
      </c>
      <c r="H26" s="2">
        <v>110</v>
      </c>
      <c r="I26" s="2" t="s">
        <v>227</v>
      </c>
      <c r="J26" s="2" t="s">
        <v>183</v>
      </c>
      <c r="K26" s="2" t="s">
        <v>183</v>
      </c>
      <c r="L26" s="2">
        <v>40</v>
      </c>
      <c r="M26" s="2" t="s">
        <v>5</v>
      </c>
      <c r="N26" s="2" t="s">
        <v>237</v>
      </c>
    </row>
    <row r="27" spans="1:14" x14ac:dyDescent="0.25">
      <c r="A27" s="2">
        <v>9351</v>
      </c>
      <c r="B27" s="2">
        <v>7601</v>
      </c>
      <c r="C27" s="2" t="s">
        <v>226</v>
      </c>
      <c r="D27" s="2">
        <v>36</v>
      </c>
      <c r="E27" s="2" t="s">
        <v>4</v>
      </c>
      <c r="F27" s="2">
        <v>121</v>
      </c>
      <c r="G27" s="2">
        <v>0</v>
      </c>
      <c r="H27" s="2">
        <v>8</v>
      </c>
      <c r="I27" s="2" t="s">
        <v>227</v>
      </c>
      <c r="J27" s="2" t="s">
        <v>183</v>
      </c>
      <c r="K27" s="2" t="s">
        <v>183</v>
      </c>
      <c r="L27" s="2">
        <v>40</v>
      </c>
      <c r="M27" s="2" t="s">
        <v>5</v>
      </c>
      <c r="N27" s="2" t="s">
        <v>237</v>
      </c>
    </row>
    <row r="28" spans="1:14" x14ac:dyDescent="0.25">
      <c r="A28" s="2">
        <v>9352</v>
      </c>
      <c r="B28" s="2">
        <v>7601</v>
      </c>
      <c r="C28" s="2" t="s">
        <v>226</v>
      </c>
      <c r="D28" s="2">
        <v>842</v>
      </c>
      <c r="E28" s="2" t="s">
        <v>229</v>
      </c>
      <c r="F28" s="2">
        <v>74</v>
      </c>
      <c r="G28" s="2">
        <v>0</v>
      </c>
      <c r="H28" s="2">
        <v>5</v>
      </c>
      <c r="I28" s="2" t="s">
        <v>227</v>
      </c>
      <c r="J28" s="2" t="s">
        <v>183</v>
      </c>
      <c r="K28" s="2" t="s">
        <v>183</v>
      </c>
      <c r="L28" s="2">
        <v>40</v>
      </c>
      <c r="M28" s="2" t="s">
        <v>5</v>
      </c>
      <c r="N28" s="2" t="s">
        <v>237</v>
      </c>
    </row>
    <row r="29" spans="1:14" x14ac:dyDescent="0.25">
      <c r="A29" s="2">
        <v>9353</v>
      </c>
      <c r="B29" s="2">
        <v>7601</v>
      </c>
      <c r="C29" s="2" t="s">
        <v>226</v>
      </c>
      <c r="D29" s="2">
        <v>300</v>
      </c>
      <c r="E29" s="2" t="s">
        <v>39</v>
      </c>
      <c r="F29" s="2">
        <v>35</v>
      </c>
      <c r="G29" s="2">
        <v>0</v>
      </c>
      <c r="H29" s="2">
        <v>8</v>
      </c>
      <c r="I29" s="2" t="s">
        <v>227</v>
      </c>
      <c r="J29" s="2" t="s">
        <v>183</v>
      </c>
      <c r="K29" s="2" t="s">
        <v>183</v>
      </c>
      <c r="L29" s="2">
        <v>40</v>
      </c>
      <c r="M29" s="2" t="s">
        <v>5</v>
      </c>
      <c r="N29" s="2" t="s">
        <v>237</v>
      </c>
    </row>
    <row r="30" spans="1:14" x14ac:dyDescent="0.25">
      <c r="A30" s="2">
        <v>9354</v>
      </c>
      <c r="B30" s="2">
        <v>7601</v>
      </c>
      <c r="C30" s="2" t="s">
        <v>226</v>
      </c>
      <c r="D30" s="2">
        <v>554</v>
      </c>
      <c r="E30" s="2" t="s">
        <v>76</v>
      </c>
      <c r="F30" s="2">
        <v>3</v>
      </c>
      <c r="G30" s="2">
        <v>0</v>
      </c>
      <c r="H30" s="2">
        <v>0</v>
      </c>
      <c r="I30" s="2" t="s">
        <v>227</v>
      </c>
      <c r="J30" s="2" t="s">
        <v>183</v>
      </c>
      <c r="K30" s="2" t="s">
        <v>183</v>
      </c>
      <c r="L30" s="2">
        <v>40</v>
      </c>
      <c r="M30" s="2" t="s">
        <v>5</v>
      </c>
      <c r="N30" s="2" t="s">
        <v>237</v>
      </c>
    </row>
    <row r="31" spans="1:14" x14ac:dyDescent="0.25">
      <c r="A31" s="2">
        <v>9355</v>
      </c>
      <c r="B31" s="2">
        <v>7601</v>
      </c>
      <c r="C31" s="2" t="s">
        <v>226</v>
      </c>
      <c r="D31" s="2">
        <v>276</v>
      </c>
      <c r="E31" s="2" t="s">
        <v>37</v>
      </c>
      <c r="F31" s="2">
        <v>57104</v>
      </c>
      <c r="G31" s="2">
        <v>22.6</v>
      </c>
      <c r="H31" s="2">
        <v>16725</v>
      </c>
      <c r="I31" s="2" t="s">
        <v>227</v>
      </c>
      <c r="J31" s="2" t="s">
        <v>183</v>
      </c>
      <c r="K31" s="2" t="s">
        <v>183</v>
      </c>
      <c r="L31" s="2">
        <v>56</v>
      </c>
      <c r="M31" s="2" t="s">
        <v>11</v>
      </c>
      <c r="N31" s="2" t="s">
        <v>237</v>
      </c>
    </row>
    <row r="32" spans="1:14" x14ac:dyDescent="0.25">
      <c r="A32" s="2">
        <v>9356</v>
      </c>
      <c r="B32" s="2">
        <v>7601</v>
      </c>
      <c r="C32" s="2" t="s">
        <v>226</v>
      </c>
      <c r="D32" s="2">
        <v>528</v>
      </c>
      <c r="E32" s="2" t="s">
        <v>75</v>
      </c>
      <c r="F32" s="2">
        <v>49348</v>
      </c>
      <c r="G32" s="2">
        <v>19.600000000000001</v>
      </c>
      <c r="H32" s="2">
        <v>15444</v>
      </c>
      <c r="I32" s="2" t="s">
        <v>227</v>
      </c>
      <c r="J32" s="2" t="s">
        <v>183</v>
      </c>
      <c r="K32" s="2" t="s">
        <v>183</v>
      </c>
      <c r="L32" s="2">
        <v>56</v>
      </c>
      <c r="M32" s="2" t="s">
        <v>11</v>
      </c>
      <c r="N32" s="2" t="s">
        <v>237</v>
      </c>
    </row>
    <row r="33" spans="1:14" x14ac:dyDescent="0.25">
      <c r="A33" s="2">
        <v>9358</v>
      </c>
      <c r="B33" s="2">
        <v>7601</v>
      </c>
      <c r="C33" s="2" t="s">
        <v>226</v>
      </c>
      <c r="D33" s="2">
        <v>616</v>
      </c>
      <c r="E33" s="2" t="s">
        <v>86</v>
      </c>
      <c r="F33" s="2">
        <v>35781</v>
      </c>
      <c r="G33" s="2">
        <v>14.2</v>
      </c>
      <c r="H33" s="2">
        <v>10647</v>
      </c>
      <c r="I33" s="2" t="s">
        <v>227</v>
      </c>
      <c r="J33" s="2" t="s">
        <v>183</v>
      </c>
      <c r="K33" s="2" t="s">
        <v>183</v>
      </c>
      <c r="L33" s="2">
        <v>56</v>
      </c>
      <c r="M33" s="2" t="s">
        <v>11</v>
      </c>
      <c r="N33" s="2" t="s">
        <v>237</v>
      </c>
    </row>
    <row r="34" spans="1:14" x14ac:dyDescent="0.25">
      <c r="A34" s="2">
        <v>9359</v>
      </c>
      <c r="B34" s="2">
        <v>7601</v>
      </c>
      <c r="C34" s="2" t="s">
        <v>226</v>
      </c>
      <c r="D34" s="2">
        <v>203</v>
      </c>
      <c r="E34" s="2" t="s">
        <v>211</v>
      </c>
      <c r="F34" s="2">
        <v>25940</v>
      </c>
      <c r="G34" s="2">
        <v>10.3</v>
      </c>
      <c r="H34" s="2">
        <v>7546</v>
      </c>
      <c r="I34" s="2" t="s">
        <v>227</v>
      </c>
      <c r="J34" s="2" t="s">
        <v>183</v>
      </c>
      <c r="K34" s="2" t="s">
        <v>183</v>
      </c>
      <c r="L34" s="2">
        <v>56</v>
      </c>
      <c r="M34" s="2" t="s">
        <v>11</v>
      </c>
      <c r="N34" s="2" t="s">
        <v>237</v>
      </c>
    </row>
    <row r="35" spans="1:14" x14ac:dyDescent="0.25">
      <c r="A35" s="2">
        <v>9360</v>
      </c>
      <c r="B35" s="2">
        <v>7601</v>
      </c>
      <c r="C35" s="2" t="s">
        <v>226</v>
      </c>
      <c r="D35" s="2">
        <v>348</v>
      </c>
      <c r="E35" s="2" t="s">
        <v>43</v>
      </c>
      <c r="F35" s="2">
        <v>14047</v>
      </c>
      <c r="G35" s="2">
        <v>5.6</v>
      </c>
      <c r="H35" s="2">
        <v>3693</v>
      </c>
      <c r="I35" s="2" t="s">
        <v>227</v>
      </c>
      <c r="J35" s="2" t="s">
        <v>183</v>
      </c>
      <c r="K35" s="2" t="s">
        <v>183</v>
      </c>
      <c r="L35" s="2">
        <v>56</v>
      </c>
      <c r="M35" s="2" t="s">
        <v>11</v>
      </c>
      <c r="N35" s="2" t="s">
        <v>237</v>
      </c>
    </row>
    <row r="36" spans="1:14" x14ac:dyDescent="0.25">
      <c r="A36" s="2">
        <v>9361</v>
      </c>
      <c r="B36" s="2">
        <v>7601</v>
      </c>
      <c r="C36" s="2" t="s">
        <v>226</v>
      </c>
      <c r="D36" s="2">
        <v>842</v>
      </c>
      <c r="E36" s="2" t="s">
        <v>229</v>
      </c>
      <c r="F36" s="2">
        <v>8483</v>
      </c>
      <c r="G36" s="2">
        <v>3.4</v>
      </c>
      <c r="H36" s="2">
        <v>659</v>
      </c>
      <c r="I36" s="2" t="s">
        <v>227</v>
      </c>
      <c r="J36" s="2" t="s">
        <v>183</v>
      </c>
      <c r="K36" s="2" t="s">
        <v>183</v>
      </c>
      <c r="L36" s="2">
        <v>56</v>
      </c>
      <c r="M36" s="2" t="s">
        <v>11</v>
      </c>
      <c r="N36" s="2" t="s">
        <v>237</v>
      </c>
    </row>
    <row r="37" spans="1:14" x14ac:dyDescent="0.25">
      <c r="A37" s="2">
        <v>9362</v>
      </c>
      <c r="B37" s="2">
        <v>7601</v>
      </c>
      <c r="C37" s="2" t="s">
        <v>226</v>
      </c>
      <c r="D37" s="2">
        <v>381</v>
      </c>
      <c r="E37" s="2" t="s">
        <v>50</v>
      </c>
      <c r="F37" s="2">
        <v>5460</v>
      </c>
      <c r="G37" s="2">
        <v>2.2000000000000002</v>
      </c>
      <c r="H37" s="2">
        <v>1846</v>
      </c>
      <c r="I37" s="2" t="s">
        <v>227</v>
      </c>
      <c r="J37" s="2" t="s">
        <v>183</v>
      </c>
      <c r="K37" s="2" t="s">
        <v>183</v>
      </c>
      <c r="L37" s="2">
        <v>56</v>
      </c>
      <c r="M37" s="2" t="s">
        <v>11</v>
      </c>
      <c r="N37" s="2" t="s">
        <v>237</v>
      </c>
    </row>
    <row r="38" spans="1:14" x14ac:dyDescent="0.25">
      <c r="A38" s="2">
        <v>9363</v>
      </c>
      <c r="B38" s="2">
        <v>7601</v>
      </c>
      <c r="C38" s="2" t="s">
        <v>226</v>
      </c>
      <c r="D38" s="2">
        <v>208</v>
      </c>
      <c r="E38" s="2" t="s">
        <v>24</v>
      </c>
      <c r="F38" s="2">
        <v>5060</v>
      </c>
      <c r="G38" s="2">
        <v>2</v>
      </c>
      <c r="H38" s="2">
        <v>4702</v>
      </c>
      <c r="I38" s="2" t="s">
        <v>227</v>
      </c>
      <c r="J38" s="2" t="s">
        <v>183</v>
      </c>
      <c r="K38" s="2" t="s">
        <v>183</v>
      </c>
      <c r="L38" s="2">
        <v>56</v>
      </c>
      <c r="M38" s="2" t="s">
        <v>11</v>
      </c>
      <c r="N38" s="2" t="s">
        <v>237</v>
      </c>
    </row>
    <row r="39" spans="1:14" x14ac:dyDescent="0.25">
      <c r="A39" s="2">
        <v>9364</v>
      </c>
      <c r="B39" s="2">
        <v>7601</v>
      </c>
      <c r="C39" s="2" t="s">
        <v>226</v>
      </c>
      <c r="D39" s="2">
        <v>826</v>
      </c>
      <c r="E39" s="2" t="s">
        <v>110</v>
      </c>
      <c r="F39" s="2">
        <v>2721</v>
      </c>
      <c r="G39" s="2">
        <v>1.1000000000000001</v>
      </c>
      <c r="H39" s="2">
        <v>739</v>
      </c>
      <c r="I39" s="2" t="s">
        <v>227</v>
      </c>
      <c r="J39" s="2" t="s">
        <v>183</v>
      </c>
      <c r="K39" s="2" t="s">
        <v>183</v>
      </c>
      <c r="L39" s="2">
        <v>56</v>
      </c>
      <c r="M39" s="2" t="s">
        <v>11</v>
      </c>
      <c r="N39" s="2" t="s">
        <v>237</v>
      </c>
    </row>
    <row r="40" spans="1:14" x14ac:dyDescent="0.25">
      <c r="A40" s="2">
        <v>9365</v>
      </c>
      <c r="B40" s="2">
        <v>7601</v>
      </c>
      <c r="C40" s="2" t="s">
        <v>226</v>
      </c>
      <c r="D40" s="2">
        <v>442</v>
      </c>
      <c r="E40" s="2" t="s">
        <v>62</v>
      </c>
      <c r="F40" s="2">
        <v>2546</v>
      </c>
      <c r="G40" s="2">
        <v>1</v>
      </c>
      <c r="H40" s="2">
        <v>632</v>
      </c>
      <c r="I40" s="2" t="s">
        <v>227</v>
      </c>
      <c r="J40" s="2" t="s">
        <v>183</v>
      </c>
      <c r="K40" s="2" t="s">
        <v>183</v>
      </c>
      <c r="L40" s="2">
        <v>56</v>
      </c>
      <c r="M40" s="2" t="s">
        <v>11</v>
      </c>
      <c r="N40" s="2" t="s">
        <v>237</v>
      </c>
    </row>
    <row r="41" spans="1:14" x14ac:dyDescent="0.25">
      <c r="A41" s="2">
        <v>9366</v>
      </c>
      <c r="B41" s="2">
        <v>7601</v>
      </c>
      <c r="C41" s="2" t="s">
        <v>226</v>
      </c>
      <c r="D41" s="2">
        <v>484</v>
      </c>
      <c r="E41" s="2" t="s">
        <v>70</v>
      </c>
      <c r="F41" s="2">
        <v>1751</v>
      </c>
      <c r="G41" s="2">
        <v>0.7</v>
      </c>
      <c r="H41" s="2">
        <v>278</v>
      </c>
      <c r="I41" s="2" t="s">
        <v>227</v>
      </c>
      <c r="J41" s="2" t="s">
        <v>183</v>
      </c>
      <c r="K41" s="2" t="s">
        <v>183</v>
      </c>
      <c r="L41" s="2">
        <v>56</v>
      </c>
      <c r="M41" s="2" t="s">
        <v>11</v>
      </c>
      <c r="N41" s="2" t="s">
        <v>237</v>
      </c>
    </row>
    <row r="42" spans="1:14" x14ac:dyDescent="0.25">
      <c r="A42" s="2">
        <v>9367</v>
      </c>
      <c r="B42" s="2">
        <v>7601</v>
      </c>
      <c r="C42" s="2" t="s">
        <v>226</v>
      </c>
      <c r="D42" s="2">
        <v>792</v>
      </c>
      <c r="E42" s="2" t="s">
        <v>107</v>
      </c>
      <c r="F42" s="2">
        <v>1241</v>
      </c>
      <c r="G42" s="2">
        <v>0.5</v>
      </c>
      <c r="H42" s="2">
        <v>767</v>
      </c>
      <c r="I42" s="2" t="s">
        <v>227</v>
      </c>
      <c r="J42" s="2" t="s">
        <v>183</v>
      </c>
      <c r="K42" s="2" t="s">
        <v>183</v>
      </c>
      <c r="L42" s="2">
        <v>56</v>
      </c>
      <c r="M42" s="2" t="s">
        <v>11</v>
      </c>
      <c r="N42" s="2" t="s">
        <v>237</v>
      </c>
    </row>
    <row r="43" spans="1:14" x14ac:dyDescent="0.25">
      <c r="A43" s="2">
        <v>9368</v>
      </c>
      <c r="B43" s="2">
        <v>7601</v>
      </c>
      <c r="C43" s="2" t="s">
        <v>226</v>
      </c>
      <c r="D43" s="2">
        <v>756</v>
      </c>
      <c r="E43" s="2" t="s">
        <v>101</v>
      </c>
      <c r="F43" s="2">
        <v>977</v>
      </c>
      <c r="G43" s="2">
        <v>0.4</v>
      </c>
      <c r="H43" s="2">
        <v>60</v>
      </c>
      <c r="I43" s="2" t="s">
        <v>227</v>
      </c>
      <c r="J43" s="2" t="s">
        <v>183</v>
      </c>
      <c r="K43" s="2" t="s">
        <v>183</v>
      </c>
      <c r="L43" s="2">
        <v>56</v>
      </c>
      <c r="M43" s="2" t="s">
        <v>11</v>
      </c>
      <c r="N43" s="2" t="s">
        <v>237</v>
      </c>
    </row>
    <row r="44" spans="1:14" x14ac:dyDescent="0.25">
      <c r="A44" s="2">
        <v>9369</v>
      </c>
      <c r="B44" s="2">
        <v>7601</v>
      </c>
      <c r="C44" s="2" t="s">
        <v>226</v>
      </c>
      <c r="D44" s="2">
        <v>124</v>
      </c>
      <c r="E44" s="2" t="s">
        <v>16</v>
      </c>
      <c r="F44" s="2">
        <v>460</v>
      </c>
      <c r="G44" s="2">
        <v>0.2</v>
      </c>
      <c r="H44" s="2">
        <v>45</v>
      </c>
      <c r="I44" s="2" t="s">
        <v>227</v>
      </c>
      <c r="J44" s="2" t="s">
        <v>183</v>
      </c>
      <c r="K44" s="2" t="s">
        <v>183</v>
      </c>
      <c r="L44" s="2">
        <v>56</v>
      </c>
      <c r="M44" s="2" t="s">
        <v>11</v>
      </c>
      <c r="N44" s="2" t="s">
        <v>237</v>
      </c>
    </row>
    <row r="45" spans="1:14" x14ac:dyDescent="0.25">
      <c r="A45" s="2">
        <v>9370</v>
      </c>
      <c r="B45" s="2">
        <v>7601</v>
      </c>
      <c r="C45" s="2" t="s">
        <v>226</v>
      </c>
      <c r="D45" s="2">
        <v>705</v>
      </c>
      <c r="E45" s="2" t="s">
        <v>96</v>
      </c>
      <c r="F45" s="2">
        <v>396</v>
      </c>
      <c r="G45" s="2">
        <v>0.2</v>
      </c>
      <c r="H45" s="2">
        <v>117</v>
      </c>
      <c r="I45" s="2" t="s">
        <v>227</v>
      </c>
      <c r="J45" s="2" t="s">
        <v>183</v>
      </c>
      <c r="K45" s="2" t="s">
        <v>183</v>
      </c>
      <c r="L45" s="2">
        <v>56</v>
      </c>
      <c r="M45" s="2" t="s">
        <v>11</v>
      </c>
      <c r="N45" s="2" t="s">
        <v>237</v>
      </c>
    </row>
    <row r="46" spans="1:14" x14ac:dyDescent="0.25">
      <c r="A46" s="2">
        <v>9371</v>
      </c>
      <c r="B46" s="2">
        <v>7601</v>
      </c>
      <c r="C46" s="2" t="s">
        <v>226</v>
      </c>
      <c r="D46" s="2">
        <v>724</v>
      </c>
      <c r="E46" s="2" t="s">
        <v>98</v>
      </c>
      <c r="F46" s="2">
        <v>386</v>
      </c>
      <c r="G46" s="2">
        <v>0.2</v>
      </c>
      <c r="H46" s="2">
        <v>76</v>
      </c>
      <c r="I46" s="2" t="s">
        <v>227</v>
      </c>
      <c r="J46" s="2" t="s">
        <v>183</v>
      </c>
      <c r="K46" s="2" t="s">
        <v>183</v>
      </c>
      <c r="L46" s="2">
        <v>56</v>
      </c>
      <c r="M46" s="2" t="s">
        <v>11</v>
      </c>
      <c r="N46" s="2" t="s">
        <v>237</v>
      </c>
    </row>
    <row r="47" spans="1:14" x14ac:dyDescent="0.25">
      <c r="A47" s="2">
        <v>9372</v>
      </c>
      <c r="B47" s="2">
        <v>7601</v>
      </c>
      <c r="C47" s="2" t="s">
        <v>226</v>
      </c>
      <c r="D47" s="2">
        <v>300</v>
      </c>
      <c r="E47" s="2" t="s">
        <v>39</v>
      </c>
      <c r="F47" s="2">
        <v>360</v>
      </c>
      <c r="G47" s="2">
        <v>0.1</v>
      </c>
      <c r="H47" s="2">
        <v>63</v>
      </c>
      <c r="I47" s="2" t="s">
        <v>227</v>
      </c>
      <c r="J47" s="2" t="s">
        <v>183</v>
      </c>
      <c r="K47" s="2" t="s">
        <v>183</v>
      </c>
      <c r="L47" s="2">
        <v>56</v>
      </c>
      <c r="M47" s="2" t="s">
        <v>11</v>
      </c>
      <c r="N47" s="2" t="s">
        <v>237</v>
      </c>
    </row>
    <row r="48" spans="1:14" x14ac:dyDescent="0.25">
      <c r="A48" s="2">
        <v>9373</v>
      </c>
      <c r="B48" s="2">
        <v>7601</v>
      </c>
      <c r="C48" s="2" t="s">
        <v>226</v>
      </c>
      <c r="D48" s="2">
        <v>752</v>
      </c>
      <c r="E48" s="2" t="s">
        <v>100</v>
      </c>
      <c r="F48" s="2">
        <v>338</v>
      </c>
      <c r="G48" s="2">
        <v>0.1</v>
      </c>
      <c r="H48" s="2">
        <v>30</v>
      </c>
      <c r="I48" s="2" t="s">
        <v>227</v>
      </c>
      <c r="J48" s="2" t="s">
        <v>183</v>
      </c>
      <c r="K48" s="2" t="s">
        <v>183</v>
      </c>
      <c r="L48" s="2">
        <v>56</v>
      </c>
      <c r="M48" s="2" t="s">
        <v>11</v>
      </c>
      <c r="N48" s="2" t="s">
        <v>237</v>
      </c>
    </row>
    <row r="49" spans="1:14" x14ac:dyDescent="0.25">
      <c r="A49" s="2">
        <v>9374</v>
      </c>
      <c r="B49" s="2">
        <v>7601</v>
      </c>
      <c r="C49" s="2" t="s">
        <v>226</v>
      </c>
      <c r="D49" s="2">
        <v>352</v>
      </c>
      <c r="E49" s="2" t="s">
        <v>44</v>
      </c>
      <c r="F49" s="2">
        <v>252</v>
      </c>
      <c r="G49" s="2">
        <v>0.1</v>
      </c>
      <c r="H49" s="2">
        <v>20</v>
      </c>
      <c r="I49" s="2" t="s">
        <v>227</v>
      </c>
      <c r="J49" s="2" t="s">
        <v>183</v>
      </c>
      <c r="K49" s="2" t="s">
        <v>183</v>
      </c>
      <c r="L49" s="2">
        <v>56</v>
      </c>
      <c r="M49" s="2" t="s">
        <v>11</v>
      </c>
      <c r="N49" s="2" t="s">
        <v>237</v>
      </c>
    </row>
    <row r="50" spans="1:14" x14ac:dyDescent="0.25">
      <c r="A50" s="2">
        <v>9375</v>
      </c>
      <c r="B50" s="2">
        <v>7601</v>
      </c>
      <c r="C50" s="2" t="s">
        <v>226</v>
      </c>
      <c r="D50" s="2">
        <v>156</v>
      </c>
      <c r="E50" s="2" t="s">
        <v>18</v>
      </c>
      <c r="F50" s="2">
        <v>181</v>
      </c>
      <c r="G50" s="2">
        <v>0.1</v>
      </c>
      <c r="H50" s="2">
        <v>80</v>
      </c>
      <c r="I50" s="2" t="s">
        <v>227</v>
      </c>
      <c r="J50" s="2" t="s">
        <v>183</v>
      </c>
      <c r="K50" s="2" t="s">
        <v>183</v>
      </c>
      <c r="L50" s="2">
        <v>56</v>
      </c>
      <c r="M50" s="2" t="s">
        <v>11</v>
      </c>
      <c r="N50" s="2" t="s">
        <v>237</v>
      </c>
    </row>
    <row r="51" spans="1:14" x14ac:dyDescent="0.25">
      <c r="A51" s="2">
        <v>9376</v>
      </c>
      <c r="B51" s="2">
        <v>7601</v>
      </c>
      <c r="C51" s="2" t="s">
        <v>226</v>
      </c>
      <c r="D51" s="2">
        <v>699</v>
      </c>
      <c r="E51" s="2" t="s">
        <v>45</v>
      </c>
      <c r="F51" s="2">
        <v>174</v>
      </c>
      <c r="G51" s="2">
        <v>0.1</v>
      </c>
      <c r="H51" s="2">
        <v>20</v>
      </c>
      <c r="I51" s="2" t="s">
        <v>227</v>
      </c>
      <c r="J51" s="2" t="s">
        <v>183</v>
      </c>
      <c r="K51" s="2" t="s">
        <v>183</v>
      </c>
      <c r="L51" s="2">
        <v>56</v>
      </c>
      <c r="M51" s="2" t="s">
        <v>11</v>
      </c>
      <c r="N51" s="2" t="s">
        <v>237</v>
      </c>
    </row>
    <row r="52" spans="1:14" x14ac:dyDescent="0.25">
      <c r="A52" s="2">
        <v>9377</v>
      </c>
      <c r="B52" s="2">
        <v>7601</v>
      </c>
      <c r="C52" s="2" t="s">
        <v>226</v>
      </c>
      <c r="D52" s="2">
        <v>642</v>
      </c>
      <c r="E52" s="2" t="s">
        <v>89</v>
      </c>
      <c r="F52" s="2">
        <v>167</v>
      </c>
      <c r="G52" s="2">
        <v>0.1</v>
      </c>
      <c r="H52" s="2">
        <v>43</v>
      </c>
      <c r="I52" s="2" t="s">
        <v>227</v>
      </c>
      <c r="J52" s="2" t="s">
        <v>183</v>
      </c>
      <c r="K52" s="2" t="s">
        <v>183</v>
      </c>
      <c r="L52" s="2">
        <v>56</v>
      </c>
      <c r="M52" s="2" t="s">
        <v>11</v>
      </c>
      <c r="N52" s="2" t="s">
        <v>237</v>
      </c>
    </row>
    <row r="53" spans="1:14" x14ac:dyDescent="0.25">
      <c r="A53" s="2">
        <v>9378</v>
      </c>
      <c r="B53" s="2">
        <v>7601</v>
      </c>
      <c r="C53" s="2" t="s">
        <v>226</v>
      </c>
      <c r="D53" s="2">
        <v>40</v>
      </c>
      <c r="E53" s="2" t="s">
        <v>5</v>
      </c>
      <c r="F53" s="2">
        <v>124</v>
      </c>
      <c r="G53" s="2">
        <v>0</v>
      </c>
      <c r="H53" s="2">
        <v>11</v>
      </c>
      <c r="I53" s="2" t="s">
        <v>227</v>
      </c>
      <c r="J53" s="2" t="s">
        <v>183</v>
      </c>
      <c r="K53" s="2" t="s">
        <v>183</v>
      </c>
      <c r="L53" s="2">
        <v>56</v>
      </c>
      <c r="M53" s="2" t="s">
        <v>11</v>
      </c>
      <c r="N53" s="2" t="s">
        <v>237</v>
      </c>
    </row>
    <row r="54" spans="1:14" x14ac:dyDescent="0.25">
      <c r="A54" s="2">
        <v>9379</v>
      </c>
      <c r="B54" s="2">
        <v>7601</v>
      </c>
      <c r="C54" s="2" t="s">
        <v>226</v>
      </c>
      <c r="D54" s="2">
        <v>392</v>
      </c>
      <c r="E54" s="2" t="s">
        <v>51</v>
      </c>
      <c r="F54" s="2">
        <v>373513</v>
      </c>
      <c r="G54" s="2">
        <v>57.9</v>
      </c>
      <c r="H54" s="2">
        <v>144607</v>
      </c>
      <c r="I54" s="2" t="s">
        <v>227</v>
      </c>
      <c r="J54" s="2" t="s">
        <v>183</v>
      </c>
      <c r="K54" s="2" t="s">
        <v>183</v>
      </c>
      <c r="L54" s="2">
        <v>76</v>
      </c>
      <c r="M54" s="2" t="s">
        <v>14</v>
      </c>
      <c r="N54" s="2" t="s">
        <v>237</v>
      </c>
    </row>
    <row r="55" spans="1:14" x14ac:dyDescent="0.25">
      <c r="A55" s="2">
        <v>9380</v>
      </c>
      <c r="B55" s="2">
        <v>7601</v>
      </c>
      <c r="C55" s="2" t="s">
        <v>226</v>
      </c>
      <c r="D55" s="2">
        <v>842</v>
      </c>
      <c r="E55" s="2" t="s">
        <v>229</v>
      </c>
      <c r="F55" s="2">
        <v>115398</v>
      </c>
      <c r="G55" s="2">
        <v>17.899999999999999</v>
      </c>
      <c r="H55" s="2">
        <v>31698</v>
      </c>
      <c r="I55" s="2" t="s">
        <v>227</v>
      </c>
      <c r="J55" s="2" t="s">
        <v>183</v>
      </c>
      <c r="K55" s="2" t="s">
        <v>183</v>
      </c>
      <c r="L55" s="2">
        <v>76</v>
      </c>
      <c r="M55" s="2" t="s">
        <v>14</v>
      </c>
      <c r="N55" s="2" t="s">
        <v>237</v>
      </c>
    </row>
    <row r="56" spans="1:14" x14ac:dyDescent="0.25">
      <c r="A56" s="2">
        <v>9381</v>
      </c>
      <c r="B56" s="2">
        <v>7601</v>
      </c>
      <c r="C56" s="2" t="s">
        <v>226</v>
      </c>
      <c r="D56" s="2">
        <v>724</v>
      </c>
      <c r="E56" s="2" t="s">
        <v>98</v>
      </c>
      <c r="F56" s="2">
        <v>50049</v>
      </c>
      <c r="G56" s="2">
        <v>7.8</v>
      </c>
      <c r="H56" s="2">
        <v>14510</v>
      </c>
      <c r="I56" s="2" t="s">
        <v>227</v>
      </c>
      <c r="J56" s="2" t="s">
        <v>183</v>
      </c>
      <c r="K56" s="2" t="s">
        <v>183</v>
      </c>
      <c r="L56" s="2">
        <v>76</v>
      </c>
      <c r="M56" s="2" t="s">
        <v>14</v>
      </c>
      <c r="N56" s="2" t="s">
        <v>237</v>
      </c>
    </row>
    <row r="57" spans="1:14" x14ac:dyDescent="0.25">
      <c r="A57" s="2">
        <v>9382</v>
      </c>
      <c r="B57" s="2">
        <v>7601</v>
      </c>
      <c r="C57" s="2" t="s">
        <v>226</v>
      </c>
      <c r="D57" s="2">
        <v>170</v>
      </c>
      <c r="E57" s="2" t="s">
        <v>19</v>
      </c>
      <c r="F57" s="2">
        <v>27126</v>
      </c>
      <c r="G57" s="2">
        <v>4.2</v>
      </c>
      <c r="H57" s="2">
        <v>9739</v>
      </c>
      <c r="I57" s="2" t="s">
        <v>227</v>
      </c>
      <c r="J57" s="2" t="s">
        <v>183</v>
      </c>
      <c r="K57" s="2" t="s">
        <v>183</v>
      </c>
      <c r="L57" s="2">
        <v>76</v>
      </c>
      <c r="M57" s="2" t="s">
        <v>14</v>
      </c>
      <c r="N57" s="2" t="s">
        <v>237</v>
      </c>
    </row>
    <row r="58" spans="1:14" x14ac:dyDescent="0.25">
      <c r="A58" s="2">
        <v>9383</v>
      </c>
      <c r="B58" s="2">
        <v>7601</v>
      </c>
      <c r="C58" s="2" t="s">
        <v>226</v>
      </c>
      <c r="D58" s="2">
        <v>756</v>
      </c>
      <c r="E58" s="2" t="s">
        <v>101</v>
      </c>
      <c r="F58" s="2">
        <v>14767</v>
      </c>
      <c r="G58" s="2">
        <v>2.2999999999999998</v>
      </c>
      <c r="H58" s="2">
        <v>5413</v>
      </c>
      <c r="I58" s="2" t="s">
        <v>227</v>
      </c>
      <c r="J58" s="2" t="s">
        <v>183</v>
      </c>
      <c r="K58" s="2" t="s">
        <v>183</v>
      </c>
      <c r="L58" s="2">
        <v>76</v>
      </c>
      <c r="M58" s="2" t="s">
        <v>14</v>
      </c>
      <c r="N58" s="2" t="s">
        <v>237</v>
      </c>
    </row>
    <row r="59" spans="1:14" x14ac:dyDescent="0.25">
      <c r="A59" s="2">
        <v>9384</v>
      </c>
      <c r="B59" s="2">
        <v>7601</v>
      </c>
      <c r="C59" s="2" t="s">
        <v>226</v>
      </c>
      <c r="D59" s="2">
        <v>858</v>
      </c>
      <c r="E59" s="2" t="s">
        <v>111</v>
      </c>
      <c r="F59" s="2">
        <v>13440</v>
      </c>
      <c r="G59" s="2">
        <v>2.1</v>
      </c>
      <c r="H59" s="2">
        <v>4322</v>
      </c>
      <c r="I59" s="2" t="s">
        <v>227</v>
      </c>
      <c r="J59" s="2" t="s">
        <v>183</v>
      </c>
      <c r="K59" s="2" t="s">
        <v>183</v>
      </c>
      <c r="L59" s="2">
        <v>76</v>
      </c>
      <c r="M59" s="2" t="s">
        <v>14</v>
      </c>
      <c r="N59" s="2" t="s">
        <v>237</v>
      </c>
    </row>
    <row r="60" spans="1:14" x14ac:dyDescent="0.25">
      <c r="A60" s="2">
        <v>9385</v>
      </c>
      <c r="B60" s="2">
        <v>7601</v>
      </c>
      <c r="C60" s="2" t="s">
        <v>226</v>
      </c>
      <c r="D60" s="2">
        <v>32</v>
      </c>
      <c r="E60" s="2" t="s">
        <v>2</v>
      </c>
      <c r="F60" s="2">
        <v>11583</v>
      </c>
      <c r="G60" s="2">
        <v>1.8</v>
      </c>
      <c r="H60" s="2">
        <v>4212</v>
      </c>
      <c r="I60" s="2" t="s">
        <v>227</v>
      </c>
      <c r="J60" s="2" t="s">
        <v>183</v>
      </c>
      <c r="K60" s="2" t="s">
        <v>183</v>
      </c>
      <c r="L60" s="2">
        <v>76</v>
      </c>
      <c r="M60" s="2" t="s">
        <v>14</v>
      </c>
      <c r="N60" s="2" t="s">
        <v>237</v>
      </c>
    </row>
    <row r="61" spans="1:14" x14ac:dyDescent="0.25">
      <c r="A61" s="2">
        <v>9386</v>
      </c>
      <c r="B61" s="2">
        <v>7601</v>
      </c>
      <c r="C61" s="2" t="s">
        <v>226</v>
      </c>
      <c r="D61" s="2">
        <v>381</v>
      </c>
      <c r="E61" s="2" t="s">
        <v>50</v>
      </c>
      <c r="F61" s="2">
        <v>5934</v>
      </c>
      <c r="G61" s="2">
        <v>0.9</v>
      </c>
      <c r="H61" s="2">
        <v>1644</v>
      </c>
      <c r="I61" s="2" t="s">
        <v>227</v>
      </c>
      <c r="J61" s="2" t="s">
        <v>183</v>
      </c>
      <c r="K61" s="2" t="s">
        <v>183</v>
      </c>
      <c r="L61" s="2">
        <v>76</v>
      </c>
      <c r="M61" s="2" t="s">
        <v>14</v>
      </c>
      <c r="N61" s="2" t="s">
        <v>237</v>
      </c>
    </row>
    <row r="62" spans="1:14" x14ac:dyDescent="0.25">
      <c r="A62" s="2">
        <v>9387</v>
      </c>
      <c r="B62" s="2">
        <v>7601</v>
      </c>
      <c r="C62" s="2" t="s">
        <v>226</v>
      </c>
      <c r="D62" s="2">
        <v>528</v>
      </c>
      <c r="E62" s="2" t="s">
        <v>75</v>
      </c>
      <c r="F62" s="2">
        <v>5406</v>
      </c>
      <c r="G62" s="2">
        <v>0.8</v>
      </c>
      <c r="H62" s="2">
        <v>1683</v>
      </c>
      <c r="I62" s="2" t="s">
        <v>227</v>
      </c>
      <c r="J62" s="2" t="s">
        <v>183</v>
      </c>
      <c r="K62" s="2" t="s">
        <v>183</v>
      </c>
      <c r="L62" s="2">
        <v>76</v>
      </c>
      <c r="M62" s="2" t="s">
        <v>14</v>
      </c>
      <c r="N62" s="2" t="s">
        <v>237</v>
      </c>
    </row>
    <row r="63" spans="1:14" x14ac:dyDescent="0.25">
      <c r="A63" s="2">
        <v>9388</v>
      </c>
      <c r="B63" s="2">
        <v>7601</v>
      </c>
      <c r="C63" s="2" t="s">
        <v>226</v>
      </c>
      <c r="D63" s="2">
        <v>600</v>
      </c>
      <c r="E63" s="2" t="s">
        <v>83</v>
      </c>
      <c r="F63" s="2">
        <v>5077</v>
      </c>
      <c r="G63" s="2">
        <v>0.8</v>
      </c>
      <c r="H63" s="2">
        <v>1520</v>
      </c>
      <c r="I63" s="2" t="s">
        <v>227</v>
      </c>
      <c r="J63" s="2" t="s">
        <v>183</v>
      </c>
      <c r="K63" s="2" t="s">
        <v>183</v>
      </c>
      <c r="L63" s="2">
        <v>76</v>
      </c>
      <c r="M63" s="2" t="s">
        <v>14</v>
      </c>
      <c r="N63" s="2" t="s">
        <v>237</v>
      </c>
    </row>
    <row r="64" spans="1:14" x14ac:dyDescent="0.25">
      <c r="A64" s="2">
        <v>9389</v>
      </c>
      <c r="B64" s="2">
        <v>7601</v>
      </c>
      <c r="C64" s="2" t="s">
        <v>226</v>
      </c>
      <c r="D64" s="2">
        <v>156</v>
      </c>
      <c r="E64" s="2" t="s">
        <v>18</v>
      </c>
      <c r="F64" s="2">
        <v>4897</v>
      </c>
      <c r="G64" s="2">
        <v>0.8</v>
      </c>
      <c r="H64" s="2">
        <v>2065</v>
      </c>
      <c r="I64" s="2" t="s">
        <v>227</v>
      </c>
      <c r="J64" s="2" t="s">
        <v>183</v>
      </c>
      <c r="K64" s="2" t="s">
        <v>183</v>
      </c>
      <c r="L64" s="2">
        <v>76</v>
      </c>
      <c r="M64" s="2" t="s">
        <v>14</v>
      </c>
      <c r="N64" s="2" t="s">
        <v>237</v>
      </c>
    </row>
    <row r="65" spans="1:14" x14ac:dyDescent="0.25">
      <c r="A65" s="2">
        <v>9390</v>
      </c>
      <c r="B65" s="2">
        <v>7601</v>
      </c>
      <c r="C65" s="2" t="s">
        <v>226</v>
      </c>
      <c r="D65" s="2">
        <v>826</v>
      </c>
      <c r="E65" s="2" t="s">
        <v>110</v>
      </c>
      <c r="F65" s="2">
        <v>3283</v>
      </c>
      <c r="G65" s="2">
        <v>0.5</v>
      </c>
      <c r="H65" s="2">
        <v>1210</v>
      </c>
      <c r="I65" s="2" t="s">
        <v>227</v>
      </c>
      <c r="J65" s="2" t="s">
        <v>183</v>
      </c>
      <c r="K65" s="2" t="s">
        <v>183</v>
      </c>
      <c r="L65" s="2">
        <v>76</v>
      </c>
      <c r="M65" s="2" t="s">
        <v>14</v>
      </c>
      <c r="N65" s="2" t="s">
        <v>237</v>
      </c>
    </row>
    <row r="66" spans="1:14" x14ac:dyDescent="0.25">
      <c r="A66" s="2">
        <v>9391</v>
      </c>
      <c r="B66" s="2">
        <v>7601</v>
      </c>
      <c r="C66" s="2" t="s">
        <v>226</v>
      </c>
      <c r="D66" s="2">
        <v>699</v>
      </c>
      <c r="E66" s="2" t="s">
        <v>45</v>
      </c>
      <c r="F66" s="2">
        <v>2598</v>
      </c>
      <c r="G66" s="2">
        <v>0.4</v>
      </c>
      <c r="H66" s="2">
        <v>475</v>
      </c>
      <c r="I66" s="2" t="s">
        <v>227</v>
      </c>
      <c r="J66" s="2" t="s">
        <v>183</v>
      </c>
      <c r="K66" s="2" t="s">
        <v>183</v>
      </c>
      <c r="L66" s="2">
        <v>76</v>
      </c>
      <c r="M66" s="2" t="s">
        <v>14</v>
      </c>
      <c r="N66" s="2" t="s">
        <v>237</v>
      </c>
    </row>
    <row r="67" spans="1:14" x14ac:dyDescent="0.25">
      <c r="A67" s="2">
        <v>9392</v>
      </c>
      <c r="B67" s="2">
        <v>7601</v>
      </c>
      <c r="C67" s="2" t="s">
        <v>226</v>
      </c>
      <c r="D67" s="2">
        <v>484</v>
      </c>
      <c r="E67" s="2" t="s">
        <v>70</v>
      </c>
      <c r="F67" s="2">
        <v>2509</v>
      </c>
      <c r="G67" s="2">
        <v>0.4</v>
      </c>
      <c r="H67" s="2">
        <v>681</v>
      </c>
      <c r="I67" s="2" t="s">
        <v>227</v>
      </c>
      <c r="J67" s="2" t="s">
        <v>183</v>
      </c>
      <c r="K67" s="2" t="s">
        <v>183</v>
      </c>
      <c r="L67" s="2">
        <v>76</v>
      </c>
      <c r="M67" s="2" t="s">
        <v>14</v>
      </c>
      <c r="N67" s="2" t="s">
        <v>237</v>
      </c>
    </row>
    <row r="68" spans="1:14" x14ac:dyDescent="0.25">
      <c r="A68" s="2">
        <v>9393</v>
      </c>
      <c r="B68" s="2">
        <v>7601</v>
      </c>
      <c r="C68" s="2" t="s">
        <v>226</v>
      </c>
      <c r="D68" s="2">
        <v>124</v>
      </c>
      <c r="E68" s="2" t="s">
        <v>16</v>
      </c>
      <c r="F68" s="2">
        <v>1731</v>
      </c>
      <c r="G68" s="2">
        <v>0.3</v>
      </c>
      <c r="H68" s="2">
        <v>426</v>
      </c>
      <c r="I68" s="2" t="s">
        <v>227</v>
      </c>
      <c r="J68" s="2" t="s">
        <v>183</v>
      </c>
      <c r="K68" s="2" t="s">
        <v>183</v>
      </c>
      <c r="L68" s="2">
        <v>76</v>
      </c>
      <c r="M68" s="2" t="s">
        <v>14</v>
      </c>
      <c r="N68" s="2" t="s">
        <v>237</v>
      </c>
    </row>
    <row r="69" spans="1:14" x14ac:dyDescent="0.25">
      <c r="A69" s="2">
        <v>9394</v>
      </c>
      <c r="B69" s="2">
        <v>7601</v>
      </c>
      <c r="C69" s="2" t="s">
        <v>226</v>
      </c>
      <c r="D69" s="2">
        <v>188</v>
      </c>
      <c r="E69" s="2" t="s">
        <v>20</v>
      </c>
      <c r="F69" s="2">
        <v>1551</v>
      </c>
      <c r="G69" s="2">
        <v>0.2</v>
      </c>
      <c r="H69" s="2">
        <v>402</v>
      </c>
      <c r="I69" s="2" t="s">
        <v>227</v>
      </c>
      <c r="J69" s="2" t="s">
        <v>183</v>
      </c>
      <c r="K69" s="2" t="s">
        <v>183</v>
      </c>
      <c r="L69" s="2">
        <v>76</v>
      </c>
      <c r="M69" s="2" t="s">
        <v>14</v>
      </c>
      <c r="N69" s="2" t="s">
        <v>237</v>
      </c>
    </row>
    <row r="70" spans="1:14" x14ac:dyDescent="0.25">
      <c r="A70" s="2">
        <v>9395</v>
      </c>
      <c r="B70" s="2">
        <v>7601</v>
      </c>
      <c r="C70" s="2" t="s">
        <v>226</v>
      </c>
      <c r="D70" s="2">
        <v>604</v>
      </c>
      <c r="E70" s="2" t="s">
        <v>84</v>
      </c>
      <c r="F70" s="2">
        <v>1220</v>
      </c>
      <c r="G70" s="2">
        <v>0.2</v>
      </c>
      <c r="H70" s="2">
        <v>394</v>
      </c>
      <c r="I70" s="2" t="s">
        <v>227</v>
      </c>
      <c r="J70" s="2" t="s">
        <v>183</v>
      </c>
      <c r="K70" s="2" t="s">
        <v>183</v>
      </c>
      <c r="L70" s="2">
        <v>76</v>
      </c>
      <c r="M70" s="2" t="s">
        <v>14</v>
      </c>
      <c r="N70" s="2" t="s">
        <v>237</v>
      </c>
    </row>
    <row r="71" spans="1:14" x14ac:dyDescent="0.25">
      <c r="A71" s="2">
        <v>9396</v>
      </c>
      <c r="B71" s="2">
        <v>7601</v>
      </c>
      <c r="C71" s="2" t="s">
        <v>226</v>
      </c>
      <c r="D71" s="2">
        <v>458</v>
      </c>
      <c r="E71" s="2" t="s">
        <v>66</v>
      </c>
      <c r="F71" s="2">
        <v>962</v>
      </c>
      <c r="G71" s="2">
        <v>0.1</v>
      </c>
      <c r="H71" s="2">
        <v>402</v>
      </c>
      <c r="I71" s="2" t="s">
        <v>227</v>
      </c>
      <c r="J71" s="2" t="s">
        <v>183</v>
      </c>
      <c r="K71" s="2" t="s">
        <v>183</v>
      </c>
      <c r="L71" s="2">
        <v>76</v>
      </c>
      <c r="M71" s="2" t="s">
        <v>14</v>
      </c>
      <c r="N71" s="2" t="s">
        <v>237</v>
      </c>
    </row>
    <row r="72" spans="1:14" x14ac:dyDescent="0.25">
      <c r="A72" s="2">
        <v>9397</v>
      </c>
      <c r="B72" s="2">
        <v>7601</v>
      </c>
      <c r="C72" s="2" t="s">
        <v>226</v>
      </c>
      <c r="D72" s="2">
        <v>276</v>
      </c>
      <c r="E72" s="2" t="s">
        <v>37</v>
      </c>
      <c r="F72" s="2">
        <v>828</v>
      </c>
      <c r="G72" s="2">
        <v>0.1</v>
      </c>
      <c r="H72" s="2">
        <v>192</v>
      </c>
      <c r="I72" s="2" t="s">
        <v>227</v>
      </c>
      <c r="J72" s="2" t="s">
        <v>183</v>
      </c>
      <c r="K72" s="2" t="s">
        <v>183</v>
      </c>
      <c r="L72" s="2">
        <v>76</v>
      </c>
      <c r="M72" s="2" t="s">
        <v>14</v>
      </c>
      <c r="N72" s="2" t="s">
        <v>237</v>
      </c>
    </row>
    <row r="73" spans="1:14" x14ac:dyDescent="0.25">
      <c r="A73" s="2">
        <v>9398</v>
      </c>
      <c r="B73" s="2">
        <v>7601</v>
      </c>
      <c r="C73" s="2" t="s">
        <v>226</v>
      </c>
      <c r="D73" s="2">
        <v>344</v>
      </c>
      <c r="E73" s="2" t="s">
        <v>42</v>
      </c>
      <c r="F73" s="2">
        <v>744</v>
      </c>
      <c r="G73" s="2">
        <v>0.1</v>
      </c>
      <c r="H73" s="2">
        <v>300</v>
      </c>
      <c r="I73" s="2" t="s">
        <v>227</v>
      </c>
      <c r="J73" s="2" t="s">
        <v>183</v>
      </c>
      <c r="K73" s="2" t="s">
        <v>183</v>
      </c>
      <c r="L73" s="2">
        <v>76</v>
      </c>
      <c r="M73" s="2" t="s">
        <v>14</v>
      </c>
      <c r="N73" s="2" t="s">
        <v>237</v>
      </c>
    </row>
    <row r="74" spans="1:14" x14ac:dyDescent="0.25">
      <c r="A74" s="2">
        <v>9399</v>
      </c>
      <c r="B74" s="2">
        <v>7601</v>
      </c>
      <c r="C74" s="2" t="s">
        <v>226</v>
      </c>
      <c r="D74" s="2">
        <v>36</v>
      </c>
      <c r="E74" s="2" t="s">
        <v>4</v>
      </c>
      <c r="F74" s="2">
        <v>558</v>
      </c>
      <c r="G74" s="2">
        <v>0.1</v>
      </c>
      <c r="H74" s="2">
        <v>76</v>
      </c>
      <c r="I74" s="2" t="s">
        <v>227</v>
      </c>
      <c r="J74" s="2" t="s">
        <v>183</v>
      </c>
      <c r="K74" s="2" t="s">
        <v>183</v>
      </c>
      <c r="L74" s="2">
        <v>76</v>
      </c>
      <c r="M74" s="2" t="s">
        <v>14</v>
      </c>
      <c r="N74" s="2" t="s">
        <v>237</v>
      </c>
    </row>
    <row r="75" spans="1:14" x14ac:dyDescent="0.25">
      <c r="A75" s="2">
        <v>9400</v>
      </c>
      <c r="B75" s="2">
        <v>7601</v>
      </c>
      <c r="C75" s="2" t="s">
        <v>226</v>
      </c>
      <c r="D75" s="2">
        <v>48</v>
      </c>
      <c r="E75" s="2" t="s">
        <v>7</v>
      </c>
      <c r="F75" s="2">
        <v>303</v>
      </c>
      <c r="G75" s="2">
        <v>0</v>
      </c>
      <c r="H75" s="2">
        <v>100</v>
      </c>
      <c r="I75" s="2" t="s">
        <v>227</v>
      </c>
      <c r="J75" s="2" t="s">
        <v>183</v>
      </c>
      <c r="K75" s="2" t="s">
        <v>183</v>
      </c>
      <c r="L75" s="2">
        <v>76</v>
      </c>
      <c r="M75" s="2" t="s">
        <v>14</v>
      </c>
      <c r="N75" s="2" t="s">
        <v>237</v>
      </c>
    </row>
    <row r="76" spans="1:14" x14ac:dyDescent="0.25">
      <c r="A76" s="2">
        <v>9401</v>
      </c>
      <c r="B76" s="2">
        <v>7601</v>
      </c>
      <c r="C76" s="2" t="s">
        <v>226</v>
      </c>
      <c r="D76" s="2">
        <v>642</v>
      </c>
      <c r="E76" s="2" t="s">
        <v>89</v>
      </c>
      <c r="F76" s="2">
        <v>302</v>
      </c>
      <c r="G76" s="2">
        <v>0</v>
      </c>
      <c r="H76" s="2">
        <v>54</v>
      </c>
      <c r="I76" s="2" t="s">
        <v>227</v>
      </c>
      <c r="J76" s="2" t="s">
        <v>183</v>
      </c>
      <c r="K76" s="2" t="s">
        <v>183</v>
      </c>
      <c r="L76" s="2">
        <v>76</v>
      </c>
      <c r="M76" s="2" t="s">
        <v>14</v>
      </c>
      <c r="N76" s="2" t="s">
        <v>237</v>
      </c>
    </row>
    <row r="77" spans="1:14" x14ac:dyDescent="0.25">
      <c r="A77" s="2">
        <v>9402</v>
      </c>
      <c r="B77" s="2">
        <v>7601</v>
      </c>
      <c r="C77" s="2" t="s">
        <v>226</v>
      </c>
      <c r="D77" s="2">
        <v>620</v>
      </c>
      <c r="E77" s="2" t="s">
        <v>87</v>
      </c>
      <c r="F77" s="2">
        <v>286</v>
      </c>
      <c r="G77" s="2">
        <v>0</v>
      </c>
      <c r="H77" s="2">
        <v>75</v>
      </c>
      <c r="I77" s="2" t="s">
        <v>227</v>
      </c>
      <c r="J77" s="2" t="s">
        <v>183</v>
      </c>
      <c r="K77" s="2" t="s">
        <v>183</v>
      </c>
      <c r="L77" s="2">
        <v>76</v>
      </c>
      <c r="M77" s="2" t="s">
        <v>14</v>
      </c>
      <c r="N77" s="2" t="s">
        <v>237</v>
      </c>
    </row>
    <row r="78" spans="1:14" x14ac:dyDescent="0.25">
      <c r="A78" s="2">
        <v>9403</v>
      </c>
      <c r="B78" s="2">
        <v>7601</v>
      </c>
      <c r="C78" s="2" t="s">
        <v>226</v>
      </c>
      <c r="D78" s="2">
        <v>392</v>
      </c>
      <c r="E78" s="2" t="s">
        <v>51</v>
      </c>
      <c r="F78" s="2">
        <v>335386</v>
      </c>
      <c r="G78" s="2">
        <v>25.5</v>
      </c>
      <c r="H78" s="2">
        <v>116746</v>
      </c>
      <c r="I78" s="2" t="s">
        <v>227</v>
      </c>
      <c r="J78" s="2" t="s">
        <v>183</v>
      </c>
      <c r="K78" s="2" t="s">
        <v>183</v>
      </c>
      <c r="L78" s="2">
        <v>156</v>
      </c>
      <c r="M78" s="2" t="s">
        <v>18</v>
      </c>
      <c r="N78" s="2" t="s">
        <v>237</v>
      </c>
    </row>
    <row r="79" spans="1:14" x14ac:dyDescent="0.25">
      <c r="A79" s="2">
        <v>9404</v>
      </c>
      <c r="B79" s="2">
        <v>7601</v>
      </c>
      <c r="C79" s="2" t="s">
        <v>226</v>
      </c>
      <c r="D79" s="2">
        <v>528</v>
      </c>
      <c r="E79" s="2" t="s">
        <v>75</v>
      </c>
      <c r="F79" s="2">
        <v>207816</v>
      </c>
      <c r="G79" s="2">
        <v>15.8</v>
      </c>
      <c r="H79" s="2">
        <v>63892</v>
      </c>
      <c r="I79" s="2" t="s">
        <v>227</v>
      </c>
      <c r="J79" s="2" t="s">
        <v>183</v>
      </c>
      <c r="K79" s="2" t="s">
        <v>183</v>
      </c>
      <c r="L79" s="2">
        <v>156</v>
      </c>
      <c r="M79" s="2" t="s">
        <v>18</v>
      </c>
      <c r="N79" s="2" t="s">
        <v>237</v>
      </c>
    </row>
    <row r="80" spans="1:14" x14ac:dyDescent="0.25">
      <c r="A80" s="2">
        <v>9405</v>
      </c>
      <c r="B80" s="2">
        <v>7601</v>
      </c>
      <c r="C80" s="2" t="s">
        <v>226</v>
      </c>
      <c r="D80" s="2">
        <v>410</v>
      </c>
      <c r="E80" s="2" t="s">
        <v>230</v>
      </c>
      <c r="F80" s="2">
        <v>177615</v>
      </c>
      <c r="G80" s="2">
        <v>13.5</v>
      </c>
      <c r="H80" s="2">
        <v>58009</v>
      </c>
      <c r="I80" s="2" t="s">
        <v>227</v>
      </c>
      <c r="J80" s="2" t="s">
        <v>183</v>
      </c>
      <c r="K80" s="2" t="s">
        <v>183</v>
      </c>
      <c r="L80" s="2">
        <v>156</v>
      </c>
      <c r="M80" s="2" t="s">
        <v>18</v>
      </c>
      <c r="N80" s="2" t="s">
        <v>237</v>
      </c>
    </row>
    <row r="81" spans="1:14" x14ac:dyDescent="0.25">
      <c r="A81" s="2">
        <v>9406</v>
      </c>
      <c r="B81" s="2">
        <v>7601</v>
      </c>
      <c r="C81" s="2" t="s">
        <v>226</v>
      </c>
      <c r="D81" s="2">
        <v>344</v>
      </c>
      <c r="E81" s="2" t="s">
        <v>42</v>
      </c>
      <c r="F81" s="2">
        <v>139322</v>
      </c>
      <c r="G81" s="2">
        <v>10.6</v>
      </c>
      <c r="H81" s="2">
        <v>44691</v>
      </c>
      <c r="I81" s="2" t="s">
        <v>227</v>
      </c>
      <c r="J81" s="2" t="s">
        <v>183</v>
      </c>
      <c r="K81" s="2" t="s">
        <v>183</v>
      </c>
      <c r="L81" s="2">
        <v>156</v>
      </c>
      <c r="M81" s="2" t="s">
        <v>18</v>
      </c>
      <c r="N81" s="2" t="s">
        <v>237</v>
      </c>
    </row>
    <row r="82" spans="1:14" x14ac:dyDescent="0.25">
      <c r="A82" s="2">
        <v>9407</v>
      </c>
      <c r="B82" s="2">
        <v>7601</v>
      </c>
      <c r="C82" s="2" t="s">
        <v>226</v>
      </c>
      <c r="D82" s="2">
        <v>792</v>
      </c>
      <c r="E82" s="2" t="s">
        <v>107</v>
      </c>
      <c r="F82" s="2">
        <v>108313</v>
      </c>
      <c r="G82" s="2">
        <v>8.3000000000000007</v>
      </c>
      <c r="H82" s="2">
        <v>33453</v>
      </c>
      <c r="I82" s="2" t="s">
        <v>227</v>
      </c>
      <c r="J82" s="2" t="s">
        <v>183</v>
      </c>
      <c r="K82" s="2" t="s">
        <v>183</v>
      </c>
      <c r="L82" s="2">
        <v>156</v>
      </c>
      <c r="M82" s="2" t="s">
        <v>18</v>
      </c>
      <c r="N82" s="2" t="s">
        <v>237</v>
      </c>
    </row>
    <row r="83" spans="1:14" x14ac:dyDescent="0.25">
      <c r="A83" s="2">
        <v>9408</v>
      </c>
      <c r="B83" s="2">
        <v>7601</v>
      </c>
      <c r="C83" s="2" t="s">
        <v>226</v>
      </c>
      <c r="D83" s="2">
        <v>842</v>
      </c>
      <c r="E83" s="2" t="s">
        <v>229</v>
      </c>
      <c r="F83" s="2">
        <v>58758</v>
      </c>
      <c r="G83" s="2">
        <v>4.5</v>
      </c>
      <c r="H83" s="2">
        <v>15359</v>
      </c>
      <c r="I83" s="2" t="s">
        <v>227</v>
      </c>
      <c r="J83" s="2" t="s">
        <v>183</v>
      </c>
      <c r="K83" s="2" t="s">
        <v>183</v>
      </c>
      <c r="L83" s="2">
        <v>156</v>
      </c>
      <c r="M83" s="2" t="s">
        <v>18</v>
      </c>
      <c r="N83" s="2" t="s">
        <v>237</v>
      </c>
    </row>
    <row r="84" spans="1:14" x14ac:dyDescent="0.25">
      <c r="A84" s="2">
        <v>9409</v>
      </c>
      <c r="B84" s="2">
        <v>7601</v>
      </c>
      <c r="C84" s="2" t="s">
        <v>226</v>
      </c>
      <c r="D84" s="2">
        <v>499</v>
      </c>
      <c r="E84" s="2" t="s">
        <v>72</v>
      </c>
      <c r="F84" s="2">
        <v>58456</v>
      </c>
      <c r="G84" s="2">
        <v>4.5</v>
      </c>
      <c r="H84" s="2">
        <v>20102</v>
      </c>
      <c r="I84" s="2" t="s">
        <v>227</v>
      </c>
      <c r="J84" s="2" t="s">
        <v>183</v>
      </c>
      <c r="K84" s="2" t="s">
        <v>183</v>
      </c>
      <c r="L84" s="2">
        <v>156</v>
      </c>
      <c r="M84" s="2" t="s">
        <v>18</v>
      </c>
      <c r="N84" s="2" t="s">
        <v>237</v>
      </c>
    </row>
    <row r="85" spans="1:14" x14ac:dyDescent="0.25">
      <c r="A85" s="2">
        <v>9410</v>
      </c>
      <c r="B85" s="2">
        <v>7601</v>
      </c>
      <c r="C85" s="2" t="s">
        <v>226</v>
      </c>
      <c r="D85" s="2">
        <v>158</v>
      </c>
      <c r="E85" s="2" t="s">
        <v>233</v>
      </c>
      <c r="F85" s="2">
        <v>50962</v>
      </c>
      <c r="G85" s="2">
        <v>3.9</v>
      </c>
      <c r="H85" s="2">
        <v>16072</v>
      </c>
      <c r="I85" s="2" t="s">
        <v>227</v>
      </c>
      <c r="J85" s="2" t="s">
        <v>183</v>
      </c>
      <c r="K85" s="2" t="s">
        <v>183</v>
      </c>
      <c r="L85" s="2">
        <v>156</v>
      </c>
      <c r="M85" s="2" t="s">
        <v>18</v>
      </c>
      <c r="N85" s="2" t="s">
        <v>237</v>
      </c>
    </row>
    <row r="86" spans="1:14" x14ac:dyDescent="0.25">
      <c r="A86" s="2">
        <v>9411</v>
      </c>
      <c r="B86" s="2">
        <v>7601</v>
      </c>
      <c r="C86" s="2" t="s">
        <v>226</v>
      </c>
      <c r="D86" s="2">
        <v>704</v>
      </c>
      <c r="E86" s="2" t="s">
        <v>232</v>
      </c>
      <c r="F86" s="2">
        <v>29144</v>
      </c>
      <c r="G86" s="2">
        <v>2.2000000000000002</v>
      </c>
      <c r="H86" s="2">
        <v>9542</v>
      </c>
      <c r="I86" s="2" t="s">
        <v>227</v>
      </c>
      <c r="J86" s="2" t="s">
        <v>183</v>
      </c>
      <c r="K86" s="2" t="s">
        <v>183</v>
      </c>
      <c r="L86" s="2">
        <v>156</v>
      </c>
      <c r="M86" s="2" t="s">
        <v>18</v>
      </c>
      <c r="N86" s="2" t="s">
        <v>237</v>
      </c>
    </row>
    <row r="87" spans="1:14" x14ac:dyDescent="0.25">
      <c r="A87" s="2">
        <v>9412</v>
      </c>
      <c r="B87" s="2">
        <v>7601</v>
      </c>
      <c r="C87" s="2" t="s">
        <v>226</v>
      </c>
      <c r="D87" s="2">
        <v>764</v>
      </c>
      <c r="E87" s="2" t="s">
        <v>103</v>
      </c>
      <c r="F87" s="2">
        <v>25319</v>
      </c>
      <c r="G87" s="2">
        <v>1.9</v>
      </c>
      <c r="H87" s="2">
        <v>8291</v>
      </c>
      <c r="I87" s="2" t="s">
        <v>227</v>
      </c>
      <c r="J87" s="2" t="s">
        <v>183</v>
      </c>
      <c r="K87" s="2" t="s">
        <v>183</v>
      </c>
      <c r="L87" s="2">
        <v>156</v>
      </c>
      <c r="M87" s="2" t="s">
        <v>18</v>
      </c>
      <c r="N87" s="2" t="s">
        <v>237</v>
      </c>
    </row>
    <row r="88" spans="1:14" x14ac:dyDescent="0.25">
      <c r="A88" s="2">
        <v>9413</v>
      </c>
      <c r="B88" s="2">
        <v>7601</v>
      </c>
      <c r="C88" s="2" t="s">
        <v>226</v>
      </c>
      <c r="D88" s="2">
        <v>484</v>
      </c>
      <c r="E88" s="2" t="s">
        <v>70</v>
      </c>
      <c r="F88" s="2">
        <v>21928</v>
      </c>
      <c r="G88" s="2">
        <v>1.7</v>
      </c>
      <c r="H88" s="2">
        <v>5705</v>
      </c>
      <c r="I88" s="2" t="s">
        <v>227</v>
      </c>
      <c r="J88" s="2" t="s">
        <v>183</v>
      </c>
      <c r="K88" s="2" t="s">
        <v>183</v>
      </c>
      <c r="L88" s="2">
        <v>156</v>
      </c>
      <c r="M88" s="2" t="s">
        <v>18</v>
      </c>
      <c r="N88" s="2" t="s">
        <v>237</v>
      </c>
    </row>
    <row r="89" spans="1:14" x14ac:dyDescent="0.25">
      <c r="A89" s="2">
        <v>9414</v>
      </c>
      <c r="B89" s="2">
        <v>7601</v>
      </c>
      <c r="C89" s="2" t="s">
        <v>226</v>
      </c>
      <c r="D89" s="2">
        <v>458</v>
      </c>
      <c r="E89" s="2" t="s">
        <v>66</v>
      </c>
      <c r="F89" s="2">
        <v>14861</v>
      </c>
      <c r="G89" s="2">
        <v>1.1000000000000001</v>
      </c>
      <c r="H89" s="2">
        <v>4570</v>
      </c>
      <c r="I89" s="2" t="s">
        <v>227</v>
      </c>
      <c r="J89" s="2" t="s">
        <v>183</v>
      </c>
      <c r="K89" s="2" t="s">
        <v>183</v>
      </c>
      <c r="L89" s="2">
        <v>156</v>
      </c>
      <c r="M89" s="2" t="s">
        <v>18</v>
      </c>
      <c r="N89" s="2" t="s">
        <v>237</v>
      </c>
    </row>
    <row r="90" spans="1:14" x14ac:dyDescent="0.25">
      <c r="A90" s="2">
        <v>9415</v>
      </c>
      <c r="B90" s="2">
        <v>7601</v>
      </c>
      <c r="C90" s="2" t="s">
        <v>226</v>
      </c>
      <c r="D90" s="2">
        <v>381</v>
      </c>
      <c r="E90" s="2" t="s">
        <v>50</v>
      </c>
      <c r="F90" s="2">
        <v>12942</v>
      </c>
      <c r="G90" s="2">
        <v>1</v>
      </c>
      <c r="H90" s="2">
        <v>5129</v>
      </c>
      <c r="I90" s="2" t="s">
        <v>227</v>
      </c>
      <c r="J90" s="2" t="s">
        <v>183</v>
      </c>
      <c r="K90" s="2" t="s">
        <v>183</v>
      </c>
      <c r="L90" s="2">
        <v>156</v>
      </c>
      <c r="M90" s="2" t="s">
        <v>18</v>
      </c>
      <c r="N90" s="2" t="s">
        <v>237</v>
      </c>
    </row>
    <row r="91" spans="1:14" x14ac:dyDescent="0.25">
      <c r="A91" s="2">
        <v>9416</v>
      </c>
      <c r="B91" s="2">
        <v>7601</v>
      </c>
      <c r="C91" s="2" t="s">
        <v>226</v>
      </c>
      <c r="D91" s="2">
        <v>36</v>
      </c>
      <c r="E91" s="2" t="s">
        <v>4</v>
      </c>
      <c r="F91" s="2">
        <v>10947</v>
      </c>
      <c r="G91" s="2">
        <v>0.8</v>
      </c>
      <c r="H91" s="2">
        <v>3672</v>
      </c>
      <c r="I91" s="2" t="s">
        <v>227</v>
      </c>
      <c r="J91" s="2" t="s">
        <v>183</v>
      </c>
      <c r="K91" s="2" t="s">
        <v>183</v>
      </c>
      <c r="L91" s="2">
        <v>156</v>
      </c>
      <c r="M91" s="2" t="s">
        <v>18</v>
      </c>
      <c r="N91" s="2" t="s">
        <v>237</v>
      </c>
    </row>
    <row r="92" spans="1:14" x14ac:dyDescent="0.25">
      <c r="A92" s="2">
        <v>9417</v>
      </c>
      <c r="B92" s="2">
        <v>7601</v>
      </c>
      <c r="C92" s="2" t="s">
        <v>226</v>
      </c>
      <c r="D92" s="2">
        <v>784</v>
      </c>
      <c r="E92" s="2" t="s">
        <v>109</v>
      </c>
      <c r="F92" s="2">
        <v>10732</v>
      </c>
      <c r="G92" s="2">
        <v>0.8</v>
      </c>
      <c r="H92" s="2">
        <v>2328</v>
      </c>
      <c r="I92" s="2" t="s">
        <v>227</v>
      </c>
      <c r="J92" s="2" t="s">
        <v>183</v>
      </c>
      <c r="K92" s="2" t="s">
        <v>183</v>
      </c>
      <c r="L92" s="2">
        <v>156</v>
      </c>
      <c r="M92" s="2" t="s">
        <v>18</v>
      </c>
      <c r="N92" s="2" t="s">
        <v>237</v>
      </c>
    </row>
    <row r="93" spans="1:14" x14ac:dyDescent="0.25">
      <c r="A93" s="2">
        <v>9418</v>
      </c>
      <c r="B93" s="2">
        <v>7601</v>
      </c>
      <c r="C93" s="2" t="s">
        <v>226</v>
      </c>
      <c r="D93" s="2">
        <v>643</v>
      </c>
      <c r="E93" s="2" t="s">
        <v>209</v>
      </c>
      <c r="F93" s="2">
        <v>6982</v>
      </c>
      <c r="G93" s="2">
        <v>0.5</v>
      </c>
      <c r="H93" s="2">
        <v>1336</v>
      </c>
      <c r="I93" s="2" t="s">
        <v>227</v>
      </c>
      <c r="J93" s="2" t="s">
        <v>183</v>
      </c>
      <c r="K93" s="2" t="s">
        <v>183</v>
      </c>
      <c r="L93" s="2">
        <v>156</v>
      </c>
      <c r="M93" s="2" t="s">
        <v>18</v>
      </c>
      <c r="N93" s="2" t="s">
        <v>237</v>
      </c>
    </row>
    <row r="94" spans="1:14" x14ac:dyDescent="0.25">
      <c r="A94" s="2">
        <v>9419</v>
      </c>
      <c r="B94" s="2">
        <v>7601</v>
      </c>
      <c r="C94" s="2" t="s">
        <v>226</v>
      </c>
      <c r="D94" s="2">
        <v>566</v>
      </c>
      <c r="E94" s="2" t="s">
        <v>78</v>
      </c>
      <c r="F94" s="2">
        <v>5620</v>
      </c>
      <c r="G94" s="2">
        <v>0.4</v>
      </c>
      <c r="H94" s="2">
        <v>2181</v>
      </c>
      <c r="I94" s="2" t="s">
        <v>227</v>
      </c>
      <c r="J94" s="2" t="s">
        <v>183</v>
      </c>
      <c r="K94" s="2" t="s">
        <v>183</v>
      </c>
      <c r="L94" s="2">
        <v>156</v>
      </c>
      <c r="M94" s="2" t="s">
        <v>18</v>
      </c>
      <c r="N94" s="2" t="s">
        <v>237</v>
      </c>
    </row>
    <row r="95" spans="1:14" x14ac:dyDescent="0.25">
      <c r="A95" s="2">
        <v>9420</v>
      </c>
      <c r="B95" s="2">
        <v>7601</v>
      </c>
      <c r="C95" s="2" t="s">
        <v>226</v>
      </c>
      <c r="D95" s="2">
        <v>608</v>
      </c>
      <c r="E95" s="2" t="s">
        <v>85</v>
      </c>
      <c r="F95" s="2">
        <v>5531</v>
      </c>
      <c r="G95" s="2">
        <v>0.4</v>
      </c>
      <c r="H95" s="2">
        <v>1930</v>
      </c>
      <c r="I95" s="2" t="s">
        <v>227</v>
      </c>
      <c r="J95" s="2" t="s">
        <v>183</v>
      </c>
      <c r="K95" s="2" t="s">
        <v>183</v>
      </c>
      <c r="L95" s="2">
        <v>156</v>
      </c>
      <c r="M95" s="2" t="s">
        <v>18</v>
      </c>
      <c r="N95" s="2" t="s">
        <v>237</v>
      </c>
    </row>
    <row r="96" spans="1:14" x14ac:dyDescent="0.25">
      <c r="A96" s="2">
        <v>9421</v>
      </c>
      <c r="B96" s="2">
        <v>7601</v>
      </c>
      <c r="C96" s="2" t="s">
        <v>226</v>
      </c>
      <c r="D96" s="2">
        <v>48</v>
      </c>
      <c r="E96" s="2" t="s">
        <v>7</v>
      </c>
      <c r="F96" s="2">
        <v>4867</v>
      </c>
      <c r="G96" s="2">
        <v>0.4</v>
      </c>
      <c r="H96" s="2">
        <v>984</v>
      </c>
      <c r="I96" s="2" t="s">
        <v>227</v>
      </c>
      <c r="J96" s="2" t="s">
        <v>183</v>
      </c>
      <c r="K96" s="2" t="s">
        <v>183</v>
      </c>
      <c r="L96" s="2">
        <v>156</v>
      </c>
      <c r="M96" s="2" t="s">
        <v>18</v>
      </c>
      <c r="N96" s="2" t="s">
        <v>237</v>
      </c>
    </row>
    <row r="97" spans="1:14" x14ac:dyDescent="0.25">
      <c r="A97" s="2">
        <v>9422</v>
      </c>
      <c r="B97" s="2">
        <v>7601</v>
      </c>
      <c r="C97" s="2" t="s">
        <v>226</v>
      </c>
      <c r="D97" s="2">
        <v>702</v>
      </c>
      <c r="E97" s="2" t="s">
        <v>93</v>
      </c>
      <c r="F97" s="2">
        <v>3832</v>
      </c>
      <c r="G97" s="2">
        <v>0.3</v>
      </c>
      <c r="H97" s="2">
        <v>1406</v>
      </c>
      <c r="I97" s="2" t="s">
        <v>227</v>
      </c>
      <c r="J97" s="2" t="s">
        <v>183</v>
      </c>
      <c r="K97" s="2" t="s">
        <v>183</v>
      </c>
      <c r="L97" s="2">
        <v>156</v>
      </c>
      <c r="M97" s="2" t="s">
        <v>18</v>
      </c>
      <c r="N97" s="2" t="s">
        <v>237</v>
      </c>
    </row>
    <row r="98" spans="1:14" x14ac:dyDescent="0.25">
      <c r="A98" s="2">
        <v>9423</v>
      </c>
      <c r="B98" s="2">
        <v>7601</v>
      </c>
      <c r="C98" s="2" t="s">
        <v>226</v>
      </c>
      <c r="D98" s="2">
        <v>360</v>
      </c>
      <c r="E98" s="2" t="s">
        <v>46</v>
      </c>
      <c r="F98" s="2">
        <v>3327</v>
      </c>
      <c r="G98" s="2">
        <v>0.3</v>
      </c>
      <c r="H98" s="2">
        <v>1051</v>
      </c>
      <c r="I98" s="2" t="s">
        <v>227</v>
      </c>
      <c r="J98" s="2" t="s">
        <v>183</v>
      </c>
      <c r="K98" s="2" t="s">
        <v>183</v>
      </c>
      <c r="L98" s="2">
        <v>156</v>
      </c>
      <c r="M98" s="2" t="s">
        <v>18</v>
      </c>
      <c r="N98" s="2" t="s">
        <v>237</v>
      </c>
    </row>
    <row r="99" spans="1:14" x14ac:dyDescent="0.25">
      <c r="A99" s="2">
        <v>9424</v>
      </c>
      <c r="B99" s="2">
        <v>7601</v>
      </c>
      <c r="C99" s="2" t="s">
        <v>226</v>
      </c>
      <c r="D99" s="2">
        <v>634</v>
      </c>
      <c r="E99" s="2" t="s">
        <v>88</v>
      </c>
      <c r="F99" s="2">
        <v>2386</v>
      </c>
      <c r="G99" s="2">
        <v>0.2</v>
      </c>
      <c r="H99" s="2">
        <v>550</v>
      </c>
      <c r="I99" s="2" t="s">
        <v>227</v>
      </c>
      <c r="J99" s="2" t="s">
        <v>183</v>
      </c>
      <c r="K99" s="2" t="s">
        <v>183</v>
      </c>
      <c r="L99" s="2">
        <v>156</v>
      </c>
      <c r="M99" s="2" t="s">
        <v>18</v>
      </c>
      <c r="N99" s="2" t="s">
        <v>237</v>
      </c>
    </row>
    <row r="100" spans="1:14" x14ac:dyDescent="0.25">
      <c r="A100" s="2">
        <v>9425</v>
      </c>
      <c r="B100" s="2">
        <v>7601</v>
      </c>
      <c r="C100" s="2" t="s">
        <v>226</v>
      </c>
      <c r="D100" s="2">
        <v>834</v>
      </c>
      <c r="E100" s="2" t="s">
        <v>238</v>
      </c>
      <c r="F100" s="2">
        <v>2101</v>
      </c>
      <c r="G100" s="2">
        <v>0.2</v>
      </c>
      <c r="H100" s="2">
        <v>646</v>
      </c>
      <c r="I100" s="2" t="s">
        <v>227</v>
      </c>
      <c r="J100" s="2" t="s">
        <v>183</v>
      </c>
      <c r="K100" s="2" t="s">
        <v>183</v>
      </c>
      <c r="L100" s="2">
        <v>156</v>
      </c>
      <c r="M100" s="2" t="s">
        <v>18</v>
      </c>
      <c r="N100" s="2" t="s">
        <v>237</v>
      </c>
    </row>
    <row r="101" spans="1:14" x14ac:dyDescent="0.25">
      <c r="A101" s="2">
        <v>9426</v>
      </c>
      <c r="B101" s="2">
        <v>7601</v>
      </c>
      <c r="C101" s="2" t="s">
        <v>226</v>
      </c>
      <c r="D101" s="2">
        <v>699</v>
      </c>
      <c r="E101" s="2" t="s">
        <v>45</v>
      </c>
      <c r="F101" s="2">
        <v>1973</v>
      </c>
      <c r="G101" s="2">
        <v>0.2</v>
      </c>
      <c r="H101" s="2">
        <v>407</v>
      </c>
      <c r="I101" s="2" t="s">
        <v>227</v>
      </c>
      <c r="J101" s="2" t="s">
        <v>183</v>
      </c>
      <c r="K101" s="2" t="s">
        <v>183</v>
      </c>
      <c r="L101" s="2">
        <v>156</v>
      </c>
      <c r="M101" s="2" t="s">
        <v>18</v>
      </c>
      <c r="N101" s="2" t="s">
        <v>237</v>
      </c>
    </row>
    <row r="102" spans="1:14" x14ac:dyDescent="0.25">
      <c r="A102" s="2">
        <v>9427</v>
      </c>
      <c r="B102" s="2">
        <v>7601</v>
      </c>
      <c r="C102" s="2" t="s">
        <v>226</v>
      </c>
      <c r="D102" s="2">
        <v>276</v>
      </c>
      <c r="E102" s="2" t="s">
        <v>37</v>
      </c>
      <c r="F102" s="2">
        <v>126966</v>
      </c>
      <c r="G102" s="2">
        <v>39.700000000000003</v>
      </c>
      <c r="H102" s="2">
        <v>44141</v>
      </c>
      <c r="I102" s="2" t="s">
        <v>227</v>
      </c>
      <c r="J102" s="2" t="s">
        <v>183</v>
      </c>
      <c r="K102" s="2" t="s">
        <v>183</v>
      </c>
      <c r="L102" s="2">
        <v>203</v>
      </c>
      <c r="M102" s="2" t="s">
        <v>211</v>
      </c>
      <c r="N102" s="2" t="s">
        <v>237</v>
      </c>
    </row>
    <row r="103" spans="1:14" x14ac:dyDescent="0.25">
      <c r="A103" s="2">
        <v>9428</v>
      </c>
      <c r="B103" s="2">
        <v>7601</v>
      </c>
      <c r="C103" s="2" t="s">
        <v>226</v>
      </c>
      <c r="D103" s="2">
        <v>703</v>
      </c>
      <c r="E103" s="2" t="s">
        <v>95</v>
      </c>
      <c r="F103" s="2">
        <v>67068</v>
      </c>
      <c r="G103" s="2">
        <v>21</v>
      </c>
      <c r="H103" s="2">
        <v>22753</v>
      </c>
      <c r="I103" s="2" t="s">
        <v>227</v>
      </c>
      <c r="J103" s="2" t="s">
        <v>183</v>
      </c>
      <c r="K103" s="2" t="s">
        <v>183</v>
      </c>
      <c r="L103" s="2">
        <v>203</v>
      </c>
      <c r="M103" s="2" t="s">
        <v>211</v>
      </c>
      <c r="N103" s="2" t="s">
        <v>237</v>
      </c>
    </row>
    <row r="104" spans="1:14" x14ac:dyDescent="0.25">
      <c r="A104" s="2">
        <v>9429</v>
      </c>
      <c r="B104" s="2">
        <v>7601</v>
      </c>
      <c r="C104" s="2" t="s">
        <v>226</v>
      </c>
      <c r="D104" s="2">
        <v>40</v>
      </c>
      <c r="E104" s="2" t="s">
        <v>5</v>
      </c>
      <c r="F104" s="2">
        <v>29431</v>
      </c>
      <c r="G104" s="2">
        <v>9.1999999999999993</v>
      </c>
      <c r="H104" s="2">
        <v>11649</v>
      </c>
      <c r="I104" s="2" t="s">
        <v>227</v>
      </c>
      <c r="J104" s="2" t="s">
        <v>183</v>
      </c>
      <c r="K104" s="2" t="s">
        <v>183</v>
      </c>
      <c r="L104" s="2">
        <v>203</v>
      </c>
      <c r="M104" s="2" t="s">
        <v>211</v>
      </c>
      <c r="N104" s="2" t="s">
        <v>237</v>
      </c>
    </row>
    <row r="105" spans="1:14" x14ac:dyDescent="0.25">
      <c r="A105" s="2">
        <v>9430</v>
      </c>
      <c r="B105" s="2">
        <v>7601</v>
      </c>
      <c r="C105" s="2" t="s">
        <v>226</v>
      </c>
      <c r="D105" s="2">
        <v>705</v>
      </c>
      <c r="E105" s="2" t="s">
        <v>96</v>
      </c>
      <c r="F105" s="2">
        <v>23817</v>
      </c>
      <c r="G105" s="2">
        <v>7.4</v>
      </c>
      <c r="H105" s="2">
        <v>8065</v>
      </c>
      <c r="I105" s="2" t="s">
        <v>227</v>
      </c>
      <c r="J105" s="2" t="s">
        <v>183</v>
      </c>
      <c r="K105" s="2" t="s">
        <v>183</v>
      </c>
      <c r="L105" s="2">
        <v>203</v>
      </c>
      <c r="M105" s="2" t="s">
        <v>211</v>
      </c>
      <c r="N105" s="2" t="s">
        <v>237</v>
      </c>
    </row>
    <row r="106" spans="1:14" x14ac:dyDescent="0.25">
      <c r="A106" s="2">
        <v>9431</v>
      </c>
      <c r="B106" s="2">
        <v>7601</v>
      </c>
      <c r="C106" s="2" t="s">
        <v>226</v>
      </c>
      <c r="D106" s="2">
        <v>348</v>
      </c>
      <c r="E106" s="2" t="s">
        <v>43</v>
      </c>
      <c r="F106" s="2">
        <v>19685</v>
      </c>
      <c r="G106" s="2">
        <v>6.2</v>
      </c>
      <c r="H106" s="2">
        <v>6567</v>
      </c>
      <c r="I106" s="2" t="s">
        <v>227</v>
      </c>
      <c r="J106" s="2" t="s">
        <v>183</v>
      </c>
      <c r="K106" s="2" t="s">
        <v>183</v>
      </c>
      <c r="L106" s="2">
        <v>203</v>
      </c>
      <c r="M106" s="2" t="s">
        <v>211</v>
      </c>
      <c r="N106" s="2" t="s">
        <v>237</v>
      </c>
    </row>
    <row r="107" spans="1:14" x14ac:dyDescent="0.25">
      <c r="A107" s="2">
        <v>9432</v>
      </c>
      <c r="B107" s="2">
        <v>7601</v>
      </c>
      <c r="C107" s="2" t="s">
        <v>226</v>
      </c>
      <c r="D107" s="2">
        <v>616</v>
      </c>
      <c r="E107" s="2" t="s">
        <v>86</v>
      </c>
      <c r="F107" s="2">
        <v>15721</v>
      </c>
      <c r="G107" s="2">
        <v>4.9000000000000004</v>
      </c>
      <c r="H107" s="2">
        <v>5299</v>
      </c>
      <c r="I107" s="2" t="s">
        <v>227</v>
      </c>
      <c r="J107" s="2" t="s">
        <v>183</v>
      </c>
      <c r="K107" s="2" t="s">
        <v>183</v>
      </c>
      <c r="L107" s="2">
        <v>203</v>
      </c>
      <c r="M107" s="2" t="s">
        <v>211</v>
      </c>
      <c r="N107" s="2" t="s">
        <v>237</v>
      </c>
    </row>
    <row r="108" spans="1:14" x14ac:dyDescent="0.25">
      <c r="A108" s="2">
        <v>9433</v>
      </c>
      <c r="B108" s="2">
        <v>7601</v>
      </c>
      <c r="C108" s="2" t="s">
        <v>226</v>
      </c>
      <c r="D108" s="2">
        <v>381</v>
      </c>
      <c r="E108" s="2" t="s">
        <v>50</v>
      </c>
      <c r="F108" s="2">
        <v>9872</v>
      </c>
      <c r="G108" s="2">
        <v>3.1</v>
      </c>
      <c r="H108" s="2">
        <v>3622</v>
      </c>
      <c r="I108" s="2" t="s">
        <v>227</v>
      </c>
      <c r="J108" s="2" t="s">
        <v>183</v>
      </c>
      <c r="K108" s="2" t="s">
        <v>183</v>
      </c>
      <c r="L108" s="2">
        <v>203</v>
      </c>
      <c r="M108" s="2" t="s">
        <v>211</v>
      </c>
      <c r="N108" s="2" t="s">
        <v>237</v>
      </c>
    </row>
    <row r="109" spans="1:14" x14ac:dyDescent="0.25">
      <c r="A109" s="2">
        <v>9337</v>
      </c>
      <c r="B109" s="2">
        <v>7601</v>
      </c>
      <c r="C109" s="2" t="s">
        <v>226</v>
      </c>
      <c r="D109" s="2">
        <v>251</v>
      </c>
      <c r="E109" s="2" t="s">
        <v>33</v>
      </c>
      <c r="F109" s="2">
        <v>13207</v>
      </c>
      <c r="G109" s="2">
        <v>2.2000000000000002</v>
      </c>
      <c r="H109" s="2">
        <v>4632</v>
      </c>
      <c r="I109" s="2" t="s">
        <v>227</v>
      </c>
      <c r="J109" s="2" t="s">
        <v>183</v>
      </c>
      <c r="K109" s="2" t="s">
        <v>183</v>
      </c>
      <c r="L109" s="2">
        <v>40</v>
      </c>
      <c r="M109" s="2" t="s">
        <v>5</v>
      </c>
      <c r="N109" s="2" t="s">
        <v>237</v>
      </c>
    </row>
    <row r="110" spans="1:14" x14ac:dyDescent="0.25">
      <c r="A110" s="2">
        <v>9435</v>
      </c>
      <c r="B110" s="2">
        <v>7601</v>
      </c>
      <c r="C110" s="2" t="s">
        <v>226</v>
      </c>
      <c r="D110" s="2">
        <v>191</v>
      </c>
      <c r="E110" s="2" t="s">
        <v>21</v>
      </c>
      <c r="F110" s="2">
        <v>6288</v>
      </c>
      <c r="G110" s="2">
        <v>2</v>
      </c>
      <c r="H110" s="2">
        <v>2357</v>
      </c>
      <c r="I110" s="2" t="s">
        <v>227</v>
      </c>
      <c r="J110" s="2" t="s">
        <v>183</v>
      </c>
      <c r="K110" s="2" t="s">
        <v>183</v>
      </c>
      <c r="L110" s="2">
        <v>203</v>
      </c>
      <c r="M110" s="2" t="s">
        <v>211</v>
      </c>
      <c r="N110" s="2" t="s">
        <v>237</v>
      </c>
    </row>
    <row r="111" spans="1:14" x14ac:dyDescent="0.25">
      <c r="A111" s="2">
        <v>9436</v>
      </c>
      <c r="B111" s="2">
        <v>7601</v>
      </c>
      <c r="C111" s="2" t="s">
        <v>226</v>
      </c>
      <c r="D111" s="2">
        <v>100</v>
      </c>
      <c r="E111" s="2" t="s">
        <v>15</v>
      </c>
      <c r="F111" s="2">
        <v>3899</v>
      </c>
      <c r="G111" s="2">
        <v>1.2</v>
      </c>
      <c r="H111" s="2">
        <v>1215</v>
      </c>
      <c r="I111" s="2" t="s">
        <v>227</v>
      </c>
      <c r="J111" s="2" t="s">
        <v>183</v>
      </c>
      <c r="K111" s="2" t="s">
        <v>183</v>
      </c>
      <c r="L111" s="2">
        <v>203</v>
      </c>
      <c r="M111" s="2" t="s">
        <v>211</v>
      </c>
      <c r="N111" s="2" t="s">
        <v>237</v>
      </c>
    </row>
    <row r="112" spans="1:14" x14ac:dyDescent="0.25">
      <c r="A112" s="2">
        <v>9437</v>
      </c>
      <c r="B112" s="2">
        <v>7601</v>
      </c>
      <c r="C112" s="2" t="s">
        <v>226</v>
      </c>
      <c r="D112" s="2">
        <v>807</v>
      </c>
      <c r="E112" s="2" t="s">
        <v>239</v>
      </c>
      <c r="F112" s="2">
        <v>2976</v>
      </c>
      <c r="G112" s="2">
        <v>0.9</v>
      </c>
      <c r="H112" s="2">
        <v>1083</v>
      </c>
      <c r="I112" s="2" t="s">
        <v>227</v>
      </c>
      <c r="J112" s="2" t="s">
        <v>183</v>
      </c>
      <c r="K112" s="2" t="s">
        <v>183</v>
      </c>
      <c r="L112" s="2">
        <v>203</v>
      </c>
      <c r="M112" s="2" t="s">
        <v>211</v>
      </c>
      <c r="N112" s="2" t="s">
        <v>237</v>
      </c>
    </row>
    <row r="113" spans="1:14" x14ac:dyDescent="0.25">
      <c r="A113" s="2">
        <v>9438</v>
      </c>
      <c r="B113" s="2">
        <v>7601</v>
      </c>
      <c r="C113" s="2" t="s">
        <v>226</v>
      </c>
      <c r="D113" s="2">
        <v>642</v>
      </c>
      <c r="E113" s="2" t="s">
        <v>89</v>
      </c>
      <c r="F113" s="2">
        <v>1674</v>
      </c>
      <c r="G113" s="2">
        <v>0.5</v>
      </c>
      <c r="H113" s="2">
        <v>569</v>
      </c>
      <c r="I113" s="2" t="s">
        <v>227</v>
      </c>
      <c r="J113" s="2" t="s">
        <v>183</v>
      </c>
      <c r="K113" s="2" t="s">
        <v>183</v>
      </c>
      <c r="L113" s="2">
        <v>203</v>
      </c>
      <c r="M113" s="2" t="s">
        <v>211</v>
      </c>
      <c r="N113" s="2" t="s">
        <v>237</v>
      </c>
    </row>
    <row r="114" spans="1:14" x14ac:dyDescent="0.25">
      <c r="A114" s="2">
        <v>9439</v>
      </c>
      <c r="B114" s="2">
        <v>7601</v>
      </c>
      <c r="C114" s="2" t="s">
        <v>226</v>
      </c>
      <c r="D114" s="2">
        <v>752</v>
      </c>
      <c r="E114" s="2" t="s">
        <v>100</v>
      </c>
      <c r="F114" s="2">
        <v>959</v>
      </c>
      <c r="G114" s="2">
        <v>0.3</v>
      </c>
      <c r="H114" s="2">
        <v>305</v>
      </c>
      <c r="I114" s="2" t="s">
        <v>227</v>
      </c>
      <c r="J114" s="2" t="s">
        <v>183</v>
      </c>
      <c r="K114" s="2" t="s">
        <v>183</v>
      </c>
      <c r="L114" s="2">
        <v>203</v>
      </c>
      <c r="M114" s="2" t="s">
        <v>211</v>
      </c>
      <c r="N114" s="2" t="s">
        <v>237</v>
      </c>
    </row>
    <row r="115" spans="1:14" x14ac:dyDescent="0.25">
      <c r="A115" s="2">
        <v>9440</v>
      </c>
      <c r="B115" s="2">
        <v>7601</v>
      </c>
      <c r="C115" s="2" t="s">
        <v>226</v>
      </c>
      <c r="D115" s="2">
        <v>528</v>
      </c>
      <c r="E115" s="2" t="s">
        <v>75</v>
      </c>
      <c r="F115" s="2">
        <v>760</v>
      </c>
      <c r="G115" s="2">
        <v>0.2</v>
      </c>
      <c r="H115" s="2">
        <v>219</v>
      </c>
      <c r="I115" s="2" t="s">
        <v>227</v>
      </c>
      <c r="J115" s="2" t="s">
        <v>183</v>
      </c>
      <c r="K115" s="2" t="s">
        <v>183</v>
      </c>
      <c r="L115" s="2">
        <v>203</v>
      </c>
      <c r="M115" s="2" t="s">
        <v>211</v>
      </c>
      <c r="N115" s="2" t="s">
        <v>237</v>
      </c>
    </row>
    <row r="116" spans="1:14" x14ac:dyDescent="0.25">
      <c r="A116" s="2">
        <v>9441</v>
      </c>
      <c r="B116" s="2">
        <v>7601</v>
      </c>
      <c r="C116" s="2" t="s">
        <v>226</v>
      </c>
      <c r="D116" s="2">
        <v>792</v>
      </c>
      <c r="E116" s="2" t="s">
        <v>107</v>
      </c>
      <c r="F116" s="2">
        <v>435</v>
      </c>
      <c r="G116" s="2">
        <v>0.1</v>
      </c>
      <c r="H116" s="2">
        <v>166</v>
      </c>
      <c r="I116" s="2" t="s">
        <v>227</v>
      </c>
      <c r="J116" s="2" t="s">
        <v>183</v>
      </c>
      <c r="K116" s="2" t="s">
        <v>183</v>
      </c>
      <c r="L116" s="2">
        <v>203</v>
      </c>
      <c r="M116" s="2" t="s">
        <v>211</v>
      </c>
      <c r="N116" s="2" t="s">
        <v>237</v>
      </c>
    </row>
    <row r="117" spans="1:14" x14ac:dyDescent="0.25">
      <c r="A117" s="2">
        <v>9442</v>
      </c>
      <c r="B117" s="2">
        <v>7601</v>
      </c>
      <c r="C117" s="2" t="s">
        <v>226</v>
      </c>
      <c r="D117" s="2">
        <v>724</v>
      </c>
      <c r="E117" s="2" t="s">
        <v>98</v>
      </c>
      <c r="F117" s="2">
        <v>379</v>
      </c>
      <c r="G117" s="2">
        <v>0.1</v>
      </c>
      <c r="H117" s="2">
        <v>123</v>
      </c>
      <c r="I117" s="2" t="s">
        <v>227</v>
      </c>
      <c r="J117" s="2" t="s">
        <v>183</v>
      </c>
      <c r="K117" s="2" t="s">
        <v>183</v>
      </c>
      <c r="L117" s="2">
        <v>203</v>
      </c>
      <c r="M117" s="2" t="s">
        <v>211</v>
      </c>
      <c r="N117" s="2" t="s">
        <v>237</v>
      </c>
    </row>
    <row r="118" spans="1:14" x14ac:dyDescent="0.25">
      <c r="A118" s="2">
        <v>9443</v>
      </c>
      <c r="B118" s="2">
        <v>7601</v>
      </c>
      <c r="C118" s="2" t="s">
        <v>226</v>
      </c>
      <c r="D118" s="2">
        <v>70</v>
      </c>
      <c r="E118" s="2" t="s">
        <v>236</v>
      </c>
      <c r="F118" s="2">
        <v>233</v>
      </c>
      <c r="G118" s="2">
        <v>0.1</v>
      </c>
      <c r="H118" s="2">
        <v>71</v>
      </c>
      <c r="I118" s="2" t="s">
        <v>227</v>
      </c>
      <c r="J118" s="2" t="s">
        <v>183</v>
      </c>
      <c r="K118" s="2" t="s">
        <v>183</v>
      </c>
      <c r="L118" s="2">
        <v>203</v>
      </c>
      <c r="M118" s="2" t="s">
        <v>211</v>
      </c>
      <c r="N118" s="2" t="s">
        <v>237</v>
      </c>
    </row>
    <row r="119" spans="1:14" x14ac:dyDescent="0.25">
      <c r="A119" s="2">
        <v>9444</v>
      </c>
      <c r="B119" s="2">
        <v>7601</v>
      </c>
      <c r="C119" s="2" t="s">
        <v>226</v>
      </c>
      <c r="D119" s="2">
        <v>756</v>
      </c>
      <c r="E119" s="2" t="s">
        <v>101</v>
      </c>
      <c r="F119" s="2">
        <v>173</v>
      </c>
      <c r="G119" s="2">
        <v>0.1</v>
      </c>
      <c r="H119" s="2">
        <v>56</v>
      </c>
      <c r="I119" s="2" t="s">
        <v>227</v>
      </c>
      <c r="J119" s="2" t="s">
        <v>183</v>
      </c>
      <c r="K119" s="2" t="s">
        <v>183</v>
      </c>
      <c r="L119" s="2">
        <v>203</v>
      </c>
      <c r="M119" s="2" t="s">
        <v>211</v>
      </c>
      <c r="N119" s="2" t="s">
        <v>237</v>
      </c>
    </row>
    <row r="120" spans="1:14" x14ac:dyDescent="0.25">
      <c r="A120" s="2">
        <v>9445</v>
      </c>
      <c r="B120" s="2">
        <v>7601</v>
      </c>
      <c r="C120" s="2" t="s">
        <v>226</v>
      </c>
      <c r="D120" s="2">
        <v>300</v>
      </c>
      <c r="E120" s="2" t="s">
        <v>39</v>
      </c>
      <c r="F120" s="2">
        <v>139</v>
      </c>
      <c r="G120" s="2">
        <v>0</v>
      </c>
      <c r="H120" s="2">
        <v>42</v>
      </c>
      <c r="I120" s="2" t="s">
        <v>227</v>
      </c>
      <c r="J120" s="2" t="s">
        <v>183</v>
      </c>
      <c r="K120" s="2" t="s">
        <v>183</v>
      </c>
      <c r="L120" s="2">
        <v>203</v>
      </c>
      <c r="M120" s="2" t="s">
        <v>211</v>
      </c>
      <c r="N120" s="2" t="s">
        <v>237</v>
      </c>
    </row>
    <row r="121" spans="1:14" x14ac:dyDescent="0.25">
      <c r="A121" s="2">
        <v>9446</v>
      </c>
      <c r="B121" s="2">
        <v>7601</v>
      </c>
      <c r="C121" s="2" t="s">
        <v>226</v>
      </c>
      <c r="D121" s="2">
        <v>56</v>
      </c>
      <c r="E121" s="2" t="s">
        <v>11</v>
      </c>
      <c r="F121" s="2">
        <v>71</v>
      </c>
      <c r="G121" s="2">
        <v>0</v>
      </c>
      <c r="H121" s="2">
        <v>26</v>
      </c>
      <c r="I121" s="2" t="s">
        <v>227</v>
      </c>
      <c r="J121" s="2" t="s">
        <v>183</v>
      </c>
      <c r="K121" s="2" t="s">
        <v>183</v>
      </c>
      <c r="L121" s="2">
        <v>203</v>
      </c>
      <c r="M121" s="2" t="s">
        <v>211</v>
      </c>
      <c r="N121" s="2" t="s">
        <v>237</v>
      </c>
    </row>
    <row r="122" spans="1:14" x14ac:dyDescent="0.25">
      <c r="A122" s="2">
        <v>9447</v>
      </c>
      <c r="B122" s="2">
        <v>7601</v>
      </c>
      <c r="C122" s="2" t="s">
        <v>226</v>
      </c>
      <c r="D122" s="2">
        <v>842</v>
      </c>
      <c r="E122" s="2" t="s">
        <v>229</v>
      </c>
      <c r="F122" s="2">
        <v>53</v>
      </c>
      <c r="G122" s="2">
        <v>0</v>
      </c>
      <c r="H122" s="2">
        <v>2</v>
      </c>
      <c r="I122" s="2" t="s">
        <v>227</v>
      </c>
      <c r="J122" s="2" t="s">
        <v>183</v>
      </c>
      <c r="K122" s="2" t="s">
        <v>183</v>
      </c>
      <c r="L122" s="2">
        <v>203</v>
      </c>
      <c r="M122" s="2" t="s">
        <v>211</v>
      </c>
      <c r="N122" s="2" t="s">
        <v>237</v>
      </c>
    </row>
    <row r="123" spans="1:14" x14ac:dyDescent="0.25">
      <c r="A123" s="2">
        <v>9448</v>
      </c>
      <c r="B123" s="2">
        <v>7601</v>
      </c>
      <c r="C123" s="2" t="s">
        <v>226</v>
      </c>
      <c r="D123" s="2">
        <v>826</v>
      </c>
      <c r="E123" s="2" t="s">
        <v>110</v>
      </c>
      <c r="F123" s="2">
        <v>34</v>
      </c>
      <c r="G123" s="2">
        <v>0</v>
      </c>
      <c r="H123" s="2">
        <v>8</v>
      </c>
      <c r="I123" s="2" t="s">
        <v>227</v>
      </c>
      <c r="J123" s="2" t="s">
        <v>183</v>
      </c>
      <c r="K123" s="2" t="s">
        <v>183</v>
      </c>
      <c r="L123" s="2">
        <v>203</v>
      </c>
      <c r="M123" s="2" t="s">
        <v>211</v>
      </c>
      <c r="N123" s="2" t="s">
        <v>237</v>
      </c>
    </row>
    <row r="124" spans="1:14" x14ac:dyDescent="0.25">
      <c r="A124" s="2">
        <v>9449</v>
      </c>
      <c r="B124" s="2">
        <v>7601</v>
      </c>
      <c r="C124" s="2" t="s">
        <v>226</v>
      </c>
      <c r="D124" s="2">
        <v>752</v>
      </c>
      <c r="E124" s="2" t="s">
        <v>100</v>
      </c>
      <c r="F124" s="2">
        <v>24240</v>
      </c>
      <c r="G124" s="2">
        <v>39.6</v>
      </c>
      <c r="H124" s="2">
        <v>9453</v>
      </c>
      <c r="I124" s="2" t="s">
        <v>227</v>
      </c>
      <c r="J124" s="2" t="s">
        <v>183</v>
      </c>
      <c r="K124" s="2" t="s">
        <v>183</v>
      </c>
      <c r="L124" s="2">
        <v>246</v>
      </c>
      <c r="M124" s="2" t="s">
        <v>32</v>
      </c>
      <c r="N124" s="2" t="s">
        <v>237</v>
      </c>
    </row>
    <row r="125" spans="1:14" x14ac:dyDescent="0.25">
      <c r="A125" s="2">
        <v>9450</v>
      </c>
      <c r="B125" s="2">
        <v>7601</v>
      </c>
      <c r="C125" s="2" t="s">
        <v>226</v>
      </c>
      <c r="D125" s="2">
        <v>276</v>
      </c>
      <c r="E125" s="2" t="s">
        <v>37</v>
      </c>
      <c r="F125" s="2">
        <v>12123</v>
      </c>
      <c r="G125" s="2">
        <v>19.8</v>
      </c>
      <c r="H125" s="2">
        <v>4786</v>
      </c>
      <c r="I125" s="2" t="s">
        <v>227</v>
      </c>
      <c r="J125" s="2" t="s">
        <v>183</v>
      </c>
      <c r="K125" s="2" t="s">
        <v>183</v>
      </c>
      <c r="L125" s="2">
        <v>246</v>
      </c>
      <c r="M125" s="2" t="s">
        <v>32</v>
      </c>
      <c r="N125" s="2" t="s">
        <v>237</v>
      </c>
    </row>
    <row r="126" spans="1:14" x14ac:dyDescent="0.25">
      <c r="A126" s="2">
        <v>9451</v>
      </c>
      <c r="B126" s="2">
        <v>7601</v>
      </c>
      <c r="C126" s="2" t="s">
        <v>226</v>
      </c>
      <c r="D126" s="2">
        <v>616</v>
      </c>
      <c r="E126" s="2" t="s">
        <v>86</v>
      </c>
      <c r="F126" s="2">
        <v>9560</v>
      </c>
      <c r="G126" s="2">
        <v>15.6</v>
      </c>
      <c r="H126" s="2">
        <v>3382</v>
      </c>
      <c r="I126" s="2" t="s">
        <v>227</v>
      </c>
      <c r="J126" s="2" t="s">
        <v>183</v>
      </c>
      <c r="K126" s="2" t="s">
        <v>183</v>
      </c>
      <c r="L126" s="2">
        <v>246</v>
      </c>
      <c r="M126" s="2" t="s">
        <v>32</v>
      </c>
      <c r="N126" s="2" t="s">
        <v>237</v>
      </c>
    </row>
    <row r="127" spans="1:14" x14ac:dyDescent="0.25">
      <c r="A127" s="2">
        <v>9452</v>
      </c>
      <c r="B127" s="2">
        <v>7601</v>
      </c>
      <c r="C127" s="2" t="s">
        <v>226</v>
      </c>
      <c r="D127" s="2">
        <v>40</v>
      </c>
      <c r="E127" s="2" t="s">
        <v>5</v>
      </c>
      <c r="F127" s="2">
        <v>3959</v>
      </c>
      <c r="G127" s="2">
        <v>6.5</v>
      </c>
      <c r="H127" s="2">
        <v>1620</v>
      </c>
      <c r="I127" s="2" t="s">
        <v>227</v>
      </c>
      <c r="J127" s="2" t="s">
        <v>183</v>
      </c>
      <c r="K127" s="2" t="s">
        <v>183</v>
      </c>
      <c r="L127" s="2">
        <v>246</v>
      </c>
      <c r="M127" s="2" t="s">
        <v>32</v>
      </c>
      <c r="N127" s="2" t="s">
        <v>237</v>
      </c>
    </row>
    <row r="128" spans="1:14" x14ac:dyDescent="0.25">
      <c r="A128" s="2">
        <v>9453</v>
      </c>
      <c r="B128" s="2">
        <v>7601</v>
      </c>
      <c r="C128" s="2" t="s">
        <v>226</v>
      </c>
      <c r="D128" s="2">
        <v>528</v>
      </c>
      <c r="E128" s="2" t="s">
        <v>75</v>
      </c>
      <c r="F128" s="2">
        <v>3727</v>
      </c>
      <c r="G128" s="2">
        <v>6.1</v>
      </c>
      <c r="H128" s="2">
        <v>1052</v>
      </c>
      <c r="I128" s="2" t="s">
        <v>227</v>
      </c>
      <c r="J128" s="2" t="s">
        <v>183</v>
      </c>
      <c r="K128" s="2" t="s">
        <v>183</v>
      </c>
      <c r="L128" s="2">
        <v>246</v>
      </c>
      <c r="M128" s="2" t="s">
        <v>32</v>
      </c>
      <c r="N128" s="2" t="s">
        <v>237</v>
      </c>
    </row>
    <row r="129" spans="1:14" x14ac:dyDescent="0.25">
      <c r="A129" s="2">
        <v>9454</v>
      </c>
      <c r="B129" s="2">
        <v>7601</v>
      </c>
      <c r="C129" s="2" t="s">
        <v>226</v>
      </c>
      <c r="D129" s="2">
        <v>203</v>
      </c>
      <c r="E129" s="2" t="s">
        <v>211</v>
      </c>
      <c r="F129" s="2">
        <v>2552</v>
      </c>
      <c r="G129" s="2">
        <v>4.2</v>
      </c>
      <c r="H129" s="2">
        <v>985</v>
      </c>
      <c r="I129" s="2" t="s">
        <v>227</v>
      </c>
      <c r="J129" s="2" t="s">
        <v>183</v>
      </c>
      <c r="K129" s="2" t="s">
        <v>183</v>
      </c>
      <c r="L129" s="2">
        <v>246</v>
      </c>
      <c r="M129" s="2" t="s">
        <v>32</v>
      </c>
      <c r="N129" s="2" t="s">
        <v>237</v>
      </c>
    </row>
    <row r="130" spans="1:14" x14ac:dyDescent="0.25">
      <c r="A130" s="2">
        <v>9455</v>
      </c>
      <c r="B130" s="2">
        <v>7601</v>
      </c>
      <c r="C130" s="2" t="s">
        <v>226</v>
      </c>
      <c r="D130" s="2">
        <v>156</v>
      </c>
      <c r="E130" s="2" t="s">
        <v>18</v>
      </c>
      <c r="F130" s="2">
        <v>1899</v>
      </c>
      <c r="G130" s="2">
        <v>3.1</v>
      </c>
      <c r="H130" s="2">
        <v>802</v>
      </c>
      <c r="I130" s="2" t="s">
        <v>227</v>
      </c>
      <c r="J130" s="2" t="s">
        <v>183</v>
      </c>
      <c r="K130" s="2" t="s">
        <v>183</v>
      </c>
      <c r="L130" s="2">
        <v>246</v>
      </c>
      <c r="M130" s="2" t="s">
        <v>32</v>
      </c>
      <c r="N130" s="2" t="s">
        <v>237</v>
      </c>
    </row>
    <row r="131" spans="1:14" x14ac:dyDescent="0.25">
      <c r="A131" s="2">
        <v>9805</v>
      </c>
      <c r="B131" s="2">
        <v>7601</v>
      </c>
      <c r="C131" s="2" t="s">
        <v>226</v>
      </c>
      <c r="D131" s="2">
        <v>251</v>
      </c>
      <c r="E131" s="2" t="s">
        <v>33</v>
      </c>
      <c r="F131" s="2">
        <v>13315</v>
      </c>
      <c r="G131" s="2">
        <v>1.5</v>
      </c>
      <c r="H131" s="2">
        <v>4554</v>
      </c>
      <c r="I131" s="2" t="s">
        <v>227</v>
      </c>
      <c r="J131" s="2" t="s">
        <v>183</v>
      </c>
      <c r="K131" s="2" t="s">
        <v>183</v>
      </c>
      <c r="L131" s="2">
        <v>826</v>
      </c>
      <c r="M131" s="2" t="s">
        <v>110</v>
      </c>
      <c r="N131" s="2" t="s">
        <v>237</v>
      </c>
    </row>
    <row r="132" spans="1:14" x14ac:dyDescent="0.25">
      <c r="A132" s="2">
        <v>9457</v>
      </c>
      <c r="B132" s="2">
        <v>7601</v>
      </c>
      <c r="C132" s="2" t="s">
        <v>226</v>
      </c>
      <c r="D132" s="2">
        <v>392</v>
      </c>
      <c r="E132" s="2" t="s">
        <v>51</v>
      </c>
      <c r="F132" s="2">
        <v>499</v>
      </c>
      <c r="G132" s="2">
        <v>0.8</v>
      </c>
      <c r="H132" s="2">
        <v>212</v>
      </c>
      <c r="I132" s="2" t="s">
        <v>227</v>
      </c>
      <c r="J132" s="2" t="s">
        <v>183</v>
      </c>
      <c r="K132" s="2" t="s">
        <v>183</v>
      </c>
      <c r="L132" s="2">
        <v>246</v>
      </c>
      <c r="M132" s="2" t="s">
        <v>32</v>
      </c>
      <c r="N132" s="2" t="s">
        <v>237</v>
      </c>
    </row>
    <row r="133" spans="1:14" x14ac:dyDescent="0.25">
      <c r="A133" s="2">
        <v>9458</v>
      </c>
      <c r="B133" s="2">
        <v>7601</v>
      </c>
      <c r="C133" s="2" t="s">
        <v>226</v>
      </c>
      <c r="D133" s="2">
        <v>620</v>
      </c>
      <c r="E133" s="2" t="s">
        <v>87</v>
      </c>
      <c r="F133" s="2">
        <v>391</v>
      </c>
      <c r="G133" s="2">
        <v>0.6</v>
      </c>
      <c r="H133" s="2">
        <v>143</v>
      </c>
      <c r="I133" s="2" t="s">
        <v>227</v>
      </c>
      <c r="J133" s="2" t="s">
        <v>183</v>
      </c>
      <c r="K133" s="2" t="s">
        <v>183</v>
      </c>
      <c r="L133" s="2">
        <v>246</v>
      </c>
      <c r="M133" s="2" t="s">
        <v>32</v>
      </c>
      <c r="N133" s="2" t="s">
        <v>237</v>
      </c>
    </row>
    <row r="134" spans="1:14" x14ac:dyDescent="0.25">
      <c r="A134" s="2">
        <v>9459</v>
      </c>
      <c r="B134" s="2">
        <v>7601</v>
      </c>
      <c r="C134" s="2" t="s">
        <v>226</v>
      </c>
      <c r="D134" s="2">
        <v>703</v>
      </c>
      <c r="E134" s="2" t="s">
        <v>95</v>
      </c>
      <c r="F134" s="2">
        <v>278</v>
      </c>
      <c r="G134" s="2">
        <v>0.5</v>
      </c>
      <c r="H134" s="2">
        <v>118</v>
      </c>
      <c r="I134" s="2" t="s">
        <v>227</v>
      </c>
      <c r="J134" s="2" t="s">
        <v>183</v>
      </c>
      <c r="K134" s="2" t="s">
        <v>183</v>
      </c>
      <c r="L134" s="2">
        <v>246</v>
      </c>
      <c r="M134" s="2" t="s">
        <v>32</v>
      </c>
      <c r="N134" s="2" t="s">
        <v>237</v>
      </c>
    </row>
    <row r="135" spans="1:14" x14ac:dyDescent="0.25">
      <c r="A135" s="2">
        <v>9460</v>
      </c>
      <c r="B135" s="2">
        <v>7601</v>
      </c>
      <c r="C135" s="2" t="s">
        <v>226</v>
      </c>
      <c r="D135" s="2">
        <v>124</v>
      </c>
      <c r="E135" s="2" t="s">
        <v>16</v>
      </c>
      <c r="F135" s="2">
        <v>218</v>
      </c>
      <c r="G135" s="2">
        <v>0.4</v>
      </c>
      <c r="H135" s="2">
        <v>83</v>
      </c>
      <c r="I135" s="2" t="s">
        <v>227</v>
      </c>
      <c r="J135" s="2" t="s">
        <v>183</v>
      </c>
      <c r="K135" s="2" t="s">
        <v>183</v>
      </c>
      <c r="L135" s="2">
        <v>246</v>
      </c>
      <c r="M135" s="2" t="s">
        <v>32</v>
      </c>
      <c r="N135" s="2" t="s">
        <v>237</v>
      </c>
    </row>
    <row r="136" spans="1:14" x14ac:dyDescent="0.25">
      <c r="A136" s="2">
        <v>9461</v>
      </c>
      <c r="B136" s="2">
        <v>7601</v>
      </c>
      <c r="C136" s="2" t="s">
        <v>226</v>
      </c>
      <c r="D136" s="2">
        <v>233</v>
      </c>
      <c r="E136" s="2" t="s">
        <v>30</v>
      </c>
      <c r="F136" s="2">
        <v>66</v>
      </c>
      <c r="G136" s="2">
        <v>0.1</v>
      </c>
      <c r="H136" s="2">
        <v>16</v>
      </c>
      <c r="I136" s="2" t="s">
        <v>227</v>
      </c>
      <c r="J136" s="2" t="s">
        <v>183</v>
      </c>
      <c r="K136" s="2" t="s">
        <v>183</v>
      </c>
      <c r="L136" s="2">
        <v>246</v>
      </c>
      <c r="M136" s="2" t="s">
        <v>32</v>
      </c>
      <c r="N136" s="2" t="s">
        <v>237</v>
      </c>
    </row>
    <row r="137" spans="1:14" x14ac:dyDescent="0.25">
      <c r="A137" s="2">
        <v>9462</v>
      </c>
      <c r="B137" s="2">
        <v>7601</v>
      </c>
      <c r="C137" s="2" t="s">
        <v>226</v>
      </c>
      <c r="D137" s="2">
        <v>579</v>
      </c>
      <c r="E137" s="2" t="s">
        <v>79</v>
      </c>
      <c r="F137" s="2">
        <v>3</v>
      </c>
      <c r="G137" s="2">
        <v>0</v>
      </c>
      <c r="H137" s="2">
        <v>0</v>
      </c>
      <c r="I137" s="2" t="s">
        <v>227</v>
      </c>
      <c r="J137" s="2" t="s">
        <v>183</v>
      </c>
      <c r="K137" s="2" t="s">
        <v>183</v>
      </c>
      <c r="L137" s="2">
        <v>246</v>
      </c>
      <c r="M137" s="2" t="s">
        <v>32</v>
      </c>
      <c r="N137" s="2" t="s">
        <v>237</v>
      </c>
    </row>
    <row r="138" spans="1:14" x14ac:dyDescent="0.25">
      <c r="A138" s="2">
        <v>9463</v>
      </c>
      <c r="B138" s="2">
        <v>7601</v>
      </c>
      <c r="C138" s="2" t="s">
        <v>226</v>
      </c>
      <c r="D138" s="2">
        <v>276</v>
      </c>
      <c r="E138" s="2" t="s">
        <v>37</v>
      </c>
      <c r="F138" s="2">
        <v>466915</v>
      </c>
      <c r="G138" s="2">
        <v>52.6</v>
      </c>
      <c r="H138" s="2">
        <v>145628</v>
      </c>
      <c r="I138" s="2" t="s">
        <v>227</v>
      </c>
      <c r="J138" s="2" t="s">
        <v>183</v>
      </c>
      <c r="K138" s="2" t="s">
        <v>183</v>
      </c>
      <c r="L138" s="2">
        <v>251</v>
      </c>
      <c r="M138" s="2" t="s">
        <v>33</v>
      </c>
      <c r="N138" s="2" t="s">
        <v>237</v>
      </c>
    </row>
    <row r="139" spans="1:14" x14ac:dyDescent="0.25">
      <c r="A139" s="2">
        <v>9464</v>
      </c>
      <c r="B139" s="2">
        <v>7601</v>
      </c>
      <c r="C139" s="2" t="s">
        <v>226</v>
      </c>
      <c r="D139" s="2">
        <v>724</v>
      </c>
      <c r="E139" s="2" t="s">
        <v>98</v>
      </c>
      <c r="F139" s="2">
        <v>64536</v>
      </c>
      <c r="G139" s="2">
        <v>7.3</v>
      </c>
      <c r="H139" s="2">
        <v>21685</v>
      </c>
      <c r="I139" s="2" t="s">
        <v>227</v>
      </c>
      <c r="J139" s="2" t="s">
        <v>183</v>
      </c>
      <c r="K139" s="2" t="s">
        <v>183</v>
      </c>
      <c r="L139" s="2">
        <v>251</v>
      </c>
      <c r="M139" s="2" t="s">
        <v>33</v>
      </c>
      <c r="N139" s="2" t="s">
        <v>237</v>
      </c>
    </row>
    <row r="140" spans="1:14" x14ac:dyDescent="0.25">
      <c r="A140" s="2">
        <v>9465</v>
      </c>
      <c r="B140" s="2">
        <v>7601</v>
      </c>
      <c r="C140" s="2" t="s">
        <v>226</v>
      </c>
      <c r="D140" s="2">
        <v>191</v>
      </c>
      <c r="E140" s="2" t="s">
        <v>21</v>
      </c>
      <c r="F140" s="2">
        <v>54839</v>
      </c>
      <c r="G140" s="2">
        <v>6.2</v>
      </c>
      <c r="H140" s="2">
        <v>16142</v>
      </c>
      <c r="I140" s="2" t="s">
        <v>227</v>
      </c>
      <c r="J140" s="2" t="s">
        <v>183</v>
      </c>
      <c r="K140" s="2" t="s">
        <v>183</v>
      </c>
      <c r="L140" s="2">
        <v>251</v>
      </c>
      <c r="M140" s="2" t="s">
        <v>33</v>
      </c>
      <c r="N140" s="2" t="s">
        <v>237</v>
      </c>
    </row>
    <row r="141" spans="1:14" x14ac:dyDescent="0.25">
      <c r="A141" s="2">
        <v>9466</v>
      </c>
      <c r="B141" s="2">
        <v>7601</v>
      </c>
      <c r="C141" s="2" t="s">
        <v>226</v>
      </c>
      <c r="D141" s="2">
        <v>56</v>
      </c>
      <c r="E141" s="2" t="s">
        <v>11</v>
      </c>
      <c r="F141" s="2">
        <v>47459</v>
      </c>
      <c r="G141" s="2">
        <v>5.3</v>
      </c>
      <c r="H141" s="2">
        <v>14398</v>
      </c>
      <c r="I141" s="2" t="s">
        <v>227</v>
      </c>
      <c r="J141" s="2" t="s">
        <v>183</v>
      </c>
      <c r="K141" s="2" t="s">
        <v>183</v>
      </c>
      <c r="L141" s="2">
        <v>251</v>
      </c>
      <c r="M141" s="2" t="s">
        <v>33</v>
      </c>
      <c r="N141" s="2" t="s">
        <v>237</v>
      </c>
    </row>
    <row r="142" spans="1:14" x14ac:dyDescent="0.25">
      <c r="A142" s="2">
        <v>9467</v>
      </c>
      <c r="B142" s="2">
        <v>7601</v>
      </c>
      <c r="C142" s="2" t="s">
        <v>226</v>
      </c>
      <c r="D142" s="2">
        <v>381</v>
      </c>
      <c r="E142" s="2" t="s">
        <v>50</v>
      </c>
      <c r="F142" s="2">
        <v>45869</v>
      </c>
      <c r="G142" s="2">
        <v>5.2</v>
      </c>
      <c r="H142" s="2">
        <v>15472</v>
      </c>
      <c r="I142" s="2" t="s">
        <v>227</v>
      </c>
      <c r="J142" s="2" t="s">
        <v>183</v>
      </c>
      <c r="K142" s="2" t="s">
        <v>183</v>
      </c>
      <c r="L142" s="2">
        <v>251</v>
      </c>
      <c r="M142" s="2" t="s">
        <v>33</v>
      </c>
      <c r="N142" s="2" t="s">
        <v>237</v>
      </c>
    </row>
    <row r="143" spans="1:14" x14ac:dyDescent="0.25">
      <c r="A143" s="2">
        <v>9468</v>
      </c>
      <c r="B143" s="2">
        <v>7601</v>
      </c>
      <c r="C143" s="2" t="s">
        <v>226</v>
      </c>
      <c r="D143" s="2">
        <v>842</v>
      </c>
      <c r="E143" s="2" t="s">
        <v>229</v>
      </c>
      <c r="F143" s="2">
        <v>39443</v>
      </c>
      <c r="G143" s="2">
        <v>4.4000000000000004</v>
      </c>
      <c r="H143" s="2">
        <v>2417</v>
      </c>
      <c r="I143" s="2" t="s">
        <v>227</v>
      </c>
      <c r="J143" s="2" t="s">
        <v>183</v>
      </c>
      <c r="K143" s="2" t="s">
        <v>183</v>
      </c>
      <c r="L143" s="2">
        <v>251</v>
      </c>
      <c r="M143" s="2" t="s">
        <v>33</v>
      </c>
      <c r="N143" s="2" t="s">
        <v>237</v>
      </c>
    </row>
    <row r="144" spans="1:14" x14ac:dyDescent="0.25">
      <c r="A144" s="2">
        <v>9469</v>
      </c>
      <c r="B144" s="2">
        <v>7601</v>
      </c>
      <c r="C144" s="2" t="s">
        <v>226</v>
      </c>
      <c r="D144" s="2">
        <v>40</v>
      </c>
      <c r="E144" s="2" t="s">
        <v>5</v>
      </c>
      <c r="F144" s="2">
        <v>34280</v>
      </c>
      <c r="G144" s="2">
        <v>3.9</v>
      </c>
      <c r="H144" s="2">
        <v>11191</v>
      </c>
      <c r="I144" s="2" t="s">
        <v>227</v>
      </c>
      <c r="J144" s="2" t="s">
        <v>183</v>
      </c>
      <c r="K144" s="2" t="s">
        <v>183</v>
      </c>
      <c r="L144" s="2">
        <v>251</v>
      </c>
      <c r="M144" s="2" t="s">
        <v>33</v>
      </c>
      <c r="N144" s="2" t="s">
        <v>237</v>
      </c>
    </row>
    <row r="145" spans="1:14" x14ac:dyDescent="0.25">
      <c r="A145" s="2">
        <v>9470</v>
      </c>
      <c r="B145" s="2">
        <v>7601</v>
      </c>
      <c r="C145" s="2" t="s">
        <v>226</v>
      </c>
      <c r="D145" s="2">
        <v>528</v>
      </c>
      <c r="E145" s="2" t="s">
        <v>75</v>
      </c>
      <c r="F145" s="2">
        <v>26556</v>
      </c>
      <c r="G145" s="2">
        <v>3</v>
      </c>
      <c r="H145" s="2">
        <v>10790</v>
      </c>
      <c r="I145" s="2" t="s">
        <v>227</v>
      </c>
      <c r="J145" s="2" t="s">
        <v>183</v>
      </c>
      <c r="K145" s="2" t="s">
        <v>183</v>
      </c>
      <c r="L145" s="2">
        <v>251</v>
      </c>
      <c r="M145" s="2" t="s">
        <v>33</v>
      </c>
      <c r="N145" s="2" t="s">
        <v>237</v>
      </c>
    </row>
    <row r="146" spans="1:14" x14ac:dyDescent="0.25">
      <c r="A146" s="2">
        <v>9471</v>
      </c>
      <c r="B146" s="2">
        <v>7601</v>
      </c>
      <c r="C146" s="2" t="s">
        <v>226</v>
      </c>
      <c r="D146" s="2">
        <v>203</v>
      </c>
      <c r="E146" s="2" t="s">
        <v>211</v>
      </c>
      <c r="F146" s="2">
        <v>22546</v>
      </c>
      <c r="G146" s="2">
        <v>2.5</v>
      </c>
      <c r="H146" s="2">
        <v>6656</v>
      </c>
      <c r="I146" s="2" t="s">
        <v>227</v>
      </c>
      <c r="J146" s="2" t="s">
        <v>183</v>
      </c>
      <c r="K146" s="2" t="s">
        <v>183</v>
      </c>
      <c r="L146" s="2">
        <v>251</v>
      </c>
      <c r="M146" s="2" t="s">
        <v>33</v>
      </c>
      <c r="N146" s="2" t="s">
        <v>237</v>
      </c>
    </row>
    <row r="147" spans="1:14" x14ac:dyDescent="0.25">
      <c r="A147" s="2">
        <v>9472</v>
      </c>
      <c r="B147" s="2">
        <v>7601</v>
      </c>
      <c r="C147" s="2" t="s">
        <v>226</v>
      </c>
      <c r="D147" s="2">
        <v>348</v>
      </c>
      <c r="E147" s="2" t="s">
        <v>43</v>
      </c>
      <c r="F147" s="2">
        <v>21819</v>
      </c>
      <c r="G147" s="2">
        <v>2.5</v>
      </c>
      <c r="H147" s="2">
        <v>7981</v>
      </c>
      <c r="I147" s="2" t="s">
        <v>227</v>
      </c>
      <c r="J147" s="2" t="s">
        <v>183</v>
      </c>
      <c r="K147" s="2" t="s">
        <v>183</v>
      </c>
      <c r="L147" s="2">
        <v>251</v>
      </c>
      <c r="M147" s="2" t="s">
        <v>33</v>
      </c>
      <c r="N147" s="2" t="s">
        <v>237</v>
      </c>
    </row>
    <row r="148" spans="1:14" x14ac:dyDescent="0.25">
      <c r="A148" s="2">
        <v>9473</v>
      </c>
      <c r="B148" s="2">
        <v>7601</v>
      </c>
      <c r="C148" s="2" t="s">
        <v>226</v>
      </c>
      <c r="D148" s="2">
        <v>826</v>
      </c>
      <c r="E148" s="2" t="s">
        <v>110</v>
      </c>
      <c r="F148" s="2">
        <v>19621</v>
      </c>
      <c r="G148" s="2">
        <v>2.2000000000000002</v>
      </c>
      <c r="H148" s="2">
        <v>5260</v>
      </c>
      <c r="I148" s="2" t="s">
        <v>227</v>
      </c>
      <c r="J148" s="2" t="s">
        <v>183</v>
      </c>
      <c r="K148" s="2" t="s">
        <v>183</v>
      </c>
      <c r="L148" s="2">
        <v>251</v>
      </c>
      <c r="M148" s="2" t="s">
        <v>33</v>
      </c>
      <c r="N148" s="2" t="s">
        <v>237</v>
      </c>
    </row>
    <row r="149" spans="1:14" x14ac:dyDescent="0.25">
      <c r="A149" s="2">
        <v>9474</v>
      </c>
      <c r="B149" s="2">
        <v>7601</v>
      </c>
      <c r="C149" s="2" t="s">
        <v>226</v>
      </c>
      <c r="D149" s="2">
        <v>642</v>
      </c>
      <c r="E149" s="2" t="s">
        <v>89</v>
      </c>
      <c r="F149" s="2">
        <v>15364</v>
      </c>
      <c r="G149" s="2">
        <v>1.7</v>
      </c>
      <c r="H149" s="2">
        <v>5902</v>
      </c>
      <c r="I149" s="2" t="s">
        <v>227</v>
      </c>
      <c r="J149" s="2" t="s">
        <v>183</v>
      </c>
      <c r="K149" s="2" t="s">
        <v>183</v>
      </c>
      <c r="L149" s="2">
        <v>251</v>
      </c>
      <c r="M149" s="2" t="s">
        <v>33</v>
      </c>
      <c r="N149" s="2" t="s">
        <v>237</v>
      </c>
    </row>
    <row r="150" spans="1:14" x14ac:dyDescent="0.25">
      <c r="A150" s="2">
        <v>9475</v>
      </c>
      <c r="B150" s="2">
        <v>7601</v>
      </c>
      <c r="C150" s="2" t="s">
        <v>226</v>
      </c>
      <c r="D150" s="2">
        <v>756</v>
      </c>
      <c r="E150" s="2" t="s">
        <v>101</v>
      </c>
      <c r="F150" s="2">
        <v>4708</v>
      </c>
      <c r="G150" s="2">
        <v>0.5</v>
      </c>
      <c r="H150" s="2">
        <v>1155</v>
      </c>
      <c r="I150" s="2" t="s">
        <v>227</v>
      </c>
      <c r="J150" s="2" t="s">
        <v>183</v>
      </c>
      <c r="K150" s="2" t="s">
        <v>183</v>
      </c>
      <c r="L150" s="2">
        <v>251</v>
      </c>
      <c r="M150" s="2" t="s">
        <v>33</v>
      </c>
      <c r="N150" s="2" t="s">
        <v>237</v>
      </c>
    </row>
    <row r="151" spans="1:14" x14ac:dyDescent="0.25">
      <c r="A151" s="2">
        <v>9476</v>
      </c>
      <c r="B151" s="2">
        <v>7601</v>
      </c>
      <c r="C151" s="2" t="s">
        <v>226</v>
      </c>
      <c r="D151" s="2">
        <v>156</v>
      </c>
      <c r="E151" s="2" t="s">
        <v>18</v>
      </c>
      <c r="F151" s="2">
        <v>4114</v>
      </c>
      <c r="G151" s="2">
        <v>0.5</v>
      </c>
      <c r="H151" s="2">
        <v>131</v>
      </c>
      <c r="I151" s="2" t="s">
        <v>227</v>
      </c>
      <c r="J151" s="2" t="s">
        <v>183</v>
      </c>
      <c r="K151" s="2" t="s">
        <v>183</v>
      </c>
      <c r="L151" s="2">
        <v>251</v>
      </c>
      <c r="M151" s="2" t="s">
        <v>33</v>
      </c>
      <c r="N151" s="2" t="s">
        <v>237</v>
      </c>
    </row>
    <row r="152" spans="1:14" x14ac:dyDescent="0.25">
      <c r="A152" s="2">
        <v>9477</v>
      </c>
      <c r="B152" s="2">
        <v>7601</v>
      </c>
      <c r="C152" s="2" t="s">
        <v>226</v>
      </c>
      <c r="D152" s="2">
        <v>616</v>
      </c>
      <c r="E152" s="2" t="s">
        <v>86</v>
      </c>
      <c r="F152" s="2">
        <v>3663</v>
      </c>
      <c r="G152" s="2">
        <v>0.4</v>
      </c>
      <c r="H152" s="2">
        <v>832</v>
      </c>
      <c r="I152" s="2" t="s">
        <v>227</v>
      </c>
      <c r="J152" s="2" t="s">
        <v>183</v>
      </c>
      <c r="K152" s="2" t="s">
        <v>183</v>
      </c>
      <c r="L152" s="2">
        <v>251</v>
      </c>
      <c r="M152" s="2" t="s">
        <v>33</v>
      </c>
      <c r="N152" s="2" t="s">
        <v>237</v>
      </c>
    </row>
    <row r="153" spans="1:14" x14ac:dyDescent="0.25">
      <c r="A153" s="2">
        <v>9478</v>
      </c>
      <c r="B153" s="2">
        <v>7601</v>
      </c>
      <c r="C153" s="2" t="s">
        <v>226</v>
      </c>
      <c r="D153" s="2">
        <v>410</v>
      </c>
      <c r="E153" s="2" t="s">
        <v>230</v>
      </c>
      <c r="F153" s="2">
        <v>3479</v>
      </c>
      <c r="G153" s="2">
        <v>0.4</v>
      </c>
      <c r="H153" s="2">
        <v>54</v>
      </c>
      <c r="I153" s="2" t="s">
        <v>227</v>
      </c>
      <c r="J153" s="2" t="s">
        <v>183</v>
      </c>
      <c r="K153" s="2" t="s">
        <v>183</v>
      </c>
      <c r="L153" s="2">
        <v>251</v>
      </c>
      <c r="M153" s="2" t="s">
        <v>33</v>
      </c>
      <c r="N153" s="2" t="s">
        <v>237</v>
      </c>
    </row>
    <row r="154" spans="1:14" x14ac:dyDescent="0.25">
      <c r="A154" s="2">
        <v>9479</v>
      </c>
      <c r="B154" s="2">
        <v>7601</v>
      </c>
      <c r="C154" s="2" t="s">
        <v>226</v>
      </c>
      <c r="D154" s="2">
        <v>620</v>
      </c>
      <c r="E154" s="2" t="s">
        <v>87</v>
      </c>
      <c r="F154" s="2">
        <v>3065</v>
      </c>
      <c r="G154" s="2">
        <v>0.3</v>
      </c>
      <c r="H154" s="2">
        <v>736</v>
      </c>
      <c r="I154" s="2" t="s">
        <v>227</v>
      </c>
      <c r="J154" s="2" t="s">
        <v>183</v>
      </c>
      <c r="K154" s="2" t="s">
        <v>183</v>
      </c>
      <c r="L154" s="2">
        <v>251</v>
      </c>
      <c r="M154" s="2" t="s">
        <v>33</v>
      </c>
      <c r="N154" s="2" t="s">
        <v>237</v>
      </c>
    </row>
    <row r="155" spans="1:14" x14ac:dyDescent="0.25">
      <c r="A155" s="2">
        <v>9480</v>
      </c>
      <c r="B155" s="2">
        <v>7601</v>
      </c>
      <c r="C155" s="2" t="s">
        <v>226</v>
      </c>
      <c r="D155" s="2">
        <v>442</v>
      </c>
      <c r="E155" s="2" t="s">
        <v>62</v>
      </c>
      <c r="F155" s="2">
        <v>2385</v>
      </c>
      <c r="G155" s="2">
        <v>0.3</v>
      </c>
      <c r="H155" s="2">
        <v>987</v>
      </c>
      <c r="I155" s="2" t="s">
        <v>227</v>
      </c>
      <c r="J155" s="2" t="s">
        <v>183</v>
      </c>
      <c r="K155" s="2" t="s">
        <v>183</v>
      </c>
      <c r="L155" s="2">
        <v>251</v>
      </c>
      <c r="M155" s="2" t="s">
        <v>33</v>
      </c>
      <c r="N155" s="2" t="s">
        <v>237</v>
      </c>
    </row>
    <row r="156" spans="1:14" x14ac:dyDescent="0.25">
      <c r="A156" s="2">
        <v>9481</v>
      </c>
      <c r="B156" s="2">
        <v>7601</v>
      </c>
      <c r="C156" s="2" t="s">
        <v>226</v>
      </c>
      <c r="D156" s="2">
        <v>688</v>
      </c>
      <c r="E156" s="2" t="s">
        <v>92</v>
      </c>
      <c r="F156" s="2">
        <v>2003</v>
      </c>
      <c r="G156" s="2">
        <v>0.2</v>
      </c>
      <c r="H156" s="2">
        <v>560</v>
      </c>
      <c r="I156" s="2" t="s">
        <v>227</v>
      </c>
      <c r="J156" s="2" t="s">
        <v>183</v>
      </c>
      <c r="K156" s="2" t="s">
        <v>183</v>
      </c>
      <c r="L156" s="2">
        <v>251</v>
      </c>
      <c r="M156" s="2" t="s">
        <v>33</v>
      </c>
      <c r="N156" s="2" t="s">
        <v>237</v>
      </c>
    </row>
    <row r="157" spans="1:14" x14ac:dyDescent="0.25">
      <c r="A157" s="2">
        <v>9482</v>
      </c>
      <c r="B157" s="2">
        <v>7601</v>
      </c>
      <c r="C157" s="2" t="s">
        <v>226</v>
      </c>
      <c r="D157" s="2">
        <v>703</v>
      </c>
      <c r="E157" s="2" t="s">
        <v>95</v>
      </c>
      <c r="F157" s="2">
        <v>976</v>
      </c>
      <c r="G157" s="2">
        <v>0.1</v>
      </c>
      <c r="H157" s="2">
        <v>331</v>
      </c>
      <c r="I157" s="2" t="s">
        <v>227</v>
      </c>
      <c r="J157" s="2" t="s">
        <v>183</v>
      </c>
      <c r="K157" s="2" t="s">
        <v>183</v>
      </c>
      <c r="L157" s="2">
        <v>251</v>
      </c>
      <c r="M157" s="2" t="s">
        <v>33</v>
      </c>
      <c r="N157" s="2" t="s">
        <v>237</v>
      </c>
    </row>
    <row r="158" spans="1:14" x14ac:dyDescent="0.25">
      <c r="A158" s="2">
        <v>9483</v>
      </c>
      <c r="B158" s="2">
        <v>7601</v>
      </c>
      <c r="C158" s="2" t="s">
        <v>226</v>
      </c>
      <c r="D158" s="2">
        <v>392</v>
      </c>
      <c r="E158" s="2" t="s">
        <v>51</v>
      </c>
      <c r="F158" s="2">
        <v>589</v>
      </c>
      <c r="G158" s="2">
        <v>0.1</v>
      </c>
      <c r="H158" s="2">
        <v>9</v>
      </c>
      <c r="I158" s="2" t="s">
        <v>227</v>
      </c>
      <c r="J158" s="2" t="s">
        <v>183</v>
      </c>
      <c r="K158" s="2" t="s">
        <v>183</v>
      </c>
      <c r="L158" s="2">
        <v>251</v>
      </c>
      <c r="M158" s="2" t="s">
        <v>33</v>
      </c>
      <c r="N158" s="2" t="s">
        <v>237</v>
      </c>
    </row>
    <row r="159" spans="1:14" x14ac:dyDescent="0.25">
      <c r="A159" s="2">
        <v>9484</v>
      </c>
      <c r="B159" s="2">
        <v>7601</v>
      </c>
      <c r="C159" s="2" t="s">
        <v>226</v>
      </c>
      <c r="D159" s="2">
        <v>499</v>
      </c>
      <c r="E159" s="2" t="s">
        <v>72</v>
      </c>
      <c r="F159" s="2">
        <v>584</v>
      </c>
      <c r="G159" s="2">
        <v>0.1</v>
      </c>
      <c r="H159" s="2">
        <v>190</v>
      </c>
      <c r="I159" s="2" t="s">
        <v>227</v>
      </c>
      <c r="J159" s="2" t="s">
        <v>183</v>
      </c>
      <c r="K159" s="2" t="s">
        <v>183</v>
      </c>
      <c r="L159" s="2">
        <v>251</v>
      </c>
      <c r="M159" s="2" t="s">
        <v>33</v>
      </c>
      <c r="N159" s="2" t="s">
        <v>237</v>
      </c>
    </row>
    <row r="160" spans="1:14" x14ac:dyDescent="0.25">
      <c r="A160" s="2">
        <v>9485</v>
      </c>
      <c r="B160" s="2">
        <v>7601</v>
      </c>
      <c r="C160" s="2" t="s">
        <v>226</v>
      </c>
      <c r="D160" s="2">
        <v>540</v>
      </c>
      <c r="E160" s="2" t="s">
        <v>131</v>
      </c>
      <c r="F160" s="2">
        <v>420</v>
      </c>
      <c r="G160" s="2">
        <v>0</v>
      </c>
      <c r="H160" s="2">
        <v>23</v>
      </c>
      <c r="I160" s="2" t="s">
        <v>227</v>
      </c>
      <c r="J160" s="2" t="s">
        <v>183</v>
      </c>
      <c r="K160" s="2" t="s">
        <v>183</v>
      </c>
      <c r="L160" s="2">
        <v>251</v>
      </c>
      <c r="M160" s="2" t="s">
        <v>33</v>
      </c>
      <c r="N160" s="2" t="s">
        <v>237</v>
      </c>
    </row>
    <row r="161" spans="1:14" x14ac:dyDescent="0.25">
      <c r="A161" s="2">
        <v>9486</v>
      </c>
      <c r="B161" s="2">
        <v>7601</v>
      </c>
      <c r="C161" s="2" t="s">
        <v>226</v>
      </c>
      <c r="D161" s="2">
        <v>76</v>
      </c>
      <c r="E161" s="2" t="s">
        <v>14</v>
      </c>
      <c r="F161" s="2">
        <v>420</v>
      </c>
      <c r="G161" s="2">
        <v>0</v>
      </c>
      <c r="H161" s="2">
        <v>4</v>
      </c>
      <c r="I161" s="2" t="s">
        <v>227</v>
      </c>
      <c r="J161" s="2" t="s">
        <v>183</v>
      </c>
      <c r="K161" s="2" t="s">
        <v>183</v>
      </c>
      <c r="L161" s="2">
        <v>251</v>
      </c>
      <c r="M161" s="2" t="s">
        <v>33</v>
      </c>
      <c r="N161" s="2" t="s">
        <v>237</v>
      </c>
    </row>
    <row r="162" spans="1:14" x14ac:dyDescent="0.25">
      <c r="A162" s="2">
        <v>9487</v>
      </c>
      <c r="B162" s="2">
        <v>7601</v>
      </c>
      <c r="C162" s="2" t="s">
        <v>226</v>
      </c>
      <c r="D162" s="2">
        <v>756</v>
      </c>
      <c r="E162" s="2" t="s">
        <v>101</v>
      </c>
      <c r="F162" s="2">
        <v>389850</v>
      </c>
      <c r="G162" s="2">
        <v>22.1</v>
      </c>
      <c r="H162" s="2">
        <v>113610</v>
      </c>
      <c r="I162" s="2" t="s">
        <v>227</v>
      </c>
      <c r="J162" s="2" t="s">
        <v>183</v>
      </c>
      <c r="K162" s="2" t="s">
        <v>183</v>
      </c>
      <c r="L162" s="2">
        <v>276</v>
      </c>
      <c r="M162" s="2" t="s">
        <v>37</v>
      </c>
      <c r="N162" s="2" t="s">
        <v>237</v>
      </c>
    </row>
    <row r="163" spans="1:14" x14ac:dyDescent="0.25">
      <c r="A163" s="2">
        <v>9488</v>
      </c>
      <c r="B163" s="2">
        <v>7601</v>
      </c>
      <c r="C163" s="2" t="s">
        <v>226</v>
      </c>
      <c r="D163" s="2">
        <v>40</v>
      </c>
      <c r="E163" s="2" t="s">
        <v>5</v>
      </c>
      <c r="F163" s="2">
        <v>378112</v>
      </c>
      <c r="G163" s="2">
        <v>21.5</v>
      </c>
      <c r="H163" s="2">
        <v>118333</v>
      </c>
      <c r="I163" s="2" t="s">
        <v>227</v>
      </c>
      <c r="J163" s="2" t="s">
        <v>183</v>
      </c>
      <c r="K163" s="2" t="s">
        <v>183</v>
      </c>
      <c r="L163" s="2">
        <v>276</v>
      </c>
      <c r="M163" s="2" t="s">
        <v>37</v>
      </c>
      <c r="N163" s="2" t="s">
        <v>237</v>
      </c>
    </row>
    <row r="164" spans="1:14" x14ac:dyDescent="0.25">
      <c r="A164" s="2">
        <v>9489</v>
      </c>
      <c r="B164" s="2">
        <v>7601</v>
      </c>
      <c r="C164" s="2" t="s">
        <v>226</v>
      </c>
      <c r="D164" s="2">
        <v>616</v>
      </c>
      <c r="E164" s="2" t="s">
        <v>86</v>
      </c>
      <c r="F164" s="2">
        <v>185198</v>
      </c>
      <c r="G164" s="2">
        <v>10.5</v>
      </c>
      <c r="H164" s="2">
        <v>49876</v>
      </c>
      <c r="I164" s="2" t="s">
        <v>227</v>
      </c>
      <c r="J164" s="2" t="s">
        <v>183</v>
      </c>
      <c r="K164" s="2" t="s">
        <v>183</v>
      </c>
      <c r="L164" s="2">
        <v>276</v>
      </c>
      <c r="M164" s="2" t="s">
        <v>37</v>
      </c>
      <c r="N164" s="2" t="s">
        <v>237</v>
      </c>
    </row>
    <row r="165" spans="1:14" x14ac:dyDescent="0.25">
      <c r="A165" s="2">
        <v>9763</v>
      </c>
      <c r="B165" s="2">
        <v>7601</v>
      </c>
      <c r="C165" s="2" t="s">
        <v>226</v>
      </c>
      <c r="D165" s="2">
        <v>251</v>
      </c>
      <c r="E165" s="2" t="s">
        <v>33</v>
      </c>
      <c r="F165" s="2">
        <v>13458</v>
      </c>
      <c r="G165" s="2">
        <v>1.3</v>
      </c>
      <c r="H165" s="2">
        <v>3558</v>
      </c>
      <c r="I165" s="2" t="s">
        <v>227</v>
      </c>
      <c r="J165" s="2" t="s">
        <v>183</v>
      </c>
      <c r="K165" s="2" t="s">
        <v>183</v>
      </c>
      <c r="L165" s="2">
        <v>752</v>
      </c>
      <c r="M165" s="2" t="s">
        <v>100</v>
      </c>
      <c r="N165" s="2" t="s">
        <v>237</v>
      </c>
    </row>
    <row r="166" spans="1:14" x14ac:dyDescent="0.25">
      <c r="A166" s="2">
        <v>9491</v>
      </c>
      <c r="B166" s="2">
        <v>7601</v>
      </c>
      <c r="C166" s="2" t="s">
        <v>226</v>
      </c>
      <c r="D166" s="2">
        <v>56</v>
      </c>
      <c r="E166" s="2" t="s">
        <v>11</v>
      </c>
      <c r="F166" s="2">
        <v>109736</v>
      </c>
      <c r="G166" s="2">
        <v>6.2</v>
      </c>
      <c r="H166" s="2">
        <v>32929</v>
      </c>
      <c r="I166" s="2" t="s">
        <v>227</v>
      </c>
      <c r="J166" s="2" t="s">
        <v>183</v>
      </c>
      <c r="K166" s="2" t="s">
        <v>183</v>
      </c>
      <c r="L166" s="2">
        <v>276</v>
      </c>
      <c r="M166" s="2" t="s">
        <v>37</v>
      </c>
      <c r="N166" s="2" t="s">
        <v>237</v>
      </c>
    </row>
    <row r="167" spans="1:14" x14ac:dyDescent="0.25">
      <c r="A167" s="2">
        <v>9492</v>
      </c>
      <c r="B167" s="2">
        <v>7601</v>
      </c>
      <c r="C167" s="2" t="s">
        <v>226</v>
      </c>
      <c r="D167" s="2">
        <v>203</v>
      </c>
      <c r="E167" s="2" t="s">
        <v>211</v>
      </c>
      <c r="F167" s="2">
        <v>103625</v>
      </c>
      <c r="G167" s="2">
        <v>5.9</v>
      </c>
      <c r="H167" s="2">
        <v>31951</v>
      </c>
      <c r="I167" s="2" t="s">
        <v>227</v>
      </c>
      <c r="J167" s="2" t="s">
        <v>183</v>
      </c>
      <c r="K167" s="2" t="s">
        <v>183</v>
      </c>
      <c r="L167" s="2">
        <v>276</v>
      </c>
      <c r="M167" s="2" t="s">
        <v>37</v>
      </c>
      <c r="N167" s="2" t="s">
        <v>237</v>
      </c>
    </row>
    <row r="168" spans="1:14" x14ac:dyDescent="0.25">
      <c r="A168" s="2">
        <v>9493</v>
      </c>
      <c r="B168" s="2">
        <v>7601</v>
      </c>
      <c r="C168" s="2" t="s">
        <v>226</v>
      </c>
      <c r="D168" s="2">
        <v>381</v>
      </c>
      <c r="E168" s="2" t="s">
        <v>50</v>
      </c>
      <c r="F168" s="2">
        <v>85608</v>
      </c>
      <c r="G168" s="2">
        <v>4.9000000000000004</v>
      </c>
      <c r="H168" s="2">
        <v>25462</v>
      </c>
      <c r="I168" s="2" t="s">
        <v>227</v>
      </c>
      <c r="J168" s="2" t="s">
        <v>183</v>
      </c>
      <c r="K168" s="2" t="s">
        <v>183</v>
      </c>
      <c r="L168" s="2">
        <v>276</v>
      </c>
      <c r="M168" s="2" t="s">
        <v>37</v>
      </c>
      <c r="N168" s="2" t="s">
        <v>237</v>
      </c>
    </row>
    <row r="169" spans="1:14" x14ac:dyDescent="0.25">
      <c r="A169" s="2">
        <v>9494</v>
      </c>
      <c r="B169" s="2">
        <v>7601</v>
      </c>
      <c r="C169" s="2" t="s">
        <v>226</v>
      </c>
      <c r="D169" s="2">
        <v>528</v>
      </c>
      <c r="E169" s="2" t="s">
        <v>75</v>
      </c>
      <c r="F169" s="2">
        <v>84573</v>
      </c>
      <c r="G169" s="2">
        <v>4.8</v>
      </c>
      <c r="H169" s="2">
        <v>22395</v>
      </c>
      <c r="I169" s="2" t="s">
        <v>227</v>
      </c>
      <c r="J169" s="2" t="s">
        <v>183</v>
      </c>
      <c r="K169" s="2" t="s">
        <v>183</v>
      </c>
      <c r="L169" s="2">
        <v>276</v>
      </c>
      <c r="M169" s="2" t="s">
        <v>37</v>
      </c>
      <c r="N169" s="2" t="s">
        <v>237</v>
      </c>
    </row>
    <row r="170" spans="1:14" x14ac:dyDescent="0.25">
      <c r="A170" s="2">
        <v>9495</v>
      </c>
      <c r="B170" s="2">
        <v>7601</v>
      </c>
      <c r="C170" s="2" t="s">
        <v>226</v>
      </c>
      <c r="D170" s="2">
        <v>705</v>
      </c>
      <c r="E170" s="2" t="s">
        <v>96</v>
      </c>
      <c r="F170" s="2">
        <v>41892</v>
      </c>
      <c r="G170" s="2">
        <v>2.4</v>
      </c>
      <c r="H170" s="2">
        <v>12248</v>
      </c>
      <c r="I170" s="2" t="s">
        <v>227</v>
      </c>
      <c r="J170" s="2" t="s">
        <v>183</v>
      </c>
      <c r="K170" s="2" t="s">
        <v>183</v>
      </c>
      <c r="L170" s="2">
        <v>276</v>
      </c>
      <c r="M170" s="2" t="s">
        <v>37</v>
      </c>
      <c r="N170" s="2" t="s">
        <v>237</v>
      </c>
    </row>
    <row r="171" spans="1:14" x14ac:dyDescent="0.25">
      <c r="A171" s="2">
        <v>9496</v>
      </c>
      <c r="B171" s="2">
        <v>7601</v>
      </c>
      <c r="C171" s="2" t="s">
        <v>226</v>
      </c>
      <c r="D171" s="2">
        <v>724</v>
      </c>
      <c r="E171" s="2" t="s">
        <v>98</v>
      </c>
      <c r="F171" s="2">
        <v>29078</v>
      </c>
      <c r="G171" s="2">
        <v>1.6</v>
      </c>
      <c r="H171" s="2">
        <v>8287</v>
      </c>
      <c r="I171" s="2" t="s">
        <v>227</v>
      </c>
      <c r="J171" s="2" t="s">
        <v>183</v>
      </c>
      <c r="K171" s="2" t="s">
        <v>183</v>
      </c>
      <c r="L171" s="2">
        <v>276</v>
      </c>
      <c r="M171" s="2" t="s">
        <v>37</v>
      </c>
      <c r="N171" s="2" t="s">
        <v>237</v>
      </c>
    </row>
    <row r="172" spans="1:14" x14ac:dyDescent="0.25">
      <c r="A172" s="2">
        <v>9497</v>
      </c>
      <c r="B172" s="2">
        <v>7601</v>
      </c>
      <c r="C172" s="2" t="s">
        <v>226</v>
      </c>
      <c r="D172" s="2">
        <v>410</v>
      </c>
      <c r="E172" s="2" t="s">
        <v>230</v>
      </c>
      <c r="F172" s="2">
        <v>21255</v>
      </c>
      <c r="G172" s="2">
        <v>1.2</v>
      </c>
      <c r="H172" s="2">
        <v>7044</v>
      </c>
      <c r="I172" s="2" t="s">
        <v>227</v>
      </c>
      <c r="J172" s="2" t="s">
        <v>183</v>
      </c>
      <c r="K172" s="2" t="s">
        <v>183</v>
      </c>
      <c r="L172" s="2">
        <v>276</v>
      </c>
      <c r="M172" s="2" t="s">
        <v>37</v>
      </c>
      <c r="N172" s="2" t="s">
        <v>237</v>
      </c>
    </row>
    <row r="173" spans="1:14" x14ac:dyDescent="0.25">
      <c r="A173" s="2">
        <v>9498</v>
      </c>
      <c r="B173" s="2">
        <v>7601</v>
      </c>
      <c r="C173" s="2" t="s">
        <v>226</v>
      </c>
      <c r="D173" s="2">
        <v>752</v>
      </c>
      <c r="E173" s="2" t="s">
        <v>100</v>
      </c>
      <c r="F173" s="2">
        <v>20957</v>
      </c>
      <c r="G173" s="2">
        <v>1.2</v>
      </c>
      <c r="H173" s="2">
        <v>5904</v>
      </c>
      <c r="I173" s="2" t="s">
        <v>227</v>
      </c>
      <c r="J173" s="2" t="s">
        <v>183</v>
      </c>
      <c r="K173" s="2" t="s">
        <v>183</v>
      </c>
      <c r="L173" s="2">
        <v>276</v>
      </c>
      <c r="M173" s="2" t="s">
        <v>37</v>
      </c>
      <c r="N173" s="2" t="s">
        <v>237</v>
      </c>
    </row>
    <row r="174" spans="1:14" x14ac:dyDescent="0.25">
      <c r="A174" s="2">
        <v>9499</v>
      </c>
      <c r="B174" s="2">
        <v>7601</v>
      </c>
      <c r="C174" s="2" t="s">
        <v>226</v>
      </c>
      <c r="D174" s="2">
        <v>348</v>
      </c>
      <c r="E174" s="2" t="s">
        <v>43</v>
      </c>
      <c r="F174" s="2">
        <v>17449</v>
      </c>
      <c r="G174" s="2">
        <v>1</v>
      </c>
      <c r="H174" s="2">
        <v>4792</v>
      </c>
      <c r="I174" s="2" t="s">
        <v>227</v>
      </c>
      <c r="J174" s="2" t="s">
        <v>183</v>
      </c>
      <c r="K174" s="2" t="s">
        <v>183</v>
      </c>
      <c r="L174" s="2">
        <v>276</v>
      </c>
      <c r="M174" s="2" t="s">
        <v>37</v>
      </c>
      <c r="N174" s="2" t="s">
        <v>237</v>
      </c>
    </row>
    <row r="175" spans="1:14" x14ac:dyDescent="0.25">
      <c r="A175" s="2">
        <v>9500</v>
      </c>
      <c r="B175" s="2">
        <v>7601</v>
      </c>
      <c r="C175" s="2" t="s">
        <v>226</v>
      </c>
      <c r="D175" s="2">
        <v>70</v>
      </c>
      <c r="E175" s="2" t="s">
        <v>236</v>
      </c>
      <c r="F175" s="2">
        <v>13750</v>
      </c>
      <c r="G175" s="2">
        <v>0.8</v>
      </c>
      <c r="H175" s="2">
        <v>3645</v>
      </c>
      <c r="I175" s="2" t="s">
        <v>227</v>
      </c>
      <c r="J175" s="2" t="s">
        <v>183</v>
      </c>
      <c r="K175" s="2" t="s">
        <v>183</v>
      </c>
      <c r="L175" s="2">
        <v>276</v>
      </c>
      <c r="M175" s="2" t="s">
        <v>37</v>
      </c>
      <c r="N175" s="2" t="s">
        <v>237</v>
      </c>
    </row>
    <row r="176" spans="1:14" x14ac:dyDescent="0.25">
      <c r="A176" s="2">
        <v>9501</v>
      </c>
      <c r="B176" s="2">
        <v>7601</v>
      </c>
      <c r="C176" s="2" t="s">
        <v>226</v>
      </c>
      <c r="D176" s="2">
        <v>458</v>
      </c>
      <c r="E176" s="2" t="s">
        <v>66</v>
      </c>
      <c r="F176" s="2">
        <v>13238</v>
      </c>
      <c r="G176" s="2">
        <v>0.8</v>
      </c>
      <c r="H176" s="2">
        <v>3433</v>
      </c>
      <c r="I176" s="2" t="s">
        <v>227</v>
      </c>
      <c r="J176" s="2" t="s">
        <v>183</v>
      </c>
      <c r="K176" s="2" t="s">
        <v>183</v>
      </c>
      <c r="L176" s="2">
        <v>276</v>
      </c>
      <c r="M176" s="2" t="s">
        <v>37</v>
      </c>
      <c r="N176" s="2" t="s">
        <v>237</v>
      </c>
    </row>
    <row r="177" spans="1:14" x14ac:dyDescent="0.25">
      <c r="A177" s="2">
        <v>9502</v>
      </c>
      <c r="B177" s="2">
        <v>7601</v>
      </c>
      <c r="C177" s="2" t="s">
        <v>226</v>
      </c>
      <c r="D177" s="2">
        <v>442</v>
      </c>
      <c r="E177" s="2" t="s">
        <v>62</v>
      </c>
      <c r="F177" s="2">
        <v>13133</v>
      </c>
      <c r="G177" s="2">
        <v>0.7</v>
      </c>
      <c r="H177" s="2">
        <v>8550</v>
      </c>
      <c r="I177" s="2" t="s">
        <v>227</v>
      </c>
      <c r="J177" s="2" t="s">
        <v>183</v>
      </c>
      <c r="K177" s="2" t="s">
        <v>183</v>
      </c>
      <c r="L177" s="2">
        <v>276</v>
      </c>
      <c r="M177" s="2" t="s">
        <v>37</v>
      </c>
      <c r="N177" s="2" t="s">
        <v>237</v>
      </c>
    </row>
    <row r="178" spans="1:14" x14ac:dyDescent="0.25">
      <c r="A178" s="2">
        <v>9503</v>
      </c>
      <c r="B178" s="2">
        <v>7601</v>
      </c>
      <c r="C178" s="2" t="s">
        <v>226</v>
      </c>
      <c r="D178" s="2">
        <v>842</v>
      </c>
      <c r="E178" s="2" t="s">
        <v>229</v>
      </c>
      <c r="F178" s="2">
        <v>12802</v>
      </c>
      <c r="G178" s="2">
        <v>0.7</v>
      </c>
      <c r="H178" s="2">
        <v>2175</v>
      </c>
      <c r="I178" s="2" t="s">
        <v>227</v>
      </c>
      <c r="J178" s="2" t="s">
        <v>183</v>
      </c>
      <c r="K178" s="2" t="s">
        <v>183</v>
      </c>
      <c r="L178" s="2">
        <v>276</v>
      </c>
      <c r="M178" s="2" t="s">
        <v>37</v>
      </c>
      <c r="N178" s="2" t="s">
        <v>237</v>
      </c>
    </row>
    <row r="179" spans="1:14" x14ac:dyDescent="0.25">
      <c r="A179" s="2">
        <v>9504</v>
      </c>
      <c r="B179" s="2">
        <v>7601</v>
      </c>
      <c r="C179" s="2" t="s">
        <v>226</v>
      </c>
      <c r="D179" s="2">
        <v>688</v>
      </c>
      <c r="E179" s="2" t="s">
        <v>92</v>
      </c>
      <c r="F179" s="2">
        <v>10971</v>
      </c>
      <c r="G179" s="2">
        <v>0.6</v>
      </c>
      <c r="H179" s="2">
        <v>4089</v>
      </c>
      <c r="I179" s="2" t="s">
        <v>227</v>
      </c>
      <c r="J179" s="2" t="s">
        <v>183</v>
      </c>
      <c r="K179" s="2" t="s">
        <v>183</v>
      </c>
      <c r="L179" s="2">
        <v>276</v>
      </c>
      <c r="M179" s="2" t="s">
        <v>37</v>
      </c>
      <c r="N179" s="2" t="s">
        <v>237</v>
      </c>
    </row>
    <row r="180" spans="1:14" x14ac:dyDescent="0.25">
      <c r="A180" s="2">
        <v>9505</v>
      </c>
      <c r="B180" s="2">
        <v>7601</v>
      </c>
      <c r="C180" s="2" t="s">
        <v>226</v>
      </c>
      <c r="D180" s="2">
        <v>392</v>
      </c>
      <c r="E180" s="2" t="s">
        <v>51</v>
      </c>
      <c r="F180" s="2">
        <v>10367</v>
      </c>
      <c r="G180" s="2">
        <v>0.6</v>
      </c>
      <c r="H180" s="2">
        <v>749</v>
      </c>
      <c r="I180" s="2" t="s">
        <v>227</v>
      </c>
      <c r="J180" s="2" t="s">
        <v>183</v>
      </c>
      <c r="K180" s="2" t="s">
        <v>183</v>
      </c>
      <c r="L180" s="2">
        <v>276</v>
      </c>
      <c r="M180" s="2" t="s">
        <v>37</v>
      </c>
      <c r="N180" s="2" t="s">
        <v>237</v>
      </c>
    </row>
    <row r="181" spans="1:14" x14ac:dyDescent="0.25">
      <c r="A181" s="2">
        <v>9506</v>
      </c>
      <c r="B181" s="2">
        <v>7601</v>
      </c>
      <c r="C181" s="2" t="s">
        <v>226</v>
      </c>
      <c r="D181" s="2">
        <v>792</v>
      </c>
      <c r="E181" s="2" t="s">
        <v>107</v>
      </c>
      <c r="F181" s="2">
        <v>8868</v>
      </c>
      <c r="G181" s="2">
        <v>0.5</v>
      </c>
      <c r="H181" s="2">
        <v>3034</v>
      </c>
      <c r="I181" s="2" t="s">
        <v>227</v>
      </c>
      <c r="J181" s="2" t="s">
        <v>183</v>
      </c>
      <c r="K181" s="2" t="s">
        <v>183</v>
      </c>
      <c r="L181" s="2">
        <v>276</v>
      </c>
      <c r="M181" s="2" t="s">
        <v>37</v>
      </c>
      <c r="N181" s="2" t="s">
        <v>237</v>
      </c>
    </row>
    <row r="182" spans="1:14" x14ac:dyDescent="0.25">
      <c r="A182" s="2">
        <v>9507</v>
      </c>
      <c r="B182" s="2">
        <v>7601</v>
      </c>
      <c r="C182" s="2" t="s">
        <v>226</v>
      </c>
      <c r="D182" s="2">
        <v>300</v>
      </c>
      <c r="E182" s="2" t="s">
        <v>39</v>
      </c>
      <c r="F182" s="2">
        <v>8532</v>
      </c>
      <c r="G182" s="2">
        <v>0.5</v>
      </c>
      <c r="H182" s="2">
        <v>3824</v>
      </c>
      <c r="I182" s="2" t="s">
        <v>227</v>
      </c>
      <c r="J182" s="2" t="s">
        <v>183</v>
      </c>
      <c r="K182" s="2" t="s">
        <v>183</v>
      </c>
      <c r="L182" s="2">
        <v>276</v>
      </c>
      <c r="M182" s="2" t="s">
        <v>37</v>
      </c>
      <c r="N182" s="2" t="s">
        <v>237</v>
      </c>
    </row>
    <row r="183" spans="1:14" x14ac:dyDescent="0.25">
      <c r="A183" s="2">
        <v>9508</v>
      </c>
      <c r="B183" s="2">
        <v>7601</v>
      </c>
      <c r="C183" s="2" t="s">
        <v>226</v>
      </c>
      <c r="D183" s="2">
        <v>826</v>
      </c>
      <c r="E183" s="2" t="s">
        <v>110</v>
      </c>
      <c r="F183" s="2">
        <v>7616</v>
      </c>
      <c r="G183" s="2">
        <v>0.4</v>
      </c>
      <c r="H183" s="2">
        <v>2167</v>
      </c>
      <c r="I183" s="2" t="s">
        <v>227</v>
      </c>
      <c r="J183" s="2" t="s">
        <v>183</v>
      </c>
      <c r="K183" s="2" t="s">
        <v>183</v>
      </c>
      <c r="L183" s="2">
        <v>276</v>
      </c>
      <c r="M183" s="2" t="s">
        <v>37</v>
      </c>
      <c r="N183" s="2" t="s">
        <v>237</v>
      </c>
    </row>
    <row r="184" spans="1:14" x14ac:dyDescent="0.25">
      <c r="A184" s="2">
        <v>9509</v>
      </c>
      <c r="B184" s="2">
        <v>7601</v>
      </c>
      <c r="C184" s="2" t="s">
        <v>226</v>
      </c>
      <c r="D184" s="2">
        <v>156</v>
      </c>
      <c r="E184" s="2" t="s">
        <v>18</v>
      </c>
      <c r="F184" s="2">
        <v>7527</v>
      </c>
      <c r="G184" s="2">
        <v>0.4</v>
      </c>
      <c r="H184" s="2">
        <v>676</v>
      </c>
      <c r="I184" s="2" t="s">
        <v>227</v>
      </c>
      <c r="J184" s="2" t="s">
        <v>183</v>
      </c>
      <c r="K184" s="2" t="s">
        <v>183</v>
      </c>
      <c r="L184" s="2">
        <v>276</v>
      </c>
      <c r="M184" s="2" t="s">
        <v>37</v>
      </c>
      <c r="N184" s="2" t="s">
        <v>237</v>
      </c>
    </row>
    <row r="185" spans="1:14" x14ac:dyDescent="0.25">
      <c r="A185" s="2">
        <v>9510</v>
      </c>
      <c r="B185" s="2">
        <v>7601</v>
      </c>
      <c r="C185" s="2" t="s">
        <v>226</v>
      </c>
      <c r="D185" s="2">
        <v>642</v>
      </c>
      <c r="E185" s="2" t="s">
        <v>89</v>
      </c>
      <c r="F185" s="2">
        <v>7502</v>
      </c>
      <c r="G185" s="2">
        <v>0.4</v>
      </c>
      <c r="H185" s="2">
        <v>2467</v>
      </c>
      <c r="I185" s="2" t="s">
        <v>227</v>
      </c>
      <c r="J185" s="2" t="s">
        <v>183</v>
      </c>
      <c r="K185" s="2" t="s">
        <v>183</v>
      </c>
      <c r="L185" s="2">
        <v>276</v>
      </c>
      <c r="M185" s="2" t="s">
        <v>37</v>
      </c>
      <c r="N185" s="2" t="s">
        <v>237</v>
      </c>
    </row>
    <row r="186" spans="1:14" x14ac:dyDescent="0.25">
      <c r="A186" s="2">
        <v>9511</v>
      </c>
      <c r="B186" s="2">
        <v>7601</v>
      </c>
      <c r="C186" s="2" t="s">
        <v>226</v>
      </c>
      <c r="D186" s="2">
        <v>276</v>
      </c>
      <c r="E186" s="2" t="s">
        <v>37</v>
      </c>
      <c r="F186" s="2">
        <v>53964</v>
      </c>
      <c r="G186" s="2">
        <v>24.2</v>
      </c>
      <c r="H186" s="2">
        <v>16728.84</v>
      </c>
      <c r="I186" s="2" t="s">
        <v>227</v>
      </c>
      <c r="J186" s="2">
        <v>0</v>
      </c>
      <c r="K186" s="2" t="s">
        <v>235</v>
      </c>
      <c r="L186" s="2">
        <v>348</v>
      </c>
      <c r="M186" s="2" t="s">
        <v>43</v>
      </c>
      <c r="N186" s="2" t="s">
        <v>237</v>
      </c>
    </row>
    <row r="187" spans="1:14" x14ac:dyDescent="0.25">
      <c r="A187" s="2">
        <v>9512</v>
      </c>
      <c r="B187" s="2">
        <v>7601</v>
      </c>
      <c r="C187" s="2" t="s">
        <v>226</v>
      </c>
      <c r="D187" s="2">
        <v>381</v>
      </c>
      <c r="E187" s="2" t="s">
        <v>50</v>
      </c>
      <c r="F187" s="2">
        <v>43367</v>
      </c>
      <c r="G187" s="2">
        <v>19.5</v>
      </c>
      <c r="H187" s="2">
        <v>16252</v>
      </c>
      <c r="I187" s="2" t="s">
        <v>227</v>
      </c>
      <c r="J187" s="2" t="s">
        <v>183</v>
      </c>
      <c r="K187" s="2" t="s">
        <v>183</v>
      </c>
      <c r="L187" s="2">
        <v>348</v>
      </c>
      <c r="M187" s="2" t="s">
        <v>43</v>
      </c>
      <c r="N187" s="2" t="s">
        <v>237</v>
      </c>
    </row>
    <row r="188" spans="1:14" x14ac:dyDescent="0.25">
      <c r="A188" s="2">
        <v>9513</v>
      </c>
      <c r="B188" s="2">
        <v>7601</v>
      </c>
      <c r="C188" s="2" t="s">
        <v>226</v>
      </c>
      <c r="D188" s="2">
        <v>705</v>
      </c>
      <c r="E188" s="2" t="s">
        <v>96</v>
      </c>
      <c r="F188" s="2">
        <v>28020</v>
      </c>
      <c r="G188" s="2">
        <v>12.6</v>
      </c>
      <c r="H188" s="2">
        <v>8686.2000000000007</v>
      </c>
      <c r="I188" s="2" t="s">
        <v>227</v>
      </c>
      <c r="J188" s="2">
        <v>0</v>
      </c>
      <c r="K188" s="2" t="s">
        <v>235</v>
      </c>
      <c r="L188" s="2">
        <v>348</v>
      </c>
      <c r="M188" s="2" t="s">
        <v>43</v>
      </c>
      <c r="N188" s="2" t="s">
        <v>237</v>
      </c>
    </row>
    <row r="189" spans="1:14" x14ac:dyDescent="0.25">
      <c r="A189" s="2">
        <v>9514</v>
      </c>
      <c r="B189" s="2">
        <v>7601</v>
      </c>
      <c r="C189" s="2" t="s">
        <v>226</v>
      </c>
      <c r="D189" s="2">
        <v>642</v>
      </c>
      <c r="E189" s="2" t="s">
        <v>89</v>
      </c>
      <c r="F189" s="2">
        <v>18476</v>
      </c>
      <c r="G189" s="2">
        <v>8.3000000000000007</v>
      </c>
      <c r="H189" s="2">
        <v>5727.56</v>
      </c>
      <c r="I189" s="2" t="s">
        <v>227</v>
      </c>
      <c r="J189" s="2">
        <v>0</v>
      </c>
      <c r="K189" s="2" t="s">
        <v>235</v>
      </c>
      <c r="L189" s="2">
        <v>348</v>
      </c>
      <c r="M189" s="2" t="s">
        <v>43</v>
      </c>
      <c r="N189" s="2" t="s">
        <v>237</v>
      </c>
    </row>
    <row r="190" spans="1:14" x14ac:dyDescent="0.25">
      <c r="A190" s="2">
        <v>9515</v>
      </c>
      <c r="B190" s="2">
        <v>7601</v>
      </c>
      <c r="C190" s="2" t="s">
        <v>226</v>
      </c>
      <c r="D190" s="2">
        <v>191</v>
      </c>
      <c r="E190" s="2" t="s">
        <v>21</v>
      </c>
      <c r="F190" s="2">
        <v>14395</v>
      </c>
      <c r="G190" s="2">
        <v>6.5</v>
      </c>
      <c r="H190" s="2">
        <v>4462.45</v>
      </c>
      <c r="I190" s="2" t="s">
        <v>227</v>
      </c>
      <c r="J190" s="2">
        <v>0</v>
      </c>
      <c r="K190" s="2" t="s">
        <v>235</v>
      </c>
      <c r="L190" s="2">
        <v>348</v>
      </c>
      <c r="M190" s="2" t="s">
        <v>43</v>
      </c>
      <c r="N190" s="2" t="s">
        <v>237</v>
      </c>
    </row>
    <row r="191" spans="1:14" x14ac:dyDescent="0.25">
      <c r="A191" s="2">
        <v>9516</v>
      </c>
      <c r="B191" s="2">
        <v>7601</v>
      </c>
      <c r="C191" s="2" t="s">
        <v>226</v>
      </c>
      <c r="D191" s="2">
        <v>203</v>
      </c>
      <c r="E191" s="2" t="s">
        <v>211</v>
      </c>
      <c r="F191" s="2">
        <v>14371</v>
      </c>
      <c r="G191" s="2">
        <v>6.5</v>
      </c>
      <c r="H191" s="2">
        <v>4455.01</v>
      </c>
      <c r="I191" s="2" t="s">
        <v>227</v>
      </c>
      <c r="J191" s="2">
        <v>0</v>
      </c>
      <c r="K191" s="2" t="s">
        <v>235</v>
      </c>
      <c r="L191" s="2">
        <v>348</v>
      </c>
      <c r="M191" s="2" t="s">
        <v>43</v>
      </c>
      <c r="N191" s="2" t="s">
        <v>237</v>
      </c>
    </row>
    <row r="192" spans="1:14" x14ac:dyDescent="0.25">
      <c r="A192" s="2">
        <v>9517</v>
      </c>
      <c r="B192" s="2">
        <v>7601</v>
      </c>
      <c r="C192" s="2" t="s">
        <v>226</v>
      </c>
      <c r="D192" s="2">
        <v>616</v>
      </c>
      <c r="E192" s="2" t="s">
        <v>86</v>
      </c>
      <c r="F192" s="2">
        <v>11118</v>
      </c>
      <c r="G192" s="2">
        <v>5</v>
      </c>
      <c r="H192" s="2">
        <v>3446.58</v>
      </c>
      <c r="I192" s="2" t="s">
        <v>227</v>
      </c>
      <c r="J192" s="2">
        <v>0</v>
      </c>
      <c r="K192" s="2" t="s">
        <v>235</v>
      </c>
      <c r="L192" s="2">
        <v>348</v>
      </c>
      <c r="M192" s="2" t="s">
        <v>43</v>
      </c>
      <c r="N192" s="2" t="s">
        <v>237</v>
      </c>
    </row>
    <row r="193" spans="1:14" x14ac:dyDescent="0.25">
      <c r="A193" s="2">
        <v>9518</v>
      </c>
      <c r="B193" s="2">
        <v>7601</v>
      </c>
      <c r="C193" s="2" t="s">
        <v>226</v>
      </c>
      <c r="D193" s="2">
        <v>703</v>
      </c>
      <c r="E193" s="2" t="s">
        <v>95</v>
      </c>
      <c r="F193" s="2">
        <v>7701</v>
      </c>
      <c r="G193" s="2">
        <v>3.5</v>
      </c>
      <c r="H193" s="2">
        <v>2387.31</v>
      </c>
      <c r="I193" s="2" t="s">
        <v>227</v>
      </c>
      <c r="J193" s="2">
        <v>0</v>
      </c>
      <c r="K193" s="2" t="s">
        <v>235</v>
      </c>
      <c r="L193" s="2">
        <v>348</v>
      </c>
      <c r="M193" s="2" t="s">
        <v>43</v>
      </c>
      <c r="N193" s="2" t="s">
        <v>237</v>
      </c>
    </row>
    <row r="194" spans="1:14" x14ac:dyDescent="0.25">
      <c r="A194" s="2">
        <v>9519</v>
      </c>
      <c r="B194" s="2">
        <v>7601</v>
      </c>
      <c r="C194" s="2" t="s">
        <v>226</v>
      </c>
      <c r="D194" s="2">
        <v>40</v>
      </c>
      <c r="E194" s="2" t="s">
        <v>5</v>
      </c>
      <c r="F194" s="2">
        <v>7387</v>
      </c>
      <c r="G194" s="2">
        <v>3.3</v>
      </c>
      <c r="H194" s="2">
        <v>2289.9699999999998</v>
      </c>
      <c r="I194" s="2" t="s">
        <v>227</v>
      </c>
      <c r="J194" s="2">
        <v>0</v>
      </c>
      <c r="K194" s="2" t="s">
        <v>235</v>
      </c>
      <c r="L194" s="2">
        <v>348</v>
      </c>
      <c r="M194" s="2" t="s">
        <v>43</v>
      </c>
      <c r="N194" s="2" t="s">
        <v>237</v>
      </c>
    </row>
    <row r="195" spans="1:14" x14ac:dyDescent="0.25">
      <c r="A195" s="2">
        <v>9520</v>
      </c>
      <c r="B195" s="2">
        <v>7601</v>
      </c>
      <c r="C195" s="2" t="s">
        <v>226</v>
      </c>
      <c r="D195" s="2">
        <v>56</v>
      </c>
      <c r="E195" s="2" t="s">
        <v>11</v>
      </c>
      <c r="F195" s="2">
        <v>6135</v>
      </c>
      <c r="G195" s="2">
        <v>2.8</v>
      </c>
      <c r="H195" s="2">
        <v>1580</v>
      </c>
      <c r="I195" s="2" t="s">
        <v>227</v>
      </c>
      <c r="J195" s="2" t="s">
        <v>183</v>
      </c>
      <c r="K195" s="2" t="s">
        <v>183</v>
      </c>
      <c r="L195" s="2">
        <v>348</v>
      </c>
      <c r="M195" s="2" t="s">
        <v>43</v>
      </c>
      <c r="N195" s="2" t="s">
        <v>237</v>
      </c>
    </row>
    <row r="196" spans="1:14" x14ac:dyDescent="0.25">
      <c r="A196" s="2">
        <v>9521</v>
      </c>
      <c r="B196" s="2">
        <v>7601</v>
      </c>
      <c r="C196" s="2" t="s">
        <v>226</v>
      </c>
      <c r="D196" s="2">
        <v>688</v>
      </c>
      <c r="E196" s="2" t="s">
        <v>92</v>
      </c>
      <c r="F196" s="2">
        <v>5371</v>
      </c>
      <c r="G196" s="2">
        <v>2.4</v>
      </c>
      <c r="H196" s="2">
        <v>2144</v>
      </c>
      <c r="I196" s="2" t="s">
        <v>227</v>
      </c>
      <c r="J196" s="2" t="s">
        <v>183</v>
      </c>
      <c r="K196" s="2" t="s">
        <v>183</v>
      </c>
      <c r="L196" s="2">
        <v>348</v>
      </c>
      <c r="M196" s="2" t="s">
        <v>43</v>
      </c>
      <c r="N196" s="2" t="s">
        <v>237</v>
      </c>
    </row>
    <row r="197" spans="1:14" x14ac:dyDescent="0.25">
      <c r="A197" s="2">
        <v>9522</v>
      </c>
      <c r="B197" s="2">
        <v>7601</v>
      </c>
      <c r="C197" s="2" t="s">
        <v>226</v>
      </c>
      <c r="D197" s="2">
        <v>100</v>
      </c>
      <c r="E197" s="2" t="s">
        <v>15</v>
      </c>
      <c r="F197" s="2">
        <v>3298</v>
      </c>
      <c r="G197" s="2">
        <v>1.5</v>
      </c>
      <c r="H197" s="2">
        <v>1254</v>
      </c>
      <c r="I197" s="2" t="s">
        <v>227</v>
      </c>
      <c r="J197" s="2" t="s">
        <v>183</v>
      </c>
      <c r="K197" s="2" t="s">
        <v>183</v>
      </c>
      <c r="L197" s="2">
        <v>348</v>
      </c>
      <c r="M197" s="2" t="s">
        <v>43</v>
      </c>
      <c r="N197" s="2" t="s">
        <v>237</v>
      </c>
    </row>
    <row r="198" spans="1:14" x14ac:dyDescent="0.25">
      <c r="A198" s="2">
        <v>9523</v>
      </c>
      <c r="B198" s="2">
        <v>7601</v>
      </c>
      <c r="C198" s="2" t="s">
        <v>226</v>
      </c>
      <c r="D198" s="2">
        <v>807</v>
      </c>
      <c r="E198" s="2" t="s">
        <v>239</v>
      </c>
      <c r="F198" s="2">
        <v>2576</v>
      </c>
      <c r="G198" s="2">
        <v>1.2</v>
      </c>
      <c r="H198" s="2">
        <v>1019</v>
      </c>
      <c r="I198" s="2" t="s">
        <v>227</v>
      </c>
      <c r="J198" s="2" t="s">
        <v>183</v>
      </c>
      <c r="K198" s="2" t="s">
        <v>183</v>
      </c>
      <c r="L198" s="2">
        <v>348</v>
      </c>
      <c r="M198" s="2" t="s">
        <v>43</v>
      </c>
      <c r="N198" s="2" t="s">
        <v>237</v>
      </c>
    </row>
    <row r="199" spans="1:14" x14ac:dyDescent="0.25">
      <c r="A199" s="2">
        <v>9524</v>
      </c>
      <c r="B199" s="2">
        <v>7601</v>
      </c>
      <c r="C199" s="2" t="s">
        <v>226</v>
      </c>
      <c r="D199" s="2">
        <v>792</v>
      </c>
      <c r="E199" s="2" t="s">
        <v>107</v>
      </c>
      <c r="F199" s="2">
        <v>2392</v>
      </c>
      <c r="G199" s="2">
        <v>1.1000000000000001</v>
      </c>
      <c r="H199" s="2">
        <v>901</v>
      </c>
      <c r="I199" s="2" t="s">
        <v>227</v>
      </c>
      <c r="J199" s="2" t="s">
        <v>183</v>
      </c>
      <c r="K199" s="2" t="s">
        <v>183</v>
      </c>
      <c r="L199" s="2">
        <v>348</v>
      </c>
      <c r="M199" s="2" t="s">
        <v>43</v>
      </c>
      <c r="N199" s="2" t="s">
        <v>237</v>
      </c>
    </row>
    <row r="200" spans="1:14" x14ac:dyDescent="0.25">
      <c r="A200" s="2">
        <v>9525</v>
      </c>
      <c r="B200" s="2">
        <v>7601</v>
      </c>
      <c r="C200" s="2" t="s">
        <v>226</v>
      </c>
      <c r="D200" s="2">
        <v>842</v>
      </c>
      <c r="E200" s="2" t="s">
        <v>229</v>
      </c>
      <c r="F200" s="2">
        <v>2262</v>
      </c>
      <c r="G200" s="2">
        <v>1</v>
      </c>
      <c r="H200" s="2">
        <v>528</v>
      </c>
      <c r="I200" s="2" t="s">
        <v>227</v>
      </c>
      <c r="J200" s="2" t="s">
        <v>183</v>
      </c>
      <c r="K200" s="2" t="s">
        <v>183</v>
      </c>
      <c r="L200" s="2">
        <v>348</v>
      </c>
      <c r="M200" s="2" t="s">
        <v>43</v>
      </c>
      <c r="N200" s="2" t="s">
        <v>237</v>
      </c>
    </row>
    <row r="201" spans="1:14" x14ac:dyDescent="0.25">
      <c r="A201" s="2">
        <v>9526</v>
      </c>
      <c r="B201" s="2">
        <v>7601</v>
      </c>
      <c r="C201" s="2" t="s">
        <v>226</v>
      </c>
      <c r="D201" s="2">
        <v>70</v>
      </c>
      <c r="E201" s="2" t="s">
        <v>236</v>
      </c>
      <c r="F201" s="2">
        <v>1703</v>
      </c>
      <c r="G201" s="2">
        <v>0.8</v>
      </c>
      <c r="H201" s="2">
        <v>688</v>
      </c>
      <c r="I201" s="2" t="s">
        <v>227</v>
      </c>
      <c r="J201" s="2" t="s">
        <v>183</v>
      </c>
      <c r="K201" s="2" t="s">
        <v>183</v>
      </c>
      <c r="L201" s="2">
        <v>348</v>
      </c>
      <c r="M201" s="2" t="s">
        <v>43</v>
      </c>
      <c r="N201" s="2" t="s">
        <v>237</v>
      </c>
    </row>
    <row r="202" spans="1:14" x14ac:dyDescent="0.25">
      <c r="A202" s="2">
        <v>9527</v>
      </c>
      <c r="B202" s="2">
        <v>7601</v>
      </c>
      <c r="C202" s="2" t="s">
        <v>226</v>
      </c>
      <c r="D202" s="2">
        <v>156</v>
      </c>
      <c r="E202" s="2" t="s">
        <v>18</v>
      </c>
      <c r="F202" s="2">
        <v>153</v>
      </c>
      <c r="G202" s="2">
        <v>0.1</v>
      </c>
      <c r="H202" s="2">
        <v>50</v>
      </c>
      <c r="I202" s="2" t="s">
        <v>227</v>
      </c>
      <c r="J202" s="2" t="s">
        <v>183</v>
      </c>
      <c r="K202" s="2" t="s">
        <v>183</v>
      </c>
      <c r="L202" s="2">
        <v>348</v>
      </c>
      <c r="M202" s="2" t="s">
        <v>43</v>
      </c>
      <c r="N202" s="2" t="s">
        <v>237</v>
      </c>
    </row>
    <row r="203" spans="1:14" x14ac:dyDescent="0.25">
      <c r="A203" s="2">
        <v>9528</v>
      </c>
      <c r="B203" s="2">
        <v>7601</v>
      </c>
      <c r="C203" s="2" t="s">
        <v>226</v>
      </c>
      <c r="D203" s="2">
        <v>188</v>
      </c>
      <c r="E203" s="2" t="s">
        <v>20</v>
      </c>
      <c r="F203" s="2">
        <v>1</v>
      </c>
      <c r="G203" s="2">
        <v>0</v>
      </c>
      <c r="H203" s="2">
        <v>0</v>
      </c>
      <c r="I203" s="2" t="s">
        <v>227</v>
      </c>
      <c r="J203" s="2" t="s">
        <v>183</v>
      </c>
      <c r="K203" s="2" t="s">
        <v>183</v>
      </c>
      <c r="L203" s="2">
        <v>348</v>
      </c>
      <c r="M203" s="2" t="s">
        <v>43</v>
      </c>
      <c r="N203" s="2" t="s">
        <v>237</v>
      </c>
    </row>
    <row r="204" spans="1:14" x14ac:dyDescent="0.25">
      <c r="A204" s="2">
        <v>9529</v>
      </c>
      <c r="B204" s="2">
        <v>7601</v>
      </c>
      <c r="C204" s="2" t="s">
        <v>226</v>
      </c>
      <c r="D204" s="2">
        <v>410</v>
      </c>
      <c r="E204" s="2" t="s">
        <v>230</v>
      </c>
      <c r="F204" s="2">
        <v>1144448</v>
      </c>
      <c r="G204" s="2">
        <v>16.2</v>
      </c>
      <c r="H204" s="2">
        <v>407100</v>
      </c>
      <c r="I204" s="2" t="s">
        <v>227</v>
      </c>
      <c r="J204" s="2" t="s">
        <v>183</v>
      </c>
      <c r="K204" s="2" t="s">
        <v>183</v>
      </c>
      <c r="L204" s="2">
        <v>699</v>
      </c>
      <c r="M204" s="2" t="s">
        <v>45</v>
      </c>
      <c r="N204" s="2" t="s">
        <v>237</v>
      </c>
    </row>
    <row r="205" spans="1:14" x14ac:dyDescent="0.25">
      <c r="A205" s="2">
        <v>9530</v>
      </c>
      <c r="B205" s="2">
        <v>7601</v>
      </c>
      <c r="C205" s="2" t="s">
        <v>226</v>
      </c>
      <c r="D205" s="2">
        <v>528</v>
      </c>
      <c r="E205" s="2" t="s">
        <v>75</v>
      </c>
      <c r="F205" s="2">
        <v>873170</v>
      </c>
      <c r="G205" s="2">
        <v>12.3</v>
      </c>
      <c r="H205" s="2">
        <v>297168</v>
      </c>
      <c r="I205" s="2" t="s">
        <v>227</v>
      </c>
      <c r="J205" s="2" t="s">
        <v>183</v>
      </c>
      <c r="K205" s="2" t="s">
        <v>183</v>
      </c>
      <c r="L205" s="2">
        <v>699</v>
      </c>
      <c r="M205" s="2" t="s">
        <v>45</v>
      </c>
      <c r="N205" s="2" t="s">
        <v>237</v>
      </c>
    </row>
    <row r="206" spans="1:14" x14ac:dyDescent="0.25">
      <c r="A206" s="2">
        <v>9531</v>
      </c>
      <c r="B206" s="2">
        <v>7601</v>
      </c>
      <c r="C206" s="2" t="s">
        <v>226</v>
      </c>
      <c r="D206" s="2">
        <v>458</v>
      </c>
      <c r="E206" s="2" t="s">
        <v>66</v>
      </c>
      <c r="F206" s="2">
        <v>591947</v>
      </c>
      <c r="G206" s="2">
        <v>8.4</v>
      </c>
      <c r="H206" s="2">
        <v>205800</v>
      </c>
      <c r="I206" s="2" t="s">
        <v>227</v>
      </c>
      <c r="J206" s="2" t="s">
        <v>183</v>
      </c>
      <c r="K206" s="2" t="s">
        <v>183</v>
      </c>
      <c r="L206" s="2">
        <v>699</v>
      </c>
      <c r="M206" s="2" t="s">
        <v>45</v>
      </c>
      <c r="N206" s="2" t="s">
        <v>237</v>
      </c>
    </row>
    <row r="207" spans="1:14" x14ac:dyDescent="0.25">
      <c r="A207" s="2">
        <v>9532</v>
      </c>
      <c r="B207" s="2">
        <v>7601</v>
      </c>
      <c r="C207" s="2" t="s">
        <v>226</v>
      </c>
      <c r="D207" s="2">
        <v>792</v>
      </c>
      <c r="E207" s="2" t="s">
        <v>107</v>
      </c>
      <c r="F207" s="2">
        <v>488477</v>
      </c>
      <c r="G207" s="2">
        <v>6.9</v>
      </c>
      <c r="H207" s="2">
        <v>176941</v>
      </c>
      <c r="I207" s="2" t="s">
        <v>227</v>
      </c>
      <c r="J207" s="2" t="s">
        <v>183</v>
      </c>
      <c r="K207" s="2" t="s">
        <v>183</v>
      </c>
      <c r="L207" s="2">
        <v>699</v>
      </c>
      <c r="M207" s="2" t="s">
        <v>45</v>
      </c>
      <c r="N207" s="2" t="s">
        <v>237</v>
      </c>
    </row>
    <row r="208" spans="1:14" x14ac:dyDescent="0.25">
      <c r="A208" s="2">
        <v>9533</v>
      </c>
      <c r="B208" s="2">
        <v>7601</v>
      </c>
      <c r="C208" s="2" t="s">
        <v>226</v>
      </c>
      <c r="D208" s="2">
        <v>484</v>
      </c>
      <c r="E208" s="2" t="s">
        <v>70</v>
      </c>
      <c r="F208" s="2">
        <v>464543</v>
      </c>
      <c r="G208" s="2">
        <v>6.6</v>
      </c>
      <c r="H208" s="2">
        <v>157079</v>
      </c>
      <c r="I208" s="2" t="s">
        <v>227</v>
      </c>
      <c r="J208" s="2" t="s">
        <v>183</v>
      </c>
      <c r="K208" s="2" t="s">
        <v>183</v>
      </c>
      <c r="L208" s="2">
        <v>699</v>
      </c>
      <c r="M208" s="2" t="s">
        <v>45</v>
      </c>
      <c r="N208" s="2" t="s">
        <v>237</v>
      </c>
    </row>
    <row r="209" spans="1:14" x14ac:dyDescent="0.25">
      <c r="A209" s="2">
        <v>9534</v>
      </c>
      <c r="B209" s="2">
        <v>7601</v>
      </c>
      <c r="C209" s="2" t="s">
        <v>226</v>
      </c>
      <c r="D209" s="2">
        <v>842</v>
      </c>
      <c r="E209" s="2" t="s">
        <v>229</v>
      </c>
      <c r="F209" s="2">
        <v>376906</v>
      </c>
      <c r="G209" s="2">
        <v>5.3</v>
      </c>
      <c r="H209" s="2">
        <v>113204</v>
      </c>
      <c r="I209" s="2" t="s">
        <v>227</v>
      </c>
      <c r="J209" s="2" t="s">
        <v>183</v>
      </c>
      <c r="K209" s="2" t="s">
        <v>183</v>
      </c>
      <c r="L209" s="2">
        <v>699</v>
      </c>
      <c r="M209" s="2" t="s">
        <v>45</v>
      </c>
      <c r="N209" s="2" t="s">
        <v>237</v>
      </c>
    </row>
    <row r="210" spans="1:14" x14ac:dyDescent="0.25">
      <c r="A210" s="2">
        <v>9535</v>
      </c>
      <c r="B210" s="2">
        <v>7601</v>
      </c>
      <c r="C210" s="2" t="s">
        <v>226</v>
      </c>
      <c r="D210" s="2">
        <v>156</v>
      </c>
      <c r="E210" s="2" t="s">
        <v>18</v>
      </c>
      <c r="F210" s="2">
        <v>360378</v>
      </c>
      <c r="G210" s="2">
        <v>5.0999999999999996</v>
      </c>
      <c r="H210" s="2">
        <v>144942</v>
      </c>
      <c r="I210" s="2" t="s">
        <v>227</v>
      </c>
      <c r="J210" s="2" t="s">
        <v>183</v>
      </c>
      <c r="K210" s="2" t="s">
        <v>183</v>
      </c>
      <c r="L210" s="2">
        <v>699</v>
      </c>
      <c r="M210" s="2" t="s">
        <v>45</v>
      </c>
      <c r="N210" s="2" t="s">
        <v>237</v>
      </c>
    </row>
    <row r="211" spans="1:14" x14ac:dyDescent="0.25">
      <c r="A211" s="2">
        <v>9536</v>
      </c>
      <c r="B211" s="2">
        <v>7601</v>
      </c>
      <c r="C211" s="2" t="s">
        <v>226</v>
      </c>
      <c r="D211" s="2">
        <v>381</v>
      </c>
      <c r="E211" s="2" t="s">
        <v>50</v>
      </c>
      <c r="F211" s="2">
        <v>359278</v>
      </c>
      <c r="G211" s="2">
        <v>5.0999999999999996</v>
      </c>
      <c r="H211" s="2">
        <v>117612</v>
      </c>
      <c r="I211" s="2" t="s">
        <v>227</v>
      </c>
      <c r="J211" s="2" t="s">
        <v>183</v>
      </c>
      <c r="K211" s="2" t="s">
        <v>183</v>
      </c>
      <c r="L211" s="2">
        <v>699</v>
      </c>
      <c r="M211" s="2" t="s">
        <v>45</v>
      </c>
      <c r="N211" s="2" t="s">
        <v>237</v>
      </c>
    </row>
    <row r="212" spans="1:14" x14ac:dyDescent="0.25">
      <c r="A212" s="2">
        <v>9537</v>
      </c>
      <c r="B212" s="2">
        <v>7601</v>
      </c>
      <c r="C212" s="2" t="s">
        <v>226</v>
      </c>
      <c r="D212" s="2">
        <v>392</v>
      </c>
      <c r="E212" s="2" t="s">
        <v>51</v>
      </c>
      <c r="F212" s="2">
        <v>292915</v>
      </c>
      <c r="G212" s="2">
        <v>4.0999999999999996</v>
      </c>
      <c r="H212" s="2">
        <v>113346</v>
      </c>
      <c r="I212" s="2" t="s">
        <v>227</v>
      </c>
      <c r="J212" s="2" t="s">
        <v>183</v>
      </c>
      <c r="K212" s="2" t="s">
        <v>183</v>
      </c>
      <c r="L212" s="2">
        <v>699</v>
      </c>
      <c r="M212" s="2" t="s">
        <v>45</v>
      </c>
      <c r="N212" s="2" t="s">
        <v>237</v>
      </c>
    </row>
    <row r="213" spans="1:14" x14ac:dyDescent="0.25">
      <c r="A213" s="2">
        <v>9538</v>
      </c>
      <c r="B213" s="2">
        <v>7601</v>
      </c>
      <c r="C213" s="2" t="s">
        <v>226</v>
      </c>
      <c r="D213" s="2">
        <v>704</v>
      </c>
      <c r="E213" s="2" t="s">
        <v>232</v>
      </c>
      <c r="F213" s="2">
        <v>256336</v>
      </c>
      <c r="G213" s="2">
        <v>3.6</v>
      </c>
      <c r="H213" s="2">
        <v>90327</v>
      </c>
      <c r="I213" s="2" t="s">
        <v>227</v>
      </c>
      <c r="J213" s="2" t="s">
        <v>183</v>
      </c>
      <c r="K213" s="2" t="s">
        <v>183</v>
      </c>
      <c r="L213" s="2">
        <v>699</v>
      </c>
      <c r="M213" s="2" t="s">
        <v>45</v>
      </c>
      <c r="N213" s="2" t="s">
        <v>237</v>
      </c>
    </row>
    <row r="214" spans="1:14" x14ac:dyDescent="0.25">
      <c r="A214" s="2">
        <v>9539</v>
      </c>
      <c r="B214" s="2">
        <v>7601</v>
      </c>
      <c r="C214" s="2" t="s">
        <v>226</v>
      </c>
      <c r="D214" s="2">
        <v>300</v>
      </c>
      <c r="E214" s="2" t="s">
        <v>39</v>
      </c>
      <c r="F214" s="2">
        <v>241680</v>
      </c>
      <c r="G214" s="2">
        <v>3.4</v>
      </c>
      <c r="H214" s="2">
        <v>76997</v>
      </c>
      <c r="I214" s="2" t="s">
        <v>227</v>
      </c>
      <c r="J214" s="2" t="s">
        <v>183</v>
      </c>
      <c r="K214" s="2" t="s">
        <v>183</v>
      </c>
      <c r="L214" s="2">
        <v>699</v>
      </c>
      <c r="M214" s="2" t="s">
        <v>45</v>
      </c>
      <c r="N214" s="2" t="s">
        <v>237</v>
      </c>
    </row>
    <row r="215" spans="1:14" x14ac:dyDescent="0.25">
      <c r="A215" s="2">
        <v>9540</v>
      </c>
      <c r="B215" s="2">
        <v>7601</v>
      </c>
      <c r="C215" s="2" t="s">
        <v>226</v>
      </c>
      <c r="D215" s="2">
        <v>764</v>
      </c>
      <c r="E215" s="2" t="s">
        <v>103</v>
      </c>
      <c r="F215" s="2">
        <v>233112</v>
      </c>
      <c r="G215" s="2">
        <v>3.3</v>
      </c>
      <c r="H215" s="2">
        <v>83957</v>
      </c>
      <c r="I215" s="2" t="s">
        <v>227</v>
      </c>
      <c r="J215" s="2" t="s">
        <v>183</v>
      </c>
      <c r="K215" s="2" t="s">
        <v>183</v>
      </c>
      <c r="L215" s="2">
        <v>699</v>
      </c>
      <c r="M215" s="2" t="s">
        <v>45</v>
      </c>
      <c r="N215" s="2" t="s">
        <v>237</v>
      </c>
    </row>
    <row r="216" spans="1:14" x14ac:dyDescent="0.25">
      <c r="A216" s="2">
        <v>9541</v>
      </c>
      <c r="B216" s="2">
        <v>7601</v>
      </c>
      <c r="C216" s="2" t="s">
        <v>226</v>
      </c>
      <c r="D216" s="2">
        <v>191</v>
      </c>
      <c r="E216" s="2" t="s">
        <v>21</v>
      </c>
      <c r="F216" s="2">
        <v>224641</v>
      </c>
      <c r="G216" s="2">
        <v>3.2</v>
      </c>
      <c r="H216" s="2">
        <v>74305</v>
      </c>
      <c r="I216" s="2" t="s">
        <v>227</v>
      </c>
      <c r="J216" s="2" t="s">
        <v>183</v>
      </c>
      <c r="K216" s="2" t="s">
        <v>183</v>
      </c>
      <c r="L216" s="2">
        <v>699</v>
      </c>
      <c r="M216" s="2" t="s">
        <v>45</v>
      </c>
      <c r="N216" s="2" t="s">
        <v>237</v>
      </c>
    </row>
    <row r="217" spans="1:14" x14ac:dyDescent="0.25">
      <c r="A217" s="2">
        <v>9542</v>
      </c>
      <c r="B217" s="2">
        <v>7601</v>
      </c>
      <c r="C217" s="2" t="s">
        <v>226</v>
      </c>
      <c r="D217" s="2">
        <v>158</v>
      </c>
      <c r="E217" s="2" t="s">
        <v>233</v>
      </c>
      <c r="F217" s="2">
        <v>217804</v>
      </c>
      <c r="G217" s="2">
        <v>3.1</v>
      </c>
      <c r="H217" s="2">
        <v>76483</v>
      </c>
      <c r="I217" s="2" t="s">
        <v>227</v>
      </c>
      <c r="J217" s="2" t="s">
        <v>183</v>
      </c>
      <c r="K217" s="2" t="s">
        <v>183</v>
      </c>
      <c r="L217" s="2">
        <v>699</v>
      </c>
      <c r="M217" s="2" t="s">
        <v>45</v>
      </c>
      <c r="N217" s="2" t="s">
        <v>237</v>
      </c>
    </row>
    <row r="218" spans="1:14" x14ac:dyDescent="0.25">
      <c r="A218" s="2">
        <v>9543</v>
      </c>
      <c r="B218" s="2">
        <v>7601</v>
      </c>
      <c r="C218" s="2" t="s">
        <v>226</v>
      </c>
      <c r="D218" s="2">
        <v>56</v>
      </c>
      <c r="E218" s="2" t="s">
        <v>11</v>
      </c>
      <c r="F218" s="2">
        <v>178371</v>
      </c>
      <c r="G218" s="2">
        <v>2.5</v>
      </c>
      <c r="H218" s="2">
        <v>57501</v>
      </c>
      <c r="I218" s="2" t="s">
        <v>227</v>
      </c>
      <c r="J218" s="2" t="s">
        <v>183</v>
      </c>
      <c r="K218" s="2" t="s">
        <v>183</v>
      </c>
      <c r="L218" s="2">
        <v>699</v>
      </c>
      <c r="M218" s="2" t="s">
        <v>45</v>
      </c>
      <c r="N218" s="2" t="s">
        <v>237</v>
      </c>
    </row>
    <row r="219" spans="1:14" x14ac:dyDescent="0.25">
      <c r="A219" s="2">
        <v>9544</v>
      </c>
      <c r="B219" s="2">
        <v>7601</v>
      </c>
      <c r="C219" s="2" t="s">
        <v>226</v>
      </c>
      <c r="D219" s="2">
        <v>724</v>
      </c>
      <c r="E219" s="2" t="s">
        <v>98</v>
      </c>
      <c r="F219" s="2">
        <v>127202</v>
      </c>
      <c r="G219" s="2">
        <v>1.8</v>
      </c>
      <c r="H219" s="2">
        <v>37093</v>
      </c>
      <c r="I219" s="2" t="s">
        <v>227</v>
      </c>
      <c r="J219" s="2" t="s">
        <v>183</v>
      </c>
      <c r="K219" s="2" t="s">
        <v>183</v>
      </c>
      <c r="L219" s="2">
        <v>699</v>
      </c>
      <c r="M219" s="2" t="s">
        <v>45</v>
      </c>
      <c r="N219" s="2" t="s">
        <v>237</v>
      </c>
    </row>
    <row r="220" spans="1:14" x14ac:dyDescent="0.25">
      <c r="A220" s="2">
        <v>9545</v>
      </c>
      <c r="B220" s="2">
        <v>7601</v>
      </c>
      <c r="C220" s="2" t="s">
        <v>226</v>
      </c>
      <c r="D220" s="2">
        <v>50</v>
      </c>
      <c r="E220" s="2" t="s">
        <v>8</v>
      </c>
      <c r="F220" s="2">
        <v>80855</v>
      </c>
      <c r="G220" s="2">
        <v>1.1000000000000001</v>
      </c>
      <c r="H220" s="2">
        <v>27291</v>
      </c>
      <c r="I220" s="2" t="s">
        <v>227</v>
      </c>
      <c r="J220" s="2" t="s">
        <v>183</v>
      </c>
      <c r="K220" s="2" t="s">
        <v>183</v>
      </c>
      <c r="L220" s="2">
        <v>699</v>
      </c>
      <c r="M220" s="2" t="s">
        <v>45</v>
      </c>
      <c r="N220" s="2" t="s">
        <v>237</v>
      </c>
    </row>
    <row r="221" spans="1:14" x14ac:dyDescent="0.25">
      <c r="A221" s="2">
        <v>9546</v>
      </c>
      <c r="B221" s="2">
        <v>7601</v>
      </c>
      <c r="C221" s="2" t="s">
        <v>226</v>
      </c>
      <c r="D221" s="2">
        <v>48</v>
      </c>
      <c r="E221" s="2" t="s">
        <v>7</v>
      </c>
      <c r="F221" s="2">
        <v>64731</v>
      </c>
      <c r="G221" s="2">
        <v>0.9</v>
      </c>
      <c r="H221" s="2">
        <v>23053</v>
      </c>
      <c r="I221" s="2" t="s">
        <v>227</v>
      </c>
      <c r="J221" s="2" t="s">
        <v>183</v>
      </c>
      <c r="K221" s="2" t="s">
        <v>183</v>
      </c>
      <c r="L221" s="2">
        <v>699</v>
      </c>
      <c r="M221" s="2" t="s">
        <v>45</v>
      </c>
      <c r="N221" s="2" t="s">
        <v>237</v>
      </c>
    </row>
    <row r="222" spans="1:14" x14ac:dyDescent="0.25">
      <c r="A222" s="2">
        <v>9547</v>
      </c>
      <c r="B222" s="2">
        <v>7601</v>
      </c>
      <c r="C222" s="2" t="s">
        <v>226</v>
      </c>
      <c r="D222" s="2">
        <v>76</v>
      </c>
      <c r="E222" s="2" t="s">
        <v>14</v>
      </c>
      <c r="F222" s="2">
        <v>56098</v>
      </c>
      <c r="G222" s="2">
        <v>0.8</v>
      </c>
      <c r="H222" s="2">
        <v>20551</v>
      </c>
      <c r="I222" s="2" t="s">
        <v>227</v>
      </c>
      <c r="J222" s="2" t="s">
        <v>183</v>
      </c>
      <c r="K222" s="2" t="s">
        <v>183</v>
      </c>
      <c r="L222" s="2">
        <v>699</v>
      </c>
      <c r="M222" s="2" t="s">
        <v>45</v>
      </c>
      <c r="N222" s="2" t="s">
        <v>237</v>
      </c>
    </row>
    <row r="223" spans="1:14" x14ac:dyDescent="0.25">
      <c r="A223" s="2">
        <v>9548</v>
      </c>
      <c r="B223" s="2">
        <v>7601</v>
      </c>
      <c r="C223" s="2" t="s">
        <v>226</v>
      </c>
      <c r="D223" s="2">
        <v>36</v>
      </c>
      <c r="E223" s="2" t="s">
        <v>4</v>
      </c>
      <c r="F223" s="2">
        <v>52454</v>
      </c>
      <c r="G223" s="2">
        <v>0.7</v>
      </c>
      <c r="H223" s="2">
        <v>16791</v>
      </c>
      <c r="I223" s="2" t="s">
        <v>227</v>
      </c>
      <c r="J223" s="2" t="s">
        <v>183</v>
      </c>
      <c r="K223" s="2" t="s">
        <v>183</v>
      </c>
      <c r="L223" s="2">
        <v>699</v>
      </c>
      <c r="M223" s="2" t="s">
        <v>45</v>
      </c>
      <c r="N223" s="2" t="s">
        <v>237</v>
      </c>
    </row>
    <row r="224" spans="1:14" x14ac:dyDescent="0.25">
      <c r="A224" s="2">
        <v>9549</v>
      </c>
      <c r="B224" s="2">
        <v>7601</v>
      </c>
      <c r="C224" s="2" t="s">
        <v>226</v>
      </c>
      <c r="D224" s="2">
        <v>276</v>
      </c>
      <c r="E224" s="2" t="s">
        <v>37</v>
      </c>
      <c r="F224" s="2">
        <v>50313</v>
      </c>
      <c r="G224" s="2">
        <v>0.7</v>
      </c>
      <c r="H224" s="2">
        <v>14175</v>
      </c>
      <c r="I224" s="2" t="s">
        <v>227</v>
      </c>
      <c r="J224" s="2" t="s">
        <v>183</v>
      </c>
      <c r="K224" s="2" t="s">
        <v>183</v>
      </c>
      <c r="L224" s="2">
        <v>699</v>
      </c>
      <c r="M224" s="2" t="s">
        <v>45</v>
      </c>
      <c r="N224" s="2" t="s">
        <v>237</v>
      </c>
    </row>
    <row r="225" spans="1:14" x14ac:dyDescent="0.25">
      <c r="A225" s="2">
        <v>9550</v>
      </c>
      <c r="B225" s="2">
        <v>7601</v>
      </c>
      <c r="C225" s="2" t="s">
        <v>226</v>
      </c>
      <c r="D225" s="2">
        <v>360</v>
      </c>
      <c r="E225" s="2" t="s">
        <v>46</v>
      </c>
      <c r="F225" s="2">
        <v>41280</v>
      </c>
      <c r="G225" s="2">
        <v>0.6</v>
      </c>
      <c r="H225" s="2">
        <v>15211</v>
      </c>
      <c r="I225" s="2" t="s">
        <v>227</v>
      </c>
      <c r="J225" s="2" t="s">
        <v>183</v>
      </c>
      <c r="K225" s="2" t="s">
        <v>183</v>
      </c>
      <c r="L225" s="2">
        <v>699</v>
      </c>
      <c r="M225" s="2" t="s">
        <v>45</v>
      </c>
      <c r="N225" s="2" t="s">
        <v>237</v>
      </c>
    </row>
    <row r="226" spans="1:14" x14ac:dyDescent="0.25">
      <c r="A226" s="2">
        <v>9551</v>
      </c>
      <c r="B226" s="2">
        <v>7601</v>
      </c>
      <c r="C226" s="2" t="s">
        <v>226</v>
      </c>
      <c r="D226" s="2">
        <v>682</v>
      </c>
      <c r="E226" s="2" t="s">
        <v>90</v>
      </c>
      <c r="F226" s="2">
        <v>40788</v>
      </c>
      <c r="G226" s="2">
        <v>0.6</v>
      </c>
      <c r="H226" s="2">
        <v>15398</v>
      </c>
      <c r="I226" s="2" t="s">
        <v>227</v>
      </c>
      <c r="J226" s="2" t="s">
        <v>183</v>
      </c>
      <c r="K226" s="2" t="s">
        <v>183</v>
      </c>
      <c r="L226" s="2">
        <v>699</v>
      </c>
      <c r="M226" s="2" t="s">
        <v>45</v>
      </c>
      <c r="N226" s="2" t="s">
        <v>237</v>
      </c>
    </row>
    <row r="227" spans="1:14" x14ac:dyDescent="0.25">
      <c r="A227" s="2">
        <v>9552</v>
      </c>
      <c r="B227" s="2">
        <v>7601</v>
      </c>
      <c r="C227" s="2" t="s">
        <v>226</v>
      </c>
      <c r="D227" s="2">
        <v>826</v>
      </c>
      <c r="E227" s="2" t="s">
        <v>110</v>
      </c>
      <c r="F227" s="2">
        <v>38695</v>
      </c>
      <c r="G227" s="2">
        <v>0.5</v>
      </c>
      <c r="H227" s="2">
        <v>11183</v>
      </c>
      <c r="I227" s="2" t="s">
        <v>227</v>
      </c>
      <c r="J227" s="2" t="s">
        <v>183</v>
      </c>
      <c r="K227" s="2" t="s">
        <v>183</v>
      </c>
      <c r="L227" s="2">
        <v>699</v>
      </c>
      <c r="M227" s="2" t="s">
        <v>45</v>
      </c>
      <c r="N227" s="2" t="s">
        <v>237</v>
      </c>
    </row>
    <row r="228" spans="1:14" x14ac:dyDescent="0.25">
      <c r="A228" s="2">
        <v>9553</v>
      </c>
      <c r="B228" s="2">
        <v>7601</v>
      </c>
      <c r="C228" s="2" t="s">
        <v>226</v>
      </c>
      <c r="D228" s="2">
        <v>156</v>
      </c>
      <c r="E228" s="2" t="s">
        <v>18</v>
      </c>
      <c r="F228" s="2">
        <v>102042</v>
      </c>
      <c r="G228" s="2">
        <v>28.3</v>
      </c>
      <c r="H228" s="2">
        <v>37417</v>
      </c>
      <c r="I228" s="2" t="s">
        <v>227</v>
      </c>
      <c r="J228" s="2" t="s">
        <v>183</v>
      </c>
      <c r="K228" s="2" t="s">
        <v>183</v>
      </c>
      <c r="L228" s="2">
        <v>360</v>
      </c>
      <c r="M228" s="2" t="s">
        <v>46</v>
      </c>
      <c r="N228" s="2" t="s">
        <v>237</v>
      </c>
    </row>
    <row r="229" spans="1:14" x14ac:dyDescent="0.25">
      <c r="A229" s="2">
        <v>9554</v>
      </c>
      <c r="B229" s="2">
        <v>7601</v>
      </c>
      <c r="C229" s="2" t="s">
        <v>226</v>
      </c>
      <c r="D229" s="2">
        <v>528</v>
      </c>
      <c r="E229" s="2" t="s">
        <v>75</v>
      </c>
      <c r="F229" s="2">
        <v>75422</v>
      </c>
      <c r="G229" s="2">
        <v>20.9</v>
      </c>
      <c r="H229" s="2">
        <v>26862</v>
      </c>
      <c r="I229" s="2" t="s">
        <v>227</v>
      </c>
      <c r="J229" s="2" t="s">
        <v>183</v>
      </c>
      <c r="K229" s="2" t="s">
        <v>183</v>
      </c>
      <c r="L229" s="2">
        <v>360</v>
      </c>
      <c r="M229" s="2" t="s">
        <v>46</v>
      </c>
      <c r="N229" s="2" t="s">
        <v>237</v>
      </c>
    </row>
    <row r="230" spans="1:14" x14ac:dyDescent="0.25">
      <c r="A230" s="2">
        <v>9555</v>
      </c>
      <c r="B230" s="2">
        <v>7601</v>
      </c>
      <c r="C230" s="2" t="s">
        <v>226</v>
      </c>
      <c r="D230" s="2">
        <v>704</v>
      </c>
      <c r="E230" s="2" t="s">
        <v>232</v>
      </c>
      <c r="F230" s="2">
        <v>70600</v>
      </c>
      <c r="G230" s="2">
        <v>19.5</v>
      </c>
      <c r="H230" s="2">
        <v>25433</v>
      </c>
      <c r="I230" s="2" t="s">
        <v>227</v>
      </c>
      <c r="J230" s="2" t="s">
        <v>183</v>
      </c>
      <c r="K230" s="2" t="s">
        <v>183</v>
      </c>
      <c r="L230" s="2">
        <v>360</v>
      </c>
      <c r="M230" s="2" t="s">
        <v>46</v>
      </c>
      <c r="N230" s="2" t="s">
        <v>237</v>
      </c>
    </row>
    <row r="231" spans="1:14" x14ac:dyDescent="0.25">
      <c r="A231" s="2">
        <v>9556</v>
      </c>
      <c r="B231" s="2">
        <v>7601</v>
      </c>
      <c r="C231" s="2" t="s">
        <v>226</v>
      </c>
      <c r="D231" s="2">
        <v>699</v>
      </c>
      <c r="E231" s="2" t="s">
        <v>45</v>
      </c>
      <c r="F231" s="2">
        <v>28723</v>
      </c>
      <c r="G231" s="2">
        <v>8</v>
      </c>
      <c r="H231" s="2">
        <v>9910</v>
      </c>
      <c r="I231" s="2" t="s">
        <v>227</v>
      </c>
      <c r="J231" s="2" t="s">
        <v>183</v>
      </c>
      <c r="K231" s="2" t="s">
        <v>183</v>
      </c>
      <c r="L231" s="2">
        <v>360</v>
      </c>
      <c r="M231" s="2" t="s">
        <v>46</v>
      </c>
      <c r="N231" s="2" t="s">
        <v>237</v>
      </c>
    </row>
    <row r="232" spans="1:14" x14ac:dyDescent="0.25">
      <c r="A232" s="2">
        <v>9557</v>
      </c>
      <c r="B232" s="2">
        <v>7601</v>
      </c>
      <c r="C232" s="2" t="s">
        <v>226</v>
      </c>
      <c r="D232" s="2">
        <v>458</v>
      </c>
      <c r="E232" s="2" t="s">
        <v>66</v>
      </c>
      <c r="F232" s="2">
        <v>24226</v>
      </c>
      <c r="G232" s="2">
        <v>6.7</v>
      </c>
      <c r="H232" s="2">
        <v>10025</v>
      </c>
      <c r="I232" s="2" t="s">
        <v>227</v>
      </c>
      <c r="J232" s="2" t="s">
        <v>183</v>
      </c>
      <c r="K232" s="2" t="s">
        <v>183</v>
      </c>
      <c r="L232" s="2">
        <v>360</v>
      </c>
      <c r="M232" s="2" t="s">
        <v>46</v>
      </c>
      <c r="N232" s="2" t="s">
        <v>237</v>
      </c>
    </row>
    <row r="233" spans="1:14" x14ac:dyDescent="0.25">
      <c r="A233" s="2">
        <v>9558</v>
      </c>
      <c r="B233" s="2">
        <v>7601</v>
      </c>
      <c r="C233" s="2" t="s">
        <v>226</v>
      </c>
      <c r="D233" s="2">
        <v>392</v>
      </c>
      <c r="E233" s="2" t="s">
        <v>51</v>
      </c>
      <c r="F233" s="2">
        <v>11087</v>
      </c>
      <c r="G233" s="2">
        <v>3.1</v>
      </c>
      <c r="H233" s="2">
        <v>4053</v>
      </c>
      <c r="I233" s="2" t="s">
        <v>227</v>
      </c>
      <c r="J233" s="2" t="s">
        <v>183</v>
      </c>
      <c r="K233" s="2" t="s">
        <v>183</v>
      </c>
      <c r="L233" s="2">
        <v>360</v>
      </c>
      <c r="M233" s="2" t="s">
        <v>46</v>
      </c>
      <c r="N233" s="2" t="s">
        <v>237</v>
      </c>
    </row>
    <row r="234" spans="1:14" x14ac:dyDescent="0.25">
      <c r="A234" s="2">
        <v>9559</v>
      </c>
      <c r="B234" s="2">
        <v>7601</v>
      </c>
      <c r="C234" s="2" t="s">
        <v>226</v>
      </c>
      <c r="D234" s="2">
        <v>764</v>
      </c>
      <c r="E234" s="2" t="s">
        <v>103</v>
      </c>
      <c r="F234" s="2">
        <v>8749</v>
      </c>
      <c r="G234" s="2">
        <v>2.4</v>
      </c>
      <c r="H234" s="2">
        <v>3210</v>
      </c>
      <c r="I234" s="2" t="s">
        <v>227</v>
      </c>
      <c r="J234" s="2" t="s">
        <v>183</v>
      </c>
      <c r="K234" s="2" t="s">
        <v>183</v>
      </c>
      <c r="L234" s="2">
        <v>360</v>
      </c>
      <c r="M234" s="2" t="s">
        <v>46</v>
      </c>
      <c r="N234" s="2" t="s">
        <v>237</v>
      </c>
    </row>
    <row r="235" spans="1:14" x14ac:dyDescent="0.25">
      <c r="A235" s="2">
        <v>9560</v>
      </c>
      <c r="B235" s="2">
        <v>7601</v>
      </c>
      <c r="C235" s="2" t="s">
        <v>226</v>
      </c>
      <c r="D235" s="2">
        <v>381</v>
      </c>
      <c r="E235" s="2" t="s">
        <v>50</v>
      </c>
      <c r="F235" s="2">
        <v>8268</v>
      </c>
      <c r="G235" s="2">
        <v>2.2999999999999998</v>
      </c>
      <c r="H235" s="2">
        <v>2601</v>
      </c>
      <c r="I235" s="2" t="s">
        <v>227</v>
      </c>
      <c r="J235" s="2" t="s">
        <v>183</v>
      </c>
      <c r="K235" s="2" t="s">
        <v>183</v>
      </c>
      <c r="L235" s="2">
        <v>360</v>
      </c>
      <c r="M235" s="2" t="s">
        <v>46</v>
      </c>
      <c r="N235" s="2" t="s">
        <v>237</v>
      </c>
    </row>
    <row r="236" spans="1:14" x14ac:dyDescent="0.25">
      <c r="A236" s="2">
        <v>9561</v>
      </c>
      <c r="B236" s="2">
        <v>7601</v>
      </c>
      <c r="C236" s="2" t="s">
        <v>226</v>
      </c>
      <c r="D236" s="2">
        <v>608</v>
      </c>
      <c r="E236" s="2" t="s">
        <v>85</v>
      </c>
      <c r="F236" s="2">
        <v>6101</v>
      </c>
      <c r="G236" s="2">
        <v>1.7</v>
      </c>
      <c r="H236" s="2">
        <v>2315</v>
      </c>
      <c r="I236" s="2" t="s">
        <v>227</v>
      </c>
      <c r="J236" s="2" t="s">
        <v>183</v>
      </c>
      <c r="K236" s="2" t="s">
        <v>183</v>
      </c>
      <c r="L236" s="2">
        <v>360</v>
      </c>
      <c r="M236" s="2" t="s">
        <v>46</v>
      </c>
      <c r="N236" s="2" t="s">
        <v>237</v>
      </c>
    </row>
    <row r="237" spans="1:14" x14ac:dyDescent="0.25">
      <c r="A237" s="2">
        <v>9562</v>
      </c>
      <c r="B237" s="2">
        <v>7601</v>
      </c>
      <c r="C237" s="2" t="s">
        <v>226</v>
      </c>
      <c r="D237" s="2">
        <v>616</v>
      </c>
      <c r="E237" s="2" t="s">
        <v>86</v>
      </c>
      <c r="F237" s="2">
        <v>4007</v>
      </c>
      <c r="G237" s="2">
        <v>1.1000000000000001</v>
      </c>
      <c r="H237" s="2">
        <v>1199</v>
      </c>
      <c r="I237" s="2" t="s">
        <v>227</v>
      </c>
      <c r="J237" s="2" t="s">
        <v>183</v>
      </c>
      <c r="K237" s="2" t="s">
        <v>183</v>
      </c>
      <c r="L237" s="2">
        <v>360</v>
      </c>
      <c r="M237" s="2" t="s">
        <v>46</v>
      </c>
      <c r="N237" s="2" t="s">
        <v>237</v>
      </c>
    </row>
    <row r="238" spans="1:14" x14ac:dyDescent="0.25">
      <c r="A238" s="2">
        <v>9563</v>
      </c>
      <c r="B238" s="2">
        <v>7601</v>
      </c>
      <c r="C238" s="2" t="s">
        <v>226</v>
      </c>
      <c r="D238" s="2">
        <v>792</v>
      </c>
      <c r="E238" s="2" t="s">
        <v>107</v>
      </c>
      <c r="F238" s="2">
        <v>3563</v>
      </c>
      <c r="G238" s="2">
        <v>1</v>
      </c>
      <c r="H238" s="2">
        <v>1051</v>
      </c>
      <c r="I238" s="2" t="s">
        <v>227</v>
      </c>
      <c r="J238" s="2" t="s">
        <v>183</v>
      </c>
      <c r="K238" s="2" t="s">
        <v>183</v>
      </c>
      <c r="L238" s="2">
        <v>360</v>
      </c>
      <c r="M238" s="2" t="s">
        <v>46</v>
      </c>
      <c r="N238" s="2" t="s">
        <v>237</v>
      </c>
    </row>
    <row r="239" spans="1:14" x14ac:dyDescent="0.25">
      <c r="A239" s="2">
        <v>9564</v>
      </c>
      <c r="B239" s="2">
        <v>7601</v>
      </c>
      <c r="C239" s="2" t="s">
        <v>226</v>
      </c>
      <c r="D239" s="2">
        <v>158</v>
      </c>
      <c r="E239" s="2" t="s">
        <v>233</v>
      </c>
      <c r="F239" s="2">
        <v>2837</v>
      </c>
      <c r="G239" s="2">
        <v>0.8</v>
      </c>
      <c r="H239" s="2">
        <v>965</v>
      </c>
      <c r="I239" s="2" t="s">
        <v>227</v>
      </c>
      <c r="J239" s="2" t="s">
        <v>183</v>
      </c>
      <c r="K239" s="2" t="s">
        <v>183</v>
      </c>
      <c r="L239" s="2">
        <v>360</v>
      </c>
      <c r="M239" s="2" t="s">
        <v>46</v>
      </c>
      <c r="N239" s="2" t="s">
        <v>237</v>
      </c>
    </row>
    <row r="240" spans="1:14" x14ac:dyDescent="0.25">
      <c r="A240" s="2">
        <v>9565</v>
      </c>
      <c r="B240" s="2">
        <v>7601</v>
      </c>
      <c r="C240" s="2" t="s">
        <v>226</v>
      </c>
      <c r="D240" s="2">
        <v>8</v>
      </c>
      <c r="E240" s="2" t="s">
        <v>114</v>
      </c>
      <c r="F240" s="2">
        <v>2495</v>
      </c>
      <c r="G240" s="2">
        <v>0.7</v>
      </c>
      <c r="H240" s="2">
        <v>838</v>
      </c>
      <c r="I240" s="2" t="s">
        <v>227</v>
      </c>
      <c r="J240" s="2" t="s">
        <v>183</v>
      </c>
      <c r="K240" s="2" t="s">
        <v>183</v>
      </c>
      <c r="L240" s="2">
        <v>360</v>
      </c>
      <c r="M240" s="2" t="s">
        <v>46</v>
      </c>
      <c r="N240" s="2" t="s">
        <v>237</v>
      </c>
    </row>
    <row r="241" spans="1:14" x14ac:dyDescent="0.25">
      <c r="A241" s="2">
        <v>9566</v>
      </c>
      <c r="B241" s="2">
        <v>7601</v>
      </c>
      <c r="C241" s="2" t="s">
        <v>226</v>
      </c>
      <c r="D241" s="2">
        <v>499</v>
      </c>
      <c r="E241" s="2" t="s">
        <v>72</v>
      </c>
      <c r="F241" s="2">
        <v>2470</v>
      </c>
      <c r="G241" s="2">
        <v>0.7</v>
      </c>
      <c r="H241" s="2">
        <v>847</v>
      </c>
      <c r="I241" s="2" t="s">
        <v>227</v>
      </c>
      <c r="J241" s="2" t="s">
        <v>183</v>
      </c>
      <c r="K241" s="2" t="s">
        <v>183</v>
      </c>
      <c r="L241" s="2">
        <v>360</v>
      </c>
      <c r="M241" s="2" t="s">
        <v>46</v>
      </c>
      <c r="N241" s="2" t="s">
        <v>237</v>
      </c>
    </row>
    <row r="242" spans="1:14" x14ac:dyDescent="0.25">
      <c r="A242" s="2">
        <v>9567</v>
      </c>
      <c r="B242" s="2">
        <v>7601</v>
      </c>
      <c r="C242" s="2" t="s">
        <v>226</v>
      </c>
      <c r="D242" s="2">
        <v>512</v>
      </c>
      <c r="E242" s="2" t="s">
        <v>80</v>
      </c>
      <c r="F242" s="2">
        <v>1950</v>
      </c>
      <c r="G242" s="2">
        <v>0.5</v>
      </c>
      <c r="H242" s="2">
        <v>677</v>
      </c>
      <c r="I242" s="2" t="s">
        <v>227</v>
      </c>
      <c r="J242" s="2" t="s">
        <v>183</v>
      </c>
      <c r="K242" s="2" t="s">
        <v>183</v>
      </c>
      <c r="L242" s="2">
        <v>360</v>
      </c>
      <c r="M242" s="2" t="s">
        <v>46</v>
      </c>
      <c r="N242" s="2" t="s">
        <v>237</v>
      </c>
    </row>
    <row r="243" spans="1:14" x14ac:dyDescent="0.25">
      <c r="A243" s="2">
        <v>9568</v>
      </c>
      <c r="B243" s="2">
        <v>7601</v>
      </c>
      <c r="C243" s="2" t="s">
        <v>226</v>
      </c>
      <c r="D243" s="2">
        <v>724</v>
      </c>
      <c r="E243" s="2" t="s">
        <v>98</v>
      </c>
      <c r="F243" s="2">
        <v>1816</v>
      </c>
      <c r="G243" s="2">
        <v>0.5</v>
      </c>
      <c r="H243" s="2">
        <v>583</v>
      </c>
      <c r="I243" s="2" t="s">
        <v>227</v>
      </c>
      <c r="J243" s="2" t="s">
        <v>183</v>
      </c>
      <c r="K243" s="2" t="s">
        <v>183</v>
      </c>
      <c r="L243" s="2">
        <v>360</v>
      </c>
      <c r="M243" s="2" t="s">
        <v>46</v>
      </c>
      <c r="N243" s="2" t="s">
        <v>237</v>
      </c>
    </row>
    <row r="244" spans="1:14" x14ac:dyDescent="0.25">
      <c r="A244" s="2">
        <v>9569</v>
      </c>
      <c r="B244" s="2">
        <v>7601</v>
      </c>
      <c r="C244" s="2" t="s">
        <v>226</v>
      </c>
      <c r="D244" s="2">
        <v>410</v>
      </c>
      <c r="E244" s="2" t="s">
        <v>230</v>
      </c>
      <c r="F244" s="2">
        <v>1621</v>
      </c>
      <c r="G244" s="2">
        <v>0.4</v>
      </c>
      <c r="H244" s="2">
        <v>389</v>
      </c>
      <c r="I244" s="2" t="s">
        <v>227</v>
      </c>
      <c r="J244" s="2" t="s">
        <v>183</v>
      </c>
      <c r="K244" s="2" t="s">
        <v>183</v>
      </c>
      <c r="L244" s="2">
        <v>360</v>
      </c>
      <c r="M244" s="2" t="s">
        <v>46</v>
      </c>
      <c r="N244" s="2" t="s">
        <v>237</v>
      </c>
    </row>
    <row r="245" spans="1:14" x14ac:dyDescent="0.25">
      <c r="A245" s="2">
        <v>9570</v>
      </c>
      <c r="B245" s="2">
        <v>7601</v>
      </c>
      <c r="C245" s="2" t="s">
        <v>226</v>
      </c>
      <c r="D245" s="2">
        <v>100</v>
      </c>
      <c r="E245" s="2" t="s">
        <v>15</v>
      </c>
      <c r="F245" s="2">
        <v>1458</v>
      </c>
      <c r="G245" s="2">
        <v>0.4</v>
      </c>
      <c r="H245" s="2">
        <v>466</v>
      </c>
      <c r="I245" s="2" t="s">
        <v>227</v>
      </c>
      <c r="J245" s="2" t="s">
        <v>183</v>
      </c>
      <c r="K245" s="2" t="s">
        <v>183</v>
      </c>
      <c r="L245" s="2">
        <v>360</v>
      </c>
      <c r="M245" s="2" t="s">
        <v>46</v>
      </c>
      <c r="N245" s="2" t="s">
        <v>237</v>
      </c>
    </row>
    <row r="246" spans="1:14" x14ac:dyDescent="0.25">
      <c r="A246" s="2">
        <v>9571</v>
      </c>
      <c r="B246" s="2">
        <v>7601</v>
      </c>
      <c r="C246" s="2" t="s">
        <v>226</v>
      </c>
      <c r="D246" s="2">
        <v>710</v>
      </c>
      <c r="E246" s="2" t="s">
        <v>97</v>
      </c>
      <c r="F246" s="2">
        <v>1101</v>
      </c>
      <c r="G246" s="2">
        <v>0.3</v>
      </c>
      <c r="H246" s="2">
        <v>330</v>
      </c>
      <c r="I246" s="2" t="s">
        <v>227</v>
      </c>
      <c r="J246" s="2" t="s">
        <v>183</v>
      </c>
      <c r="K246" s="2" t="s">
        <v>183</v>
      </c>
      <c r="L246" s="2">
        <v>360</v>
      </c>
      <c r="M246" s="2" t="s">
        <v>46</v>
      </c>
      <c r="N246" s="2" t="s">
        <v>237</v>
      </c>
    </row>
    <row r="247" spans="1:14" x14ac:dyDescent="0.25">
      <c r="A247" s="2">
        <v>9572</v>
      </c>
      <c r="B247" s="2">
        <v>7601</v>
      </c>
      <c r="C247" s="2" t="s">
        <v>226</v>
      </c>
      <c r="D247" s="2">
        <v>702</v>
      </c>
      <c r="E247" s="2" t="s">
        <v>93</v>
      </c>
      <c r="F247" s="2">
        <v>1041</v>
      </c>
      <c r="G247" s="2">
        <v>0.3</v>
      </c>
      <c r="H247" s="2">
        <v>444</v>
      </c>
      <c r="I247" s="2" t="s">
        <v>227</v>
      </c>
      <c r="J247" s="2" t="s">
        <v>183</v>
      </c>
      <c r="K247" s="2" t="s">
        <v>183</v>
      </c>
      <c r="L247" s="2">
        <v>360</v>
      </c>
      <c r="M247" s="2" t="s">
        <v>46</v>
      </c>
      <c r="N247" s="2" t="s">
        <v>237</v>
      </c>
    </row>
    <row r="248" spans="1:14" x14ac:dyDescent="0.25">
      <c r="A248" s="2">
        <v>9573</v>
      </c>
      <c r="B248" s="2">
        <v>7601</v>
      </c>
      <c r="C248" s="2" t="s">
        <v>226</v>
      </c>
      <c r="D248" s="2">
        <v>76</v>
      </c>
      <c r="E248" s="2" t="s">
        <v>14</v>
      </c>
      <c r="F248" s="2">
        <v>737</v>
      </c>
      <c r="G248" s="2">
        <v>0.2</v>
      </c>
      <c r="H248" s="2">
        <v>203</v>
      </c>
      <c r="I248" s="2" t="s">
        <v>227</v>
      </c>
      <c r="J248" s="2" t="s">
        <v>183</v>
      </c>
      <c r="K248" s="2" t="s">
        <v>183</v>
      </c>
      <c r="L248" s="2">
        <v>360</v>
      </c>
      <c r="M248" s="2" t="s">
        <v>46</v>
      </c>
      <c r="N248" s="2" t="s">
        <v>237</v>
      </c>
    </row>
    <row r="249" spans="1:14" x14ac:dyDescent="0.25">
      <c r="A249" s="2">
        <v>9574</v>
      </c>
      <c r="B249" s="2">
        <v>7601</v>
      </c>
      <c r="C249" s="2" t="s">
        <v>226</v>
      </c>
      <c r="D249" s="2">
        <v>340</v>
      </c>
      <c r="E249" s="2" t="s">
        <v>41</v>
      </c>
      <c r="F249" s="2">
        <v>721</v>
      </c>
      <c r="G249" s="2">
        <v>0.2</v>
      </c>
      <c r="H249" s="2">
        <v>203</v>
      </c>
      <c r="I249" s="2" t="s">
        <v>227</v>
      </c>
      <c r="J249" s="2" t="s">
        <v>183</v>
      </c>
      <c r="K249" s="2" t="s">
        <v>183</v>
      </c>
      <c r="L249" s="2">
        <v>360</v>
      </c>
      <c r="M249" s="2" t="s">
        <v>46</v>
      </c>
      <c r="N249" s="2" t="s">
        <v>237</v>
      </c>
    </row>
    <row r="250" spans="1:14" x14ac:dyDescent="0.25">
      <c r="A250" s="2">
        <v>9575</v>
      </c>
      <c r="B250" s="2">
        <v>7601</v>
      </c>
      <c r="C250" s="2" t="s">
        <v>226</v>
      </c>
      <c r="D250" s="2">
        <v>144</v>
      </c>
      <c r="E250" s="2" t="s">
        <v>99</v>
      </c>
      <c r="F250" s="2">
        <v>72</v>
      </c>
      <c r="G250" s="2">
        <v>0</v>
      </c>
      <c r="H250" s="2">
        <v>23</v>
      </c>
      <c r="I250" s="2" t="s">
        <v>227</v>
      </c>
      <c r="J250" s="2" t="s">
        <v>183</v>
      </c>
      <c r="K250" s="2" t="s">
        <v>183</v>
      </c>
      <c r="L250" s="2">
        <v>360</v>
      </c>
      <c r="M250" s="2" t="s">
        <v>46</v>
      </c>
      <c r="N250" s="2" t="s">
        <v>237</v>
      </c>
    </row>
    <row r="251" spans="1:14" x14ac:dyDescent="0.25">
      <c r="A251" s="2">
        <v>9576</v>
      </c>
      <c r="B251" s="2">
        <v>7601</v>
      </c>
      <c r="C251" s="2" t="s">
        <v>226</v>
      </c>
      <c r="D251" s="2">
        <v>191</v>
      </c>
      <c r="E251" s="2" t="s">
        <v>21</v>
      </c>
      <c r="F251" s="2">
        <v>59</v>
      </c>
      <c r="G251" s="2">
        <v>0</v>
      </c>
      <c r="H251" s="2">
        <v>23</v>
      </c>
      <c r="I251" s="2" t="s">
        <v>227</v>
      </c>
      <c r="J251" s="2" t="s">
        <v>183</v>
      </c>
      <c r="K251" s="2" t="s">
        <v>183</v>
      </c>
      <c r="L251" s="2">
        <v>360</v>
      </c>
      <c r="M251" s="2" t="s">
        <v>46</v>
      </c>
      <c r="N251" s="2" t="s">
        <v>237</v>
      </c>
    </row>
    <row r="252" spans="1:14" x14ac:dyDescent="0.25">
      <c r="A252" s="2">
        <v>9577</v>
      </c>
      <c r="B252" s="2">
        <v>7601</v>
      </c>
      <c r="C252" s="2" t="s">
        <v>226</v>
      </c>
      <c r="D252" s="2">
        <v>276</v>
      </c>
      <c r="E252" s="2" t="s">
        <v>37</v>
      </c>
      <c r="F252" s="2">
        <v>381187</v>
      </c>
      <c r="G252" s="2">
        <v>22.5</v>
      </c>
      <c r="H252" s="2">
        <v>118137</v>
      </c>
      <c r="I252" s="2" t="s">
        <v>227</v>
      </c>
      <c r="J252" s="2" t="s">
        <v>183</v>
      </c>
      <c r="K252" s="2" t="s">
        <v>183</v>
      </c>
      <c r="L252" s="2">
        <v>381</v>
      </c>
      <c r="M252" s="2" t="s">
        <v>50</v>
      </c>
      <c r="N252" s="2" t="s">
        <v>237</v>
      </c>
    </row>
    <row r="253" spans="1:14" x14ac:dyDescent="0.25">
      <c r="A253" s="2">
        <v>9578</v>
      </c>
      <c r="B253" s="2">
        <v>7601</v>
      </c>
      <c r="C253" s="2" t="s">
        <v>226</v>
      </c>
      <c r="D253" s="2">
        <v>705</v>
      </c>
      <c r="E253" s="2" t="s">
        <v>96</v>
      </c>
      <c r="F253" s="2">
        <v>198699</v>
      </c>
      <c r="G253" s="2">
        <v>11.7</v>
      </c>
      <c r="H253" s="2">
        <v>65048</v>
      </c>
      <c r="I253" s="2" t="s">
        <v>227</v>
      </c>
      <c r="J253" s="2" t="s">
        <v>183</v>
      </c>
      <c r="K253" s="2" t="s">
        <v>183</v>
      </c>
      <c r="L253" s="2">
        <v>381</v>
      </c>
      <c r="M253" s="2" t="s">
        <v>50</v>
      </c>
      <c r="N253" s="2" t="s">
        <v>237</v>
      </c>
    </row>
    <row r="254" spans="1:14" x14ac:dyDescent="0.25">
      <c r="A254" s="2">
        <v>9579</v>
      </c>
      <c r="B254" s="2">
        <v>7601</v>
      </c>
      <c r="C254" s="2" t="s">
        <v>226</v>
      </c>
      <c r="D254" s="2">
        <v>348</v>
      </c>
      <c r="E254" s="2" t="s">
        <v>43</v>
      </c>
      <c r="F254" s="2">
        <v>196662</v>
      </c>
      <c r="G254" s="2">
        <v>11.6</v>
      </c>
      <c r="H254" s="2">
        <v>57554</v>
      </c>
      <c r="I254" s="2" t="s">
        <v>227</v>
      </c>
      <c r="J254" s="2" t="s">
        <v>183</v>
      </c>
      <c r="K254" s="2" t="s">
        <v>183</v>
      </c>
      <c r="L254" s="2">
        <v>381</v>
      </c>
      <c r="M254" s="2" t="s">
        <v>50</v>
      </c>
      <c r="N254" s="2" t="s">
        <v>237</v>
      </c>
    </row>
    <row r="255" spans="1:14" x14ac:dyDescent="0.25">
      <c r="A255" s="2">
        <v>9580</v>
      </c>
      <c r="B255" s="2">
        <v>7601</v>
      </c>
      <c r="C255" s="2" t="s">
        <v>226</v>
      </c>
      <c r="D255" s="2">
        <v>40</v>
      </c>
      <c r="E255" s="2" t="s">
        <v>5</v>
      </c>
      <c r="F255" s="2">
        <v>190242</v>
      </c>
      <c r="G255" s="2">
        <v>11.2</v>
      </c>
      <c r="H255" s="2">
        <v>58212</v>
      </c>
      <c r="I255" s="2" t="s">
        <v>227</v>
      </c>
      <c r="J255" s="2" t="s">
        <v>183</v>
      </c>
      <c r="K255" s="2" t="s">
        <v>183</v>
      </c>
      <c r="L255" s="2">
        <v>381</v>
      </c>
      <c r="M255" s="2" t="s">
        <v>50</v>
      </c>
      <c r="N255" s="2" t="s">
        <v>237</v>
      </c>
    </row>
    <row r="256" spans="1:14" x14ac:dyDescent="0.25">
      <c r="A256" s="2">
        <v>9581</v>
      </c>
      <c r="B256" s="2">
        <v>7601</v>
      </c>
      <c r="C256" s="2" t="s">
        <v>226</v>
      </c>
      <c r="D256" s="2">
        <v>642</v>
      </c>
      <c r="E256" s="2" t="s">
        <v>89</v>
      </c>
      <c r="F256" s="2">
        <v>159693</v>
      </c>
      <c r="G256" s="2">
        <v>9.4</v>
      </c>
      <c r="H256" s="2">
        <v>42634</v>
      </c>
      <c r="I256" s="2" t="s">
        <v>227</v>
      </c>
      <c r="J256" s="2" t="s">
        <v>183</v>
      </c>
      <c r="K256" s="2" t="s">
        <v>183</v>
      </c>
      <c r="L256" s="2">
        <v>381</v>
      </c>
      <c r="M256" s="2" t="s">
        <v>50</v>
      </c>
      <c r="N256" s="2" t="s">
        <v>237</v>
      </c>
    </row>
    <row r="257" spans="1:14" x14ac:dyDescent="0.25">
      <c r="A257" s="2">
        <v>9582</v>
      </c>
      <c r="B257" s="2">
        <v>7601</v>
      </c>
      <c r="C257" s="2" t="s">
        <v>226</v>
      </c>
      <c r="D257" s="2">
        <v>616</v>
      </c>
      <c r="E257" s="2" t="s">
        <v>86</v>
      </c>
      <c r="F257" s="2">
        <v>106464</v>
      </c>
      <c r="G257" s="2">
        <v>6.3</v>
      </c>
      <c r="H257" s="2">
        <v>29892</v>
      </c>
      <c r="I257" s="2" t="s">
        <v>227</v>
      </c>
      <c r="J257" s="2" t="s">
        <v>183</v>
      </c>
      <c r="K257" s="2" t="s">
        <v>183</v>
      </c>
      <c r="L257" s="2">
        <v>381</v>
      </c>
      <c r="M257" s="2" t="s">
        <v>50</v>
      </c>
      <c r="N257" s="2" t="s">
        <v>237</v>
      </c>
    </row>
    <row r="258" spans="1:14" x14ac:dyDescent="0.25">
      <c r="A258" s="2">
        <v>9789</v>
      </c>
      <c r="B258" s="2">
        <v>7601</v>
      </c>
      <c r="C258" s="2" t="s">
        <v>226</v>
      </c>
      <c r="D258" s="2">
        <v>251</v>
      </c>
      <c r="E258" s="2" t="s">
        <v>33</v>
      </c>
      <c r="F258" s="2">
        <v>7147</v>
      </c>
      <c r="G258" s="2">
        <v>1</v>
      </c>
      <c r="H258" s="2">
        <v>2760</v>
      </c>
      <c r="I258" s="2" t="s">
        <v>227</v>
      </c>
      <c r="J258" s="2" t="s">
        <v>183</v>
      </c>
      <c r="K258" s="2" t="s">
        <v>183</v>
      </c>
      <c r="L258" s="2">
        <v>792</v>
      </c>
      <c r="M258" s="2" t="s">
        <v>107</v>
      </c>
      <c r="N258" s="2" t="s">
        <v>237</v>
      </c>
    </row>
    <row r="259" spans="1:14" x14ac:dyDescent="0.25">
      <c r="A259" s="2">
        <v>9584</v>
      </c>
      <c r="B259" s="2">
        <v>7601</v>
      </c>
      <c r="C259" s="2" t="s">
        <v>226</v>
      </c>
      <c r="D259" s="2">
        <v>756</v>
      </c>
      <c r="E259" s="2" t="s">
        <v>101</v>
      </c>
      <c r="F259" s="2">
        <v>52984</v>
      </c>
      <c r="G259" s="2">
        <v>3.1</v>
      </c>
      <c r="H259" s="2">
        <v>17154</v>
      </c>
      <c r="I259" s="2" t="s">
        <v>227</v>
      </c>
      <c r="J259" s="2" t="s">
        <v>183</v>
      </c>
      <c r="K259" s="2" t="s">
        <v>183</v>
      </c>
      <c r="L259" s="2">
        <v>381</v>
      </c>
      <c r="M259" s="2" t="s">
        <v>50</v>
      </c>
      <c r="N259" s="2" t="s">
        <v>237</v>
      </c>
    </row>
    <row r="260" spans="1:14" x14ac:dyDescent="0.25">
      <c r="A260" s="2">
        <v>9585</v>
      </c>
      <c r="B260" s="2">
        <v>7601</v>
      </c>
      <c r="C260" s="2" t="s">
        <v>226</v>
      </c>
      <c r="D260" s="2">
        <v>724</v>
      </c>
      <c r="E260" s="2" t="s">
        <v>98</v>
      </c>
      <c r="F260" s="2">
        <v>50940</v>
      </c>
      <c r="G260" s="2">
        <v>3</v>
      </c>
      <c r="H260" s="2">
        <v>13580</v>
      </c>
      <c r="I260" s="2" t="s">
        <v>227</v>
      </c>
      <c r="J260" s="2" t="s">
        <v>183</v>
      </c>
      <c r="K260" s="2" t="s">
        <v>183</v>
      </c>
      <c r="L260" s="2">
        <v>381</v>
      </c>
      <c r="M260" s="2" t="s">
        <v>50</v>
      </c>
      <c r="N260" s="2" t="s">
        <v>237</v>
      </c>
    </row>
    <row r="261" spans="1:14" x14ac:dyDescent="0.25">
      <c r="A261" s="2">
        <v>9586</v>
      </c>
      <c r="B261" s="2">
        <v>7601</v>
      </c>
      <c r="C261" s="2" t="s">
        <v>226</v>
      </c>
      <c r="D261" s="2">
        <v>703</v>
      </c>
      <c r="E261" s="2" t="s">
        <v>95</v>
      </c>
      <c r="F261" s="2">
        <v>50512</v>
      </c>
      <c r="G261" s="2">
        <v>3</v>
      </c>
      <c r="H261" s="2">
        <v>12837</v>
      </c>
      <c r="I261" s="2" t="s">
        <v>227</v>
      </c>
      <c r="J261" s="2" t="s">
        <v>183</v>
      </c>
      <c r="K261" s="2" t="s">
        <v>183</v>
      </c>
      <c r="L261" s="2">
        <v>381</v>
      </c>
      <c r="M261" s="2" t="s">
        <v>50</v>
      </c>
      <c r="N261" s="2" t="s">
        <v>237</v>
      </c>
    </row>
    <row r="262" spans="1:14" x14ac:dyDescent="0.25">
      <c r="A262" s="2">
        <v>9587</v>
      </c>
      <c r="B262" s="2">
        <v>7601</v>
      </c>
      <c r="C262" s="2" t="s">
        <v>226</v>
      </c>
      <c r="D262" s="2">
        <v>203</v>
      </c>
      <c r="E262" s="2" t="s">
        <v>211</v>
      </c>
      <c r="F262" s="2">
        <v>40524</v>
      </c>
      <c r="G262" s="2">
        <v>2.4</v>
      </c>
      <c r="H262" s="2">
        <v>12321</v>
      </c>
      <c r="I262" s="2" t="s">
        <v>227</v>
      </c>
      <c r="J262" s="2" t="s">
        <v>183</v>
      </c>
      <c r="K262" s="2" t="s">
        <v>183</v>
      </c>
      <c r="L262" s="2">
        <v>381</v>
      </c>
      <c r="M262" s="2" t="s">
        <v>50</v>
      </c>
      <c r="N262" s="2" t="s">
        <v>237</v>
      </c>
    </row>
    <row r="263" spans="1:14" x14ac:dyDescent="0.25">
      <c r="A263" s="2">
        <v>9588</v>
      </c>
      <c r="B263" s="2">
        <v>7601</v>
      </c>
      <c r="C263" s="2" t="s">
        <v>226</v>
      </c>
      <c r="D263" s="2">
        <v>792</v>
      </c>
      <c r="E263" s="2" t="s">
        <v>107</v>
      </c>
      <c r="F263" s="2">
        <v>24016</v>
      </c>
      <c r="G263" s="2">
        <v>1.4</v>
      </c>
      <c r="H263" s="2">
        <v>8148</v>
      </c>
      <c r="I263" s="2" t="s">
        <v>227</v>
      </c>
      <c r="J263" s="2" t="s">
        <v>183</v>
      </c>
      <c r="K263" s="2" t="s">
        <v>183</v>
      </c>
      <c r="L263" s="2">
        <v>381</v>
      </c>
      <c r="M263" s="2" t="s">
        <v>50</v>
      </c>
      <c r="N263" s="2" t="s">
        <v>237</v>
      </c>
    </row>
    <row r="264" spans="1:14" x14ac:dyDescent="0.25">
      <c r="A264" s="2">
        <v>9589</v>
      </c>
      <c r="B264" s="2">
        <v>7601</v>
      </c>
      <c r="C264" s="2" t="s">
        <v>226</v>
      </c>
      <c r="D264" s="2">
        <v>191</v>
      </c>
      <c r="E264" s="2" t="s">
        <v>21</v>
      </c>
      <c r="F264" s="2">
        <v>21528</v>
      </c>
      <c r="G264" s="2">
        <v>1.3</v>
      </c>
      <c r="H264" s="2">
        <v>7234</v>
      </c>
      <c r="I264" s="2" t="s">
        <v>227</v>
      </c>
      <c r="J264" s="2" t="s">
        <v>183</v>
      </c>
      <c r="K264" s="2" t="s">
        <v>183</v>
      </c>
      <c r="L264" s="2">
        <v>381</v>
      </c>
      <c r="M264" s="2" t="s">
        <v>50</v>
      </c>
      <c r="N264" s="2" t="s">
        <v>237</v>
      </c>
    </row>
    <row r="265" spans="1:14" x14ac:dyDescent="0.25">
      <c r="A265" s="2">
        <v>9590</v>
      </c>
      <c r="B265" s="2">
        <v>7601</v>
      </c>
      <c r="C265" s="2" t="s">
        <v>226</v>
      </c>
      <c r="D265" s="2">
        <v>392</v>
      </c>
      <c r="E265" s="2" t="s">
        <v>51</v>
      </c>
      <c r="F265" s="2">
        <v>19249</v>
      </c>
      <c r="G265" s="2">
        <v>1.1000000000000001</v>
      </c>
      <c r="H265" s="2">
        <v>7747</v>
      </c>
      <c r="I265" s="2" t="s">
        <v>227</v>
      </c>
      <c r="J265" s="2" t="s">
        <v>183</v>
      </c>
      <c r="K265" s="2" t="s">
        <v>183</v>
      </c>
      <c r="L265" s="2">
        <v>381</v>
      </c>
      <c r="M265" s="2" t="s">
        <v>50</v>
      </c>
      <c r="N265" s="2" t="s">
        <v>237</v>
      </c>
    </row>
    <row r="266" spans="1:14" x14ac:dyDescent="0.25">
      <c r="A266" s="2">
        <v>9591</v>
      </c>
      <c r="B266" s="2">
        <v>7601</v>
      </c>
      <c r="C266" s="2" t="s">
        <v>226</v>
      </c>
      <c r="D266" s="2">
        <v>156</v>
      </c>
      <c r="E266" s="2" t="s">
        <v>18</v>
      </c>
      <c r="F266" s="2">
        <v>18745</v>
      </c>
      <c r="G266" s="2">
        <v>1.1000000000000001</v>
      </c>
      <c r="H266" s="2">
        <v>8063</v>
      </c>
      <c r="I266" s="2" t="s">
        <v>227</v>
      </c>
      <c r="J266" s="2" t="s">
        <v>183</v>
      </c>
      <c r="K266" s="2" t="s">
        <v>183</v>
      </c>
      <c r="L266" s="2">
        <v>381</v>
      </c>
      <c r="M266" s="2" t="s">
        <v>50</v>
      </c>
      <c r="N266" s="2" t="s">
        <v>237</v>
      </c>
    </row>
    <row r="267" spans="1:14" x14ac:dyDescent="0.25">
      <c r="A267" s="2">
        <v>9592</v>
      </c>
      <c r="B267" s="2">
        <v>7601</v>
      </c>
      <c r="C267" s="2" t="s">
        <v>226</v>
      </c>
      <c r="D267" s="2">
        <v>300</v>
      </c>
      <c r="E267" s="2" t="s">
        <v>39</v>
      </c>
      <c r="F267" s="2">
        <v>13863</v>
      </c>
      <c r="G267" s="2">
        <v>0.8</v>
      </c>
      <c r="H267" s="2">
        <v>4399</v>
      </c>
      <c r="I267" s="2" t="s">
        <v>227</v>
      </c>
      <c r="J267" s="2" t="s">
        <v>183</v>
      </c>
      <c r="K267" s="2" t="s">
        <v>183</v>
      </c>
      <c r="L267" s="2">
        <v>381</v>
      </c>
      <c r="M267" s="2" t="s">
        <v>50</v>
      </c>
      <c r="N267" s="2" t="s">
        <v>237</v>
      </c>
    </row>
    <row r="268" spans="1:14" x14ac:dyDescent="0.25">
      <c r="A268" s="2">
        <v>9593</v>
      </c>
      <c r="B268" s="2">
        <v>7601</v>
      </c>
      <c r="C268" s="2" t="s">
        <v>226</v>
      </c>
      <c r="D268" s="2">
        <v>788</v>
      </c>
      <c r="E268" s="2" t="s">
        <v>106</v>
      </c>
      <c r="F268" s="2">
        <v>8488</v>
      </c>
      <c r="G268" s="2">
        <v>0.5</v>
      </c>
      <c r="H268" s="2">
        <v>2486</v>
      </c>
      <c r="I268" s="2" t="s">
        <v>227</v>
      </c>
      <c r="J268" s="2" t="s">
        <v>183</v>
      </c>
      <c r="K268" s="2" t="s">
        <v>183</v>
      </c>
      <c r="L268" s="2">
        <v>381</v>
      </c>
      <c r="M268" s="2" t="s">
        <v>50</v>
      </c>
      <c r="N268" s="2" t="s">
        <v>237</v>
      </c>
    </row>
    <row r="269" spans="1:14" x14ac:dyDescent="0.25">
      <c r="A269" s="2">
        <v>9594</v>
      </c>
      <c r="B269" s="2">
        <v>7601</v>
      </c>
      <c r="C269" s="2" t="s">
        <v>226</v>
      </c>
      <c r="D269" s="2">
        <v>528</v>
      </c>
      <c r="E269" s="2" t="s">
        <v>75</v>
      </c>
      <c r="F269" s="2">
        <v>7251</v>
      </c>
      <c r="G269" s="2">
        <v>0.4</v>
      </c>
      <c r="H269" s="2">
        <v>1679</v>
      </c>
      <c r="I269" s="2" t="s">
        <v>227</v>
      </c>
      <c r="J269" s="2" t="s">
        <v>183</v>
      </c>
      <c r="K269" s="2" t="s">
        <v>183</v>
      </c>
      <c r="L269" s="2">
        <v>381</v>
      </c>
      <c r="M269" s="2" t="s">
        <v>50</v>
      </c>
      <c r="N269" s="2" t="s">
        <v>237</v>
      </c>
    </row>
    <row r="270" spans="1:14" x14ac:dyDescent="0.25">
      <c r="A270" s="2">
        <v>9595</v>
      </c>
      <c r="B270" s="2">
        <v>7601</v>
      </c>
      <c r="C270" s="2" t="s">
        <v>226</v>
      </c>
      <c r="D270" s="2">
        <v>620</v>
      </c>
      <c r="E270" s="2" t="s">
        <v>87</v>
      </c>
      <c r="F270" s="2">
        <v>6797</v>
      </c>
      <c r="G270" s="2">
        <v>0.4</v>
      </c>
      <c r="H270" s="2">
        <v>1655</v>
      </c>
      <c r="I270" s="2" t="s">
        <v>227</v>
      </c>
      <c r="J270" s="2" t="s">
        <v>183</v>
      </c>
      <c r="K270" s="2" t="s">
        <v>183</v>
      </c>
      <c r="L270" s="2">
        <v>381</v>
      </c>
      <c r="M270" s="2" t="s">
        <v>50</v>
      </c>
      <c r="N270" s="2" t="s">
        <v>237</v>
      </c>
    </row>
    <row r="271" spans="1:14" x14ac:dyDescent="0.25">
      <c r="A271" s="2">
        <v>9596</v>
      </c>
      <c r="B271" s="2">
        <v>7601</v>
      </c>
      <c r="C271" s="2" t="s">
        <v>226</v>
      </c>
      <c r="D271" s="2">
        <v>842</v>
      </c>
      <c r="E271" s="2" t="s">
        <v>229</v>
      </c>
      <c r="F271" s="2">
        <v>6080</v>
      </c>
      <c r="G271" s="2">
        <v>0.4</v>
      </c>
      <c r="H271" s="2">
        <v>1569</v>
      </c>
      <c r="I271" s="2" t="s">
        <v>227</v>
      </c>
      <c r="J271" s="2" t="s">
        <v>183</v>
      </c>
      <c r="K271" s="2" t="s">
        <v>183</v>
      </c>
      <c r="L271" s="2">
        <v>381</v>
      </c>
      <c r="M271" s="2" t="s">
        <v>50</v>
      </c>
      <c r="N271" s="2" t="s">
        <v>237</v>
      </c>
    </row>
    <row r="272" spans="1:14" x14ac:dyDescent="0.25">
      <c r="A272" s="2">
        <v>9597</v>
      </c>
      <c r="B272" s="2">
        <v>7601</v>
      </c>
      <c r="C272" s="2" t="s">
        <v>226</v>
      </c>
      <c r="D272" s="2">
        <v>56</v>
      </c>
      <c r="E272" s="2" t="s">
        <v>11</v>
      </c>
      <c r="F272" s="2">
        <v>5691</v>
      </c>
      <c r="G272" s="2">
        <v>0.3</v>
      </c>
      <c r="H272" s="2">
        <v>1427</v>
      </c>
      <c r="I272" s="2" t="s">
        <v>227</v>
      </c>
      <c r="J272" s="2" t="s">
        <v>183</v>
      </c>
      <c r="K272" s="2" t="s">
        <v>183</v>
      </c>
      <c r="L272" s="2">
        <v>381</v>
      </c>
      <c r="M272" s="2" t="s">
        <v>50</v>
      </c>
      <c r="N272" s="2" t="s">
        <v>237</v>
      </c>
    </row>
    <row r="273" spans="1:14" x14ac:dyDescent="0.25">
      <c r="A273" s="2">
        <v>9598</v>
      </c>
      <c r="B273" s="2">
        <v>7601</v>
      </c>
      <c r="C273" s="2" t="s">
        <v>226</v>
      </c>
      <c r="D273" s="2">
        <v>458</v>
      </c>
      <c r="E273" s="2" t="s">
        <v>66</v>
      </c>
      <c r="F273" s="2">
        <v>4656</v>
      </c>
      <c r="G273" s="2">
        <v>0.3</v>
      </c>
      <c r="H273" s="2">
        <v>1065</v>
      </c>
      <c r="I273" s="2" t="s">
        <v>227</v>
      </c>
      <c r="J273" s="2" t="s">
        <v>183</v>
      </c>
      <c r="K273" s="2" t="s">
        <v>183</v>
      </c>
      <c r="L273" s="2">
        <v>381</v>
      </c>
      <c r="M273" s="2" t="s">
        <v>50</v>
      </c>
      <c r="N273" s="2" t="s">
        <v>237</v>
      </c>
    </row>
    <row r="274" spans="1:14" x14ac:dyDescent="0.25">
      <c r="A274" s="2">
        <v>9599</v>
      </c>
      <c r="B274" s="2">
        <v>7601</v>
      </c>
      <c r="C274" s="2" t="s">
        <v>226</v>
      </c>
      <c r="D274" s="2">
        <v>752</v>
      </c>
      <c r="E274" s="2" t="s">
        <v>100</v>
      </c>
      <c r="F274" s="2">
        <v>3820</v>
      </c>
      <c r="G274" s="2">
        <v>0.2</v>
      </c>
      <c r="H274" s="2">
        <v>1147</v>
      </c>
      <c r="I274" s="2" t="s">
        <v>227</v>
      </c>
      <c r="J274" s="2" t="s">
        <v>183</v>
      </c>
      <c r="K274" s="2" t="s">
        <v>183</v>
      </c>
      <c r="L274" s="2">
        <v>381</v>
      </c>
      <c r="M274" s="2" t="s">
        <v>50</v>
      </c>
      <c r="N274" s="2" t="s">
        <v>237</v>
      </c>
    </row>
    <row r="275" spans="1:14" x14ac:dyDescent="0.25">
      <c r="A275" s="2">
        <v>9600</v>
      </c>
      <c r="B275" s="2">
        <v>7601</v>
      </c>
      <c r="C275" s="2" t="s">
        <v>226</v>
      </c>
      <c r="D275" s="2">
        <v>124</v>
      </c>
      <c r="E275" s="2" t="s">
        <v>16</v>
      </c>
      <c r="F275" s="2">
        <v>2811</v>
      </c>
      <c r="G275" s="2">
        <v>0.2</v>
      </c>
      <c r="H275" s="2">
        <v>748</v>
      </c>
      <c r="I275" s="2" t="s">
        <v>227</v>
      </c>
      <c r="J275" s="2" t="s">
        <v>183</v>
      </c>
      <c r="K275" s="2" t="s">
        <v>183</v>
      </c>
      <c r="L275" s="2">
        <v>381</v>
      </c>
      <c r="M275" s="2" t="s">
        <v>50</v>
      </c>
      <c r="N275" s="2" t="s">
        <v>237</v>
      </c>
    </row>
    <row r="276" spans="1:14" x14ac:dyDescent="0.25">
      <c r="A276" s="2">
        <v>9601</v>
      </c>
      <c r="B276" s="2">
        <v>7601</v>
      </c>
      <c r="C276" s="2" t="s">
        <v>226</v>
      </c>
      <c r="D276" s="2">
        <v>156</v>
      </c>
      <c r="E276" s="2" t="s">
        <v>18</v>
      </c>
      <c r="F276" s="2">
        <v>28022</v>
      </c>
      <c r="G276" s="2">
        <v>34.299999999999997</v>
      </c>
      <c r="H276" s="2">
        <v>5932</v>
      </c>
      <c r="I276" s="2" t="s">
        <v>227</v>
      </c>
      <c r="J276" s="2" t="s">
        <v>183</v>
      </c>
      <c r="K276" s="2" t="s">
        <v>183</v>
      </c>
      <c r="L276" s="2">
        <v>392</v>
      </c>
      <c r="M276" s="2" t="s">
        <v>51</v>
      </c>
      <c r="N276" s="2" t="s">
        <v>237</v>
      </c>
    </row>
    <row r="277" spans="1:14" x14ac:dyDescent="0.25">
      <c r="A277" s="2">
        <v>9602</v>
      </c>
      <c r="B277" s="2">
        <v>7601</v>
      </c>
      <c r="C277" s="2" t="s">
        <v>226</v>
      </c>
      <c r="D277" s="2">
        <v>410</v>
      </c>
      <c r="E277" s="2" t="s">
        <v>230</v>
      </c>
      <c r="F277" s="2">
        <v>25075</v>
      </c>
      <c r="G277" s="2">
        <v>30.7</v>
      </c>
      <c r="H277" s="2">
        <v>6460</v>
      </c>
      <c r="I277" s="2" t="s">
        <v>227</v>
      </c>
      <c r="J277" s="2" t="s">
        <v>183</v>
      </c>
      <c r="K277" s="2" t="s">
        <v>183</v>
      </c>
      <c r="L277" s="2">
        <v>392</v>
      </c>
      <c r="M277" s="2" t="s">
        <v>51</v>
      </c>
      <c r="N277" s="2" t="s">
        <v>237</v>
      </c>
    </row>
    <row r="278" spans="1:14" x14ac:dyDescent="0.25">
      <c r="A278" s="2">
        <v>9603</v>
      </c>
      <c r="B278" s="2">
        <v>7601</v>
      </c>
      <c r="C278" s="2" t="s">
        <v>226</v>
      </c>
      <c r="D278" s="2">
        <v>764</v>
      </c>
      <c r="E278" s="2" t="s">
        <v>103</v>
      </c>
      <c r="F278" s="2">
        <v>15564</v>
      </c>
      <c r="G278" s="2">
        <v>19.100000000000001</v>
      </c>
      <c r="H278" s="2">
        <v>5806</v>
      </c>
      <c r="I278" s="2" t="s">
        <v>227</v>
      </c>
      <c r="J278" s="2" t="s">
        <v>183</v>
      </c>
      <c r="K278" s="2" t="s">
        <v>183</v>
      </c>
      <c r="L278" s="2">
        <v>392</v>
      </c>
      <c r="M278" s="2" t="s">
        <v>51</v>
      </c>
      <c r="N278" s="2" t="s">
        <v>237</v>
      </c>
    </row>
    <row r="279" spans="1:14" x14ac:dyDescent="0.25">
      <c r="A279" s="2">
        <v>9604</v>
      </c>
      <c r="B279" s="2">
        <v>7601</v>
      </c>
      <c r="C279" s="2" t="s">
        <v>226</v>
      </c>
      <c r="D279" s="2">
        <v>484</v>
      </c>
      <c r="E279" s="2" t="s">
        <v>70</v>
      </c>
      <c r="F279" s="2">
        <v>3069</v>
      </c>
      <c r="G279" s="2">
        <v>3.8</v>
      </c>
      <c r="H279" s="2">
        <v>863</v>
      </c>
      <c r="I279" s="2" t="s">
        <v>227</v>
      </c>
      <c r="J279" s="2" t="s">
        <v>183</v>
      </c>
      <c r="K279" s="2" t="s">
        <v>183</v>
      </c>
      <c r="L279" s="2">
        <v>392</v>
      </c>
      <c r="M279" s="2" t="s">
        <v>51</v>
      </c>
      <c r="N279" s="2" t="s">
        <v>237</v>
      </c>
    </row>
    <row r="280" spans="1:14" x14ac:dyDescent="0.25">
      <c r="A280" s="2">
        <v>9605</v>
      </c>
      <c r="B280" s="2">
        <v>7601</v>
      </c>
      <c r="C280" s="2" t="s">
        <v>226</v>
      </c>
      <c r="D280" s="2">
        <v>158</v>
      </c>
      <c r="E280" s="2" t="s">
        <v>233</v>
      </c>
      <c r="F280" s="2">
        <v>2406</v>
      </c>
      <c r="G280" s="2">
        <v>2.9</v>
      </c>
      <c r="H280" s="2">
        <v>264</v>
      </c>
      <c r="I280" s="2" t="s">
        <v>227</v>
      </c>
      <c r="J280" s="2" t="s">
        <v>183</v>
      </c>
      <c r="K280" s="2" t="s">
        <v>183</v>
      </c>
      <c r="L280" s="2">
        <v>392</v>
      </c>
      <c r="M280" s="2" t="s">
        <v>51</v>
      </c>
      <c r="N280" s="2" t="s">
        <v>237</v>
      </c>
    </row>
    <row r="281" spans="1:14" x14ac:dyDescent="0.25">
      <c r="A281" s="2">
        <v>9606</v>
      </c>
      <c r="B281" s="2">
        <v>7601</v>
      </c>
      <c r="C281" s="2" t="s">
        <v>226</v>
      </c>
      <c r="D281" s="2">
        <v>458</v>
      </c>
      <c r="E281" s="2" t="s">
        <v>66</v>
      </c>
      <c r="F281" s="2">
        <v>2141</v>
      </c>
      <c r="G281" s="2">
        <v>2.6</v>
      </c>
      <c r="H281" s="2">
        <v>995</v>
      </c>
      <c r="I281" s="2" t="s">
        <v>227</v>
      </c>
      <c r="J281" s="2" t="s">
        <v>183</v>
      </c>
      <c r="K281" s="2" t="s">
        <v>183</v>
      </c>
      <c r="L281" s="2">
        <v>392</v>
      </c>
      <c r="M281" s="2" t="s">
        <v>51</v>
      </c>
      <c r="N281" s="2" t="s">
        <v>237</v>
      </c>
    </row>
    <row r="282" spans="1:14" x14ac:dyDescent="0.25">
      <c r="A282" s="2">
        <v>9607</v>
      </c>
      <c r="B282" s="2">
        <v>7601</v>
      </c>
      <c r="C282" s="2" t="s">
        <v>226</v>
      </c>
      <c r="D282" s="2">
        <v>704</v>
      </c>
      <c r="E282" s="2" t="s">
        <v>232</v>
      </c>
      <c r="F282" s="2">
        <v>1360</v>
      </c>
      <c r="G282" s="2">
        <v>1.7</v>
      </c>
      <c r="H282" s="2">
        <v>423</v>
      </c>
      <c r="I282" s="2" t="s">
        <v>227</v>
      </c>
      <c r="J282" s="2" t="s">
        <v>183</v>
      </c>
      <c r="K282" s="2" t="s">
        <v>183</v>
      </c>
      <c r="L282" s="2">
        <v>392</v>
      </c>
      <c r="M282" s="2" t="s">
        <v>51</v>
      </c>
      <c r="N282" s="2" t="s">
        <v>237</v>
      </c>
    </row>
    <row r="283" spans="1:14" x14ac:dyDescent="0.25">
      <c r="A283" s="2">
        <v>9608</v>
      </c>
      <c r="B283" s="2">
        <v>7601</v>
      </c>
      <c r="C283" s="2" t="s">
        <v>226</v>
      </c>
      <c r="D283" s="2">
        <v>702</v>
      </c>
      <c r="E283" s="2" t="s">
        <v>93</v>
      </c>
      <c r="F283" s="2">
        <v>1290</v>
      </c>
      <c r="G283" s="2">
        <v>1.6</v>
      </c>
      <c r="H283" s="2">
        <v>291</v>
      </c>
      <c r="I283" s="2" t="s">
        <v>227</v>
      </c>
      <c r="J283" s="2" t="s">
        <v>183</v>
      </c>
      <c r="K283" s="2" t="s">
        <v>183</v>
      </c>
      <c r="L283" s="2">
        <v>392</v>
      </c>
      <c r="M283" s="2" t="s">
        <v>51</v>
      </c>
      <c r="N283" s="2" t="s">
        <v>237</v>
      </c>
    </row>
    <row r="284" spans="1:14" x14ac:dyDescent="0.25">
      <c r="A284" s="2">
        <v>9609</v>
      </c>
      <c r="B284" s="2">
        <v>7601</v>
      </c>
      <c r="C284" s="2" t="s">
        <v>226</v>
      </c>
      <c r="D284" s="2">
        <v>608</v>
      </c>
      <c r="E284" s="2" t="s">
        <v>85</v>
      </c>
      <c r="F284" s="2">
        <v>985</v>
      </c>
      <c r="G284" s="2">
        <v>1.2</v>
      </c>
      <c r="H284" s="2">
        <v>301</v>
      </c>
      <c r="I284" s="2" t="s">
        <v>227</v>
      </c>
      <c r="J284" s="2" t="s">
        <v>183</v>
      </c>
      <c r="K284" s="2" t="s">
        <v>183</v>
      </c>
      <c r="L284" s="2">
        <v>392</v>
      </c>
      <c r="M284" s="2" t="s">
        <v>51</v>
      </c>
      <c r="N284" s="2" t="s">
        <v>237</v>
      </c>
    </row>
    <row r="285" spans="1:14" x14ac:dyDescent="0.25">
      <c r="A285" s="2">
        <v>9611</v>
      </c>
      <c r="B285" s="2">
        <v>7601</v>
      </c>
      <c r="C285" s="2" t="s">
        <v>226</v>
      </c>
      <c r="D285" s="2">
        <v>699</v>
      </c>
      <c r="E285" s="2" t="s">
        <v>45</v>
      </c>
      <c r="F285" s="2">
        <v>367</v>
      </c>
      <c r="G285" s="2">
        <v>0.4</v>
      </c>
      <c r="H285" s="2">
        <v>96</v>
      </c>
      <c r="I285" s="2" t="s">
        <v>227</v>
      </c>
      <c r="J285" s="2" t="s">
        <v>183</v>
      </c>
      <c r="K285" s="2" t="s">
        <v>183</v>
      </c>
      <c r="L285" s="2">
        <v>392</v>
      </c>
      <c r="M285" s="2" t="s">
        <v>51</v>
      </c>
      <c r="N285" s="2" t="s">
        <v>237</v>
      </c>
    </row>
    <row r="286" spans="1:14" x14ac:dyDescent="0.25">
      <c r="A286" s="2">
        <v>9612</v>
      </c>
      <c r="B286" s="2">
        <v>7601</v>
      </c>
      <c r="C286" s="2" t="s">
        <v>226</v>
      </c>
      <c r="D286" s="2">
        <v>842</v>
      </c>
      <c r="E286" s="2" t="s">
        <v>229</v>
      </c>
      <c r="F286" s="2">
        <v>181</v>
      </c>
      <c r="G286" s="2">
        <v>0.2</v>
      </c>
      <c r="H286" s="2">
        <v>24</v>
      </c>
      <c r="I286" s="2" t="s">
        <v>227</v>
      </c>
      <c r="J286" s="2" t="s">
        <v>183</v>
      </c>
      <c r="K286" s="2" t="s">
        <v>183</v>
      </c>
      <c r="L286" s="2">
        <v>392</v>
      </c>
      <c r="M286" s="2" t="s">
        <v>51</v>
      </c>
      <c r="N286" s="2" t="s">
        <v>237</v>
      </c>
    </row>
    <row r="287" spans="1:14" x14ac:dyDescent="0.25">
      <c r="A287" s="2">
        <v>9613</v>
      </c>
      <c r="B287" s="2">
        <v>7601</v>
      </c>
      <c r="C287" s="2" t="s">
        <v>226</v>
      </c>
      <c r="D287" s="2">
        <v>586</v>
      </c>
      <c r="E287" s="2" t="s">
        <v>81</v>
      </c>
      <c r="F287" s="2">
        <v>147</v>
      </c>
      <c r="G287" s="2">
        <v>0.2</v>
      </c>
      <c r="H287" s="2">
        <v>46</v>
      </c>
      <c r="I287" s="2" t="s">
        <v>227</v>
      </c>
      <c r="J287" s="2" t="s">
        <v>183</v>
      </c>
      <c r="K287" s="2" t="s">
        <v>183</v>
      </c>
      <c r="L287" s="2">
        <v>392</v>
      </c>
      <c r="M287" s="2" t="s">
        <v>51</v>
      </c>
      <c r="N287" s="2" t="s">
        <v>237</v>
      </c>
    </row>
    <row r="288" spans="1:14" x14ac:dyDescent="0.25">
      <c r="A288" s="2">
        <v>9614</v>
      </c>
      <c r="B288" s="2">
        <v>7601</v>
      </c>
      <c r="C288" s="2" t="s">
        <v>226</v>
      </c>
      <c r="D288" s="2">
        <v>360</v>
      </c>
      <c r="E288" s="2" t="s">
        <v>46</v>
      </c>
      <c r="F288" s="2">
        <v>98</v>
      </c>
      <c r="G288" s="2">
        <v>0.1</v>
      </c>
      <c r="H288" s="2">
        <v>31</v>
      </c>
      <c r="I288" s="2" t="s">
        <v>227</v>
      </c>
      <c r="J288" s="2" t="s">
        <v>183</v>
      </c>
      <c r="K288" s="2" t="s">
        <v>183</v>
      </c>
      <c r="L288" s="2">
        <v>392</v>
      </c>
      <c r="M288" s="2" t="s">
        <v>51</v>
      </c>
      <c r="N288" s="2" t="s">
        <v>237</v>
      </c>
    </row>
    <row r="289" spans="1:14" x14ac:dyDescent="0.25">
      <c r="A289" s="2">
        <v>9615</v>
      </c>
      <c r="B289" s="2">
        <v>7601</v>
      </c>
      <c r="C289" s="2" t="s">
        <v>226</v>
      </c>
      <c r="D289" s="2">
        <v>344</v>
      </c>
      <c r="E289" s="2" t="s">
        <v>42</v>
      </c>
      <c r="F289" s="2">
        <v>60</v>
      </c>
      <c r="G289" s="2">
        <v>0.1</v>
      </c>
      <c r="H289" s="2">
        <v>14</v>
      </c>
      <c r="I289" s="2" t="s">
        <v>227</v>
      </c>
      <c r="J289" s="2" t="s">
        <v>183</v>
      </c>
      <c r="K289" s="2" t="s">
        <v>183</v>
      </c>
      <c r="L289" s="2">
        <v>392</v>
      </c>
      <c r="M289" s="2" t="s">
        <v>51</v>
      </c>
      <c r="N289" s="2" t="s">
        <v>237</v>
      </c>
    </row>
    <row r="290" spans="1:14" x14ac:dyDescent="0.25">
      <c r="A290" s="2">
        <v>9616</v>
      </c>
      <c r="B290" s="2">
        <v>7601</v>
      </c>
      <c r="C290" s="2" t="s">
        <v>226</v>
      </c>
      <c r="D290" s="2">
        <v>710</v>
      </c>
      <c r="E290" s="2" t="s">
        <v>97</v>
      </c>
      <c r="F290" s="2">
        <v>32</v>
      </c>
      <c r="G290" s="2">
        <v>0</v>
      </c>
      <c r="H290" s="2">
        <v>8</v>
      </c>
      <c r="I290" s="2" t="s">
        <v>227</v>
      </c>
      <c r="J290" s="2" t="s">
        <v>183</v>
      </c>
      <c r="K290" s="2" t="s">
        <v>183</v>
      </c>
      <c r="L290" s="2">
        <v>392</v>
      </c>
      <c r="M290" s="2" t="s">
        <v>51</v>
      </c>
      <c r="N290" s="2" t="s">
        <v>237</v>
      </c>
    </row>
    <row r="291" spans="1:14" x14ac:dyDescent="0.25">
      <c r="A291" s="2">
        <v>9617</v>
      </c>
      <c r="B291" s="2">
        <v>7601</v>
      </c>
      <c r="C291" s="2" t="s">
        <v>226</v>
      </c>
      <c r="D291" s="2">
        <v>40</v>
      </c>
      <c r="E291" s="2" t="s">
        <v>5</v>
      </c>
      <c r="F291" s="2">
        <v>20</v>
      </c>
      <c r="G291" s="2">
        <v>0</v>
      </c>
      <c r="H291" s="2">
        <v>0</v>
      </c>
      <c r="I291" s="2" t="s">
        <v>227</v>
      </c>
      <c r="J291" s="2" t="s">
        <v>183</v>
      </c>
      <c r="K291" s="2" t="s">
        <v>183</v>
      </c>
      <c r="L291" s="2">
        <v>392</v>
      </c>
      <c r="M291" s="2" t="s">
        <v>51</v>
      </c>
      <c r="N291" s="2" t="s">
        <v>237</v>
      </c>
    </row>
    <row r="292" spans="1:14" x14ac:dyDescent="0.25">
      <c r="A292" s="2">
        <v>9618</v>
      </c>
      <c r="B292" s="2">
        <v>7601</v>
      </c>
      <c r="C292" s="2" t="s">
        <v>226</v>
      </c>
      <c r="D292" s="2">
        <v>842</v>
      </c>
      <c r="E292" s="2" t="s">
        <v>229</v>
      </c>
      <c r="F292" s="2">
        <v>74535</v>
      </c>
      <c r="G292" s="2">
        <v>100</v>
      </c>
      <c r="H292" s="2">
        <v>23105.85</v>
      </c>
      <c r="I292" s="2" t="s">
        <v>227</v>
      </c>
      <c r="J292" s="2">
        <v>0</v>
      </c>
      <c r="K292" s="2" t="s">
        <v>235</v>
      </c>
      <c r="L292" s="2">
        <v>484</v>
      </c>
      <c r="M292" s="2" t="s">
        <v>70</v>
      </c>
      <c r="N292" s="2" t="s">
        <v>237</v>
      </c>
    </row>
    <row r="293" spans="1:14" x14ac:dyDescent="0.25">
      <c r="A293" s="2">
        <v>9619</v>
      </c>
      <c r="B293" s="2">
        <v>7601</v>
      </c>
      <c r="C293" s="2" t="s">
        <v>226</v>
      </c>
      <c r="D293" s="2">
        <v>156</v>
      </c>
      <c r="E293" s="2" t="s">
        <v>18</v>
      </c>
      <c r="F293" s="2">
        <v>10204</v>
      </c>
      <c r="G293" s="2">
        <v>66.099999999999994</v>
      </c>
      <c r="H293" s="2">
        <v>4763</v>
      </c>
      <c r="I293" s="2" t="s">
        <v>227</v>
      </c>
      <c r="J293" s="2" t="s">
        <v>183</v>
      </c>
      <c r="K293" s="2" t="s">
        <v>183</v>
      </c>
      <c r="L293" s="2">
        <v>504</v>
      </c>
      <c r="M293" s="2" t="s">
        <v>73</v>
      </c>
      <c r="N293" s="2" t="s">
        <v>237</v>
      </c>
    </row>
    <row r="294" spans="1:14" x14ac:dyDescent="0.25">
      <c r="A294" s="2">
        <v>9620</v>
      </c>
      <c r="B294" s="2">
        <v>7601</v>
      </c>
      <c r="C294" s="2" t="s">
        <v>226</v>
      </c>
      <c r="D294" s="2">
        <v>300</v>
      </c>
      <c r="E294" s="2" t="s">
        <v>39</v>
      </c>
      <c r="F294" s="2">
        <v>1683</v>
      </c>
      <c r="G294" s="2">
        <v>10.9</v>
      </c>
      <c r="H294" s="2">
        <v>397</v>
      </c>
      <c r="I294" s="2" t="s">
        <v>227</v>
      </c>
      <c r="J294" s="2" t="s">
        <v>183</v>
      </c>
      <c r="K294" s="2" t="s">
        <v>183</v>
      </c>
      <c r="L294" s="2">
        <v>504</v>
      </c>
      <c r="M294" s="2" t="s">
        <v>73</v>
      </c>
      <c r="N294" s="2" t="s">
        <v>237</v>
      </c>
    </row>
    <row r="295" spans="1:14" x14ac:dyDescent="0.25">
      <c r="A295" s="2">
        <v>9621</v>
      </c>
      <c r="B295" s="2">
        <v>7601</v>
      </c>
      <c r="C295" s="2" t="s">
        <v>226</v>
      </c>
      <c r="D295" s="2">
        <v>344</v>
      </c>
      <c r="E295" s="2" t="s">
        <v>42</v>
      </c>
      <c r="F295" s="2">
        <v>1102</v>
      </c>
      <c r="G295" s="2">
        <v>7.1</v>
      </c>
      <c r="H295" s="2">
        <v>470</v>
      </c>
      <c r="I295" s="2" t="s">
        <v>227</v>
      </c>
      <c r="J295" s="2" t="s">
        <v>183</v>
      </c>
      <c r="K295" s="2" t="s">
        <v>183</v>
      </c>
      <c r="L295" s="2">
        <v>504</v>
      </c>
      <c r="M295" s="2" t="s">
        <v>73</v>
      </c>
      <c r="N295" s="2" t="s">
        <v>237</v>
      </c>
    </row>
    <row r="296" spans="1:14" x14ac:dyDescent="0.25">
      <c r="A296" s="2">
        <v>9622</v>
      </c>
      <c r="B296" s="2">
        <v>7601</v>
      </c>
      <c r="C296" s="2" t="s">
        <v>226</v>
      </c>
      <c r="D296" s="2">
        <v>381</v>
      </c>
      <c r="E296" s="2" t="s">
        <v>50</v>
      </c>
      <c r="F296" s="2">
        <v>881</v>
      </c>
      <c r="G296" s="2">
        <v>5.7</v>
      </c>
      <c r="H296" s="2">
        <v>399</v>
      </c>
      <c r="I296" s="2" t="s">
        <v>227</v>
      </c>
      <c r="J296" s="2" t="s">
        <v>183</v>
      </c>
      <c r="K296" s="2" t="s">
        <v>183</v>
      </c>
      <c r="L296" s="2">
        <v>504</v>
      </c>
      <c r="M296" s="2" t="s">
        <v>73</v>
      </c>
      <c r="N296" s="2" t="s">
        <v>237</v>
      </c>
    </row>
    <row r="297" spans="1:14" x14ac:dyDescent="0.25">
      <c r="A297" s="2">
        <v>9623</v>
      </c>
      <c r="B297" s="2">
        <v>7601</v>
      </c>
      <c r="C297" s="2" t="s">
        <v>226</v>
      </c>
      <c r="D297" s="2">
        <v>392</v>
      </c>
      <c r="E297" s="2" t="s">
        <v>51</v>
      </c>
      <c r="F297" s="2">
        <v>837</v>
      </c>
      <c r="G297" s="2">
        <v>5.4</v>
      </c>
      <c r="H297" s="2">
        <v>373</v>
      </c>
      <c r="I297" s="2" t="s">
        <v>227</v>
      </c>
      <c r="J297" s="2" t="s">
        <v>183</v>
      </c>
      <c r="K297" s="2" t="s">
        <v>183</v>
      </c>
      <c r="L297" s="2">
        <v>504</v>
      </c>
      <c r="M297" s="2" t="s">
        <v>73</v>
      </c>
      <c r="N297" s="2" t="s">
        <v>237</v>
      </c>
    </row>
    <row r="298" spans="1:14" x14ac:dyDescent="0.25">
      <c r="A298" s="2">
        <v>9624</v>
      </c>
      <c r="B298" s="2">
        <v>7601</v>
      </c>
      <c r="C298" s="2" t="s">
        <v>226</v>
      </c>
      <c r="D298" s="2">
        <v>724</v>
      </c>
      <c r="E298" s="2" t="s">
        <v>98</v>
      </c>
      <c r="F298" s="2">
        <v>306</v>
      </c>
      <c r="G298" s="2">
        <v>2</v>
      </c>
      <c r="H298" s="2">
        <v>105</v>
      </c>
      <c r="I298" s="2" t="s">
        <v>227</v>
      </c>
      <c r="J298" s="2" t="s">
        <v>183</v>
      </c>
      <c r="K298" s="2" t="s">
        <v>183</v>
      </c>
      <c r="L298" s="2">
        <v>504</v>
      </c>
      <c r="M298" s="2" t="s">
        <v>73</v>
      </c>
      <c r="N298" s="2" t="s">
        <v>237</v>
      </c>
    </row>
    <row r="299" spans="1:14" x14ac:dyDescent="0.25">
      <c r="A299" s="2">
        <v>9434</v>
      </c>
      <c r="B299" s="2">
        <v>7601</v>
      </c>
      <c r="C299" s="2" t="s">
        <v>226</v>
      </c>
      <c r="D299" s="2">
        <v>251</v>
      </c>
      <c r="E299" s="2" t="s">
        <v>33</v>
      </c>
      <c r="F299" s="2">
        <v>9236</v>
      </c>
      <c r="G299" s="2">
        <v>2.9</v>
      </c>
      <c r="H299" s="2">
        <v>2458</v>
      </c>
      <c r="I299" s="2" t="s">
        <v>227</v>
      </c>
      <c r="J299" s="2" t="s">
        <v>183</v>
      </c>
      <c r="K299" s="2" t="s">
        <v>183</v>
      </c>
      <c r="L299" s="2">
        <v>203</v>
      </c>
      <c r="M299" s="2" t="s">
        <v>211</v>
      </c>
      <c r="N299" s="2" t="s">
        <v>237</v>
      </c>
    </row>
    <row r="300" spans="1:14" x14ac:dyDescent="0.25">
      <c r="A300" s="2">
        <v>9626</v>
      </c>
      <c r="B300" s="2">
        <v>7601</v>
      </c>
      <c r="C300" s="2" t="s">
        <v>226</v>
      </c>
      <c r="D300" s="2">
        <v>699</v>
      </c>
      <c r="E300" s="2" t="s">
        <v>45</v>
      </c>
      <c r="F300" s="2">
        <v>132</v>
      </c>
      <c r="G300" s="2">
        <v>0.9</v>
      </c>
      <c r="H300" s="2">
        <v>67</v>
      </c>
      <c r="I300" s="2" t="s">
        <v>227</v>
      </c>
      <c r="J300" s="2" t="s">
        <v>183</v>
      </c>
      <c r="K300" s="2" t="s">
        <v>183</v>
      </c>
      <c r="L300" s="2">
        <v>504</v>
      </c>
      <c r="M300" s="2" t="s">
        <v>73</v>
      </c>
      <c r="N300" s="2" t="s">
        <v>237</v>
      </c>
    </row>
    <row r="301" spans="1:14" x14ac:dyDescent="0.25">
      <c r="A301" s="2">
        <v>9627</v>
      </c>
      <c r="B301" s="2">
        <v>7601</v>
      </c>
      <c r="C301" s="2" t="s">
        <v>226</v>
      </c>
      <c r="D301" s="2">
        <v>826</v>
      </c>
      <c r="E301" s="2" t="s">
        <v>110</v>
      </c>
      <c r="F301" s="2">
        <v>51</v>
      </c>
      <c r="G301" s="2">
        <v>0.3</v>
      </c>
      <c r="H301" s="2">
        <v>25</v>
      </c>
      <c r="I301" s="2" t="s">
        <v>227</v>
      </c>
      <c r="J301" s="2" t="s">
        <v>183</v>
      </c>
      <c r="K301" s="2" t="s">
        <v>183</v>
      </c>
      <c r="L301" s="2">
        <v>504</v>
      </c>
      <c r="M301" s="2" t="s">
        <v>73</v>
      </c>
      <c r="N301" s="2" t="s">
        <v>237</v>
      </c>
    </row>
    <row r="302" spans="1:14" x14ac:dyDescent="0.25">
      <c r="A302" s="2">
        <v>9628</v>
      </c>
      <c r="B302" s="2">
        <v>7601</v>
      </c>
      <c r="C302" s="2" t="s">
        <v>226</v>
      </c>
      <c r="D302" s="2">
        <v>276</v>
      </c>
      <c r="E302" s="2" t="s">
        <v>37</v>
      </c>
      <c r="F302" s="2">
        <v>267139</v>
      </c>
      <c r="G302" s="2">
        <v>35.700000000000003</v>
      </c>
      <c r="H302" s="2">
        <v>94681</v>
      </c>
      <c r="I302" s="2" t="s">
        <v>227</v>
      </c>
      <c r="J302" s="2" t="s">
        <v>183</v>
      </c>
      <c r="K302" s="2" t="s">
        <v>183</v>
      </c>
      <c r="L302" s="2">
        <v>616</v>
      </c>
      <c r="M302" s="2" t="s">
        <v>86</v>
      </c>
      <c r="N302" s="2" t="s">
        <v>237</v>
      </c>
    </row>
    <row r="303" spans="1:14" x14ac:dyDescent="0.25">
      <c r="A303" s="2">
        <v>9629</v>
      </c>
      <c r="B303" s="2">
        <v>7601</v>
      </c>
      <c r="C303" s="2" t="s">
        <v>226</v>
      </c>
      <c r="D303" s="2">
        <v>203</v>
      </c>
      <c r="E303" s="2" t="s">
        <v>211</v>
      </c>
      <c r="F303" s="2">
        <v>180449</v>
      </c>
      <c r="G303" s="2">
        <v>24.1</v>
      </c>
      <c r="H303" s="2">
        <v>60395</v>
      </c>
      <c r="I303" s="2" t="s">
        <v>227</v>
      </c>
      <c r="J303" s="2" t="s">
        <v>183</v>
      </c>
      <c r="K303" s="2" t="s">
        <v>183</v>
      </c>
      <c r="L303" s="2">
        <v>616</v>
      </c>
      <c r="M303" s="2" t="s">
        <v>86</v>
      </c>
      <c r="N303" s="2" t="s">
        <v>237</v>
      </c>
    </row>
    <row r="304" spans="1:14" x14ac:dyDescent="0.25">
      <c r="A304" s="2">
        <v>9630</v>
      </c>
      <c r="B304" s="2">
        <v>7601</v>
      </c>
      <c r="C304" s="2" t="s">
        <v>226</v>
      </c>
      <c r="D304" s="2">
        <v>703</v>
      </c>
      <c r="E304" s="2" t="s">
        <v>95</v>
      </c>
      <c r="F304" s="2">
        <v>60742</v>
      </c>
      <c r="G304" s="2">
        <v>8.1</v>
      </c>
      <c r="H304" s="2">
        <v>19807</v>
      </c>
      <c r="I304" s="2" t="s">
        <v>227</v>
      </c>
      <c r="J304" s="2" t="s">
        <v>183</v>
      </c>
      <c r="K304" s="2" t="s">
        <v>183</v>
      </c>
      <c r="L304" s="2">
        <v>616</v>
      </c>
      <c r="M304" s="2" t="s">
        <v>86</v>
      </c>
      <c r="N304" s="2" t="s">
        <v>237</v>
      </c>
    </row>
    <row r="305" spans="1:14" x14ac:dyDescent="0.25">
      <c r="A305" s="2">
        <v>9631</v>
      </c>
      <c r="B305" s="2">
        <v>7601</v>
      </c>
      <c r="C305" s="2" t="s">
        <v>226</v>
      </c>
      <c r="D305" s="2">
        <v>381</v>
      </c>
      <c r="E305" s="2" t="s">
        <v>50</v>
      </c>
      <c r="F305" s="2">
        <v>40658</v>
      </c>
      <c r="G305" s="2">
        <v>5.4</v>
      </c>
      <c r="H305" s="2">
        <v>12815</v>
      </c>
      <c r="I305" s="2" t="s">
        <v>227</v>
      </c>
      <c r="J305" s="2" t="s">
        <v>183</v>
      </c>
      <c r="K305" s="2" t="s">
        <v>183</v>
      </c>
      <c r="L305" s="2">
        <v>616</v>
      </c>
      <c r="M305" s="2" t="s">
        <v>86</v>
      </c>
      <c r="N305" s="2" t="s">
        <v>237</v>
      </c>
    </row>
    <row r="306" spans="1:14" x14ac:dyDescent="0.25">
      <c r="A306" s="2">
        <v>9632</v>
      </c>
      <c r="B306" s="2">
        <v>7601</v>
      </c>
      <c r="C306" s="2" t="s">
        <v>226</v>
      </c>
      <c r="D306" s="2">
        <v>40</v>
      </c>
      <c r="E306" s="2" t="s">
        <v>5</v>
      </c>
      <c r="F306" s="2">
        <v>39998</v>
      </c>
      <c r="G306" s="2">
        <v>5.3</v>
      </c>
      <c r="H306" s="2">
        <v>13903</v>
      </c>
      <c r="I306" s="2" t="s">
        <v>227</v>
      </c>
      <c r="J306" s="2" t="s">
        <v>183</v>
      </c>
      <c r="K306" s="2" t="s">
        <v>183</v>
      </c>
      <c r="L306" s="2">
        <v>616</v>
      </c>
      <c r="M306" s="2" t="s">
        <v>86</v>
      </c>
      <c r="N306" s="2" t="s">
        <v>237</v>
      </c>
    </row>
    <row r="307" spans="1:14" x14ac:dyDescent="0.25">
      <c r="A307" s="2">
        <v>9633</v>
      </c>
      <c r="B307" s="2">
        <v>7601</v>
      </c>
      <c r="C307" s="2" t="s">
        <v>226</v>
      </c>
      <c r="D307" s="2">
        <v>348</v>
      </c>
      <c r="E307" s="2" t="s">
        <v>43</v>
      </c>
      <c r="F307" s="2">
        <v>35547</v>
      </c>
      <c r="G307" s="2">
        <v>4.8</v>
      </c>
      <c r="H307" s="2">
        <v>10795</v>
      </c>
      <c r="I307" s="2" t="s">
        <v>227</v>
      </c>
      <c r="J307" s="2" t="s">
        <v>183</v>
      </c>
      <c r="K307" s="2" t="s">
        <v>183</v>
      </c>
      <c r="L307" s="2">
        <v>616</v>
      </c>
      <c r="M307" s="2" t="s">
        <v>86</v>
      </c>
      <c r="N307" s="2" t="s">
        <v>237</v>
      </c>
    </row>
    <row r="308" spans="1:14" x14ac:dyDescent="0.25">
      <c r="A308" s="2">
        <v>9634</v>
      </c>
      <c r="B308" s="2">
        <v>7601</v>
      </c>
      <c r="C308" s="2" t="s">
        <v>226</v>
      </c>
      <c r="D308" s="2">
        <v>705</v>
      </c>
      <c r="E308" s="2" t="s">
        <v>96</v>
      </c>
      <c r="F308" s="2">
        <v>30741</v>
      </c>
      <c r="G308" s="2">
        <v>4.0999999999999996</v>
      </c>
      <c r="H308" s="2">
        <v>9607</v>
      </c>
      <c r="I308" s="2" t="s">
        <v>227</v>
      </c>
      <c r="J308" s="2" t="s">
        <v>183</v>
      </c>
      <c r="K308" s="2" t="s">
        <v>183</v>
      </c>
      <c r="L308" s="2">
        <v>616</v>
      </c>
      <c r="M308" s="2" t="s">
        <v>86</v>
      </c>
      <c r="N308" s="2" t="s">
        <v>237</v>
      </c>
    </row>
    <row r="309" spans="1:14" x14ac:dyDescent="0.25">
      <c r="A309" s="2">
        <v>9456</v>
      </c>
      <c r="B309" s="2">
        <v>7601</v>
      </c>
      <c r="C309" s="2" t="s">
        <v>226</v>
      </c>
      <c r="D309" s="2">
        <v>251</v>
      </c>
      <c r="E309" s="2" t="s">
        <v>33</v>
      </c>
      <c r="F309" s="2">
        <v>1652</v>
      </c>
      <c r="G309" s="2">
        <v>2.7</v>
      </c>
      <c r="H309" s="2">
        <v>643</v>
      </c>
      <c r="I309" s="2" t="s">
        <v>227</v>
      </c>
      <c r="J309" s="2" t="s">
        <v>183</v>
      </c>
      <c r="K309" s="2" t="s">
        <v>183</v>
      </c>
      <c r="L309" s="2">
        <v>246</v>
      </c>
      <c r="M309" s="2" t="s">
        <v>32</v>
      </c>
      <c r="N309" s="2" t="s">
        <v>237</v>
      </c>
    </row>
    <row r="310" spans="1:14" x14ac:dyDescent="0.25">
      <c r="A310" s="2">
        <v>9636</v>
      </c>
      <c r="B310" s="2">
        <v>7601</v>
      </c>
      <c r="C310" s="2" t="s">
        <v>226</v>
      </c>
      <c r="D310" s="2">
        <v>528</v>
      </c>
      <c r="E310" s="2" t="s">
        <v>75</v>
      </c>
      <c r="F310" s="2">
        <v>18074</v>
      </c>
      <c r="G310" s="2">
        <v>2.4</v>
      </c>
      <c r="H310" s="2">
        <v>4975</v>
      </c>
      <c r="I310" s="2" t="s">
        <v>227</v>
      </c>
      <c r="J310" s="2" t="s">
        <v>183</v>
      </c>
      <c r="K310" s="2" t="s">
        <v>183</v>
      </c>
      <c r="L310" s="2">
        <v>616</v>
      </c>
      <c r="M310" s="2" t="s">
        <v>86</v>
      </c>
      <c r="N310" s="2" t="s">
        <v>237</v>
      </c>
    </row>
    <row r="311" spans="1:14" x14ac:dyDescent="0.25">
      <c r="A311" s="2">
        <v>9637</v>
      </c>
      <c r="B311" s="2">
        <v>7601</v>
      </c>
      <c r="C311" s="2" t="s">
        <v>226</v>
      </c>
      <c r="D311" s="2">
        <v>56</v>
      </c>
      <c r="E311" s="2" t="s">
        <v>11</v>
      </c>
      <c r="F311" s="2">
        <v>9900</v>
      </c>
      <c r="G311" s="2">
        <v>1.3</v>
      </c>
      <c r="H311" s="2">
        <v>3440</v>
      </c>
      <c r="I311" s="2" t="s">
        <v>227</v>
      </c>
      <c r="J311" s="2" t="s">
        <v>183</v>
      </c>
      <c r="K311" s="2" t="s">
        <v>183</v>
      </c>
      <c r="L311" s="2">
        <v>616</v>
      </c>
      <c r="M311" s="2" t="s">
        <v>86</v>
      </c>
      <c r="N311" s="2" t="s">
        <v>237</v>
      </c>
    </row>
    <row r="312" spans="1:14" x14ac:dyDescent="0.25">
      <c r="A312" s="2">
        <v>9638</v>
      </c>
      <c r="B312" s="2">
        <v>7601</v>
      </c>
      <c r="C312" s="2" t="s">
        <v>226</v>
      </c>
      <c r="D312" s="2">
        <v>642</v>
      </c>
      <c r="E312" s="2" t="s">
        <v>89</v>
      </c>
      <c r="F312" s="2">
        <v>8215</v>
      </c>
      <c r="G312" s="2">
        <v>1.1000000000000001</v>
      </c>
      <c r="H312" s="2">
        <v>2963</v>
      </c>
      <c r="I312" s="2" t="s">
        <v>227</v>
      </c>
      <c r="J312" s="2" t="s">
        <v>183</v>
      </c>
      <c r="K312" s="2" t="s">
        <v>183</v>
      </c>
      <c r="L312" s="2">
        <v>616</v>
      </c>
      <c r="M312" s="2" t="s">
        <v>86</v>
      </c>
      <c r="N312" s="2" t="s">
        <v>237</v>
      </c>
    </row>
    <row r="313" spans="1:14" x14ac:dyDescent="0.25">
      <c r="A313" s="2">
        <v>9639</v>
      </c>
      <c r="B313" s="2">
        <v>7601</v>
      </c>
      <c r="C313" s="2" t="s">
        <v>226</v>
      </c>
      <c r="D313" s="2">
        <v>804</v>
      </c>
      <c r="E313" s="2" t="s">
        <v>117</v>
      </c>
      <c r="F313" s="2">
        <v>7874</v>
      </c>
      <c r="G313" s="2">
        <v>1.1000000000000001</v>
      </c>
      <c r="H313" s="2">
        <v>2460</v>
      </c>
      <c r="I313" s="2" t="s">
        <v>227</v>
      </c>
      <c r="J313" s="2" t="s">
        <v>183</v>
      </c>
      <c r="K313" s="2" t="s">
        <v>183</v>
      </c>
      <c r="L313" s="2">
        <v>616</v>
      </c>
      <c r="M313" s="2" t="s">
        <v>86</v>
      </c>
      <c r="N313" s="2" t="s">
        <v>237</v>
      </c>
    </row>
    <row r="314" spans="1:14" x14ac:dyDescent="0.25">
      <c r="A314" s="2">
        <v>9640</v>
      </c>
      <c r="B314" s="2">
        <v>7601</v>
      </c>
      <c r="C314" s="2" t="s">
        <v>226</v>
      </c>
      <c r="D314" s="2">
        <v>191</v>
      </c>
      <c r="E314" s="2" t="s">
        <v>21</v>
      </c>
      <c r="F314" s="2">
        <v>7119</v>
      </c>
      <c r="G314" s="2">
        <v>1</v>
      </c>
      <c r="H314" s="2">
        <v>2452</v>
      </c>
      <c r="I314" s="2" t="s">
        <v>227</v>
      </c>
      <c r="J314" s="2" t="s">
        <v>183</v>
      </c>
      <c r="K314" s="2" t="s">
        <v>183</v>
      </c>
      <c r="L314" s="2">
        <v>616</v>
      </c>
      <c r="M314" s="2" t="s">
        <v>86</v>
      </c>
      <c r="N314" s="2" t="s">
        <v>237</v>
      </c>
    </row>
    <row r="315" spans="1:14" x14ac:dyDescent="0.25">
      <c r="A315" s="2">
        <v>9641</v>
      </c>
      <c r="B315" s="2">
        <v>7601</v>
      </c>
      <c r="C315" s="2" t="s">
        <v>226</v>
      </c>
      <c r="D315" s="2">
        <v>826</v>
      </c>
      <c r="E315" s="2" t="s">
        <v>110</v>
      </c>
      <c r="F315" s="2">
        <v>3677</v>
      </c>
      <c r="G315" s="2">
        <v>0.5</v>
      </c>
      <c r="H315" s="2">
        <v>1130</v>
      </c>
      <c r="I315" s="2" t="s">
        <v>227</v>
      </c>
      <c r="J315" s="2" t="s">
        <v>183</v>
      </c>
      <c r="K315" s="2" t="s">
        <v>183</v>
      </c>
      <c r="L315" s="2">
        <v>616</v>
      </c>
      <c r="M315" s="2" t="s">
        <v>86</v>
      </c>
      <c r="N315" s="2" t="s">
        <v>237</v>
      </c>
    </row>
    <row r="316" spans="1:14" x14ac:dyDescent="0.25">
      <c r="A316" s="2">
        <v>9642</v>
      </c>
      <c r="B316" s="2">
        <v>7601</v>
      </c>
      <c r="C316" s="2" t="s">
        <v>226</v>
      </c>
      <c r="D316" s="2">
        <v>100</v>
      </c>
      <c r="E316" s="2" t="s">
        <v>15</v>
      </c>
      <c r="F316" s="2">
        <v>3258</v>
      </c>
      <c r="G316" s="2">
        <v>0.4</v>
      </c>
      <c r="H316" s="2">
        <v>1226</v>
      </c>
      <c r="I316" s="2" t="s">
        <v>227</v>
      </c>
      <c r="J316" s="2" t="s">
        <v>183</v>
      </c>
      <c r="K316" s="2" t="s">
        <v>183</v>
      </c>
      <c r="L316" s="2">
        <v>616</v>
      </c>
      <c r="M316" s="2" t="s">
        <v>86</v>
      </c>
      <c r="N316" s="2" t="s">
        <v>237</v>
      </c>
    </row>
    <row r="317" spans="1:14" x14ac:dyDescent="0.25">
      <c r="A317" s="2">
        <v>9643</v>
      </c>
      <c r="B317" s="2">
        <v>7601</v>
      </c>
      <c r="C317" s="2" t="s">
        <v>226</v>
      </c>
      <c r="D317" s="2">
        <v>807</v>
      </c>
      <c r="E317" s="2" t="s">
        <v>239</v>
      </c>
      <c r="F317" s="2">
        <v>2771</v>
      </c>
      <c r="G317" s="2">
        <v>0.4</v>
      </c>
      <c r="H317" s="2">
        <v>993</v>
      </c>
      <c r="I317" s="2" t="s">
        <v>227</v>
      </c>
      <c r="J317" s="2" t="s">
        <v>183</v>
      </c>
      <c r="K317" s="2" t="s">
        <v>183</v>
      </c>
      <c r="L317" s="2">
        <v>616</v>
      </c>
      <c r="M317" s="2" t="s">
        <v>86</v>
      </c>
      <c r="N317" s="2" t="s">
        <v>237</v>
      </c>
    </row>
    <row r="318" spans="1:14" x14ac:dyDescent="0.25">
      <c r="A318" s="2">
        <v>9644</v>
      </c>
      <c r="B318" s="2">
        <v>7601</v>
      </c>
      <c r="C318" s="2" t="s">
        <v>226</v>
      </c>
      <c r="D318" s="2">
        <v>752</v>
      </c>
      <c r="E318" s="2" t="s">
        <v>100</v>
      </c>
      <c r="F318" s="2">
        <v>2325</v>
      </c>
      <c r="G318" s="2">
        <v>0.3</v>
      </c>
      <c r="H318" s="2">
        <v>509</v>
      </c>
      <c r="I318" s="2" t="s">
        <v>227</v>
      </c>
      <c r="J318" s="2" t="s">
        <v>183</v>
      </c>
      <c r="K318" s="2" t="s">
        <v>183</v>
      </c>
      <c r="L318" s="2">
        <v>616</v>
      </c>
      <c r="M318" s="2" t="s">
        <v>86</v>
      </c>
      <c r="N318" s="2" t="s">
        <v>237</v>
      </c>
    </row>
    <row r="319" spans="1:14" x14ac:dyDescent="0.25">
      <c r="A319" s="2">
        <v>9645</v>
      </c>
      <c r="B319" s="2">
        <v>7601</v>
      </c>
      <c r="C319" s="2" t="s">
        <v>226</v>
      </c>
      <c r="D319" s="2">
        <v>842</v>
      </c>
      <c r="E319" s="2" t="s">
        <v>229</v>
      </c>
      <c r="F319" s="2">
        <v>2165</v>
      </c>
      <c r="G319" s="2">
        <v>0.3</v>
      </c>
      <c r="H319" s="2">
        <v>1025</v>
      </c>
      <c r="I319" s="2" t="s">
        <v>227</v>
      </c>
      <c r="J319" s="2" t="s">
        <v>183</v>
      </c>
      <c r="K319" s="2" t="s">
        <v>183</v>
      </c>
      <c r="L319" s="2">
        <v>616</v>
      </c>
      <c r="M319" s="2" t="s">
        <v>86</v>
      </c>
      <c r="N319" s="2" t="s">
        <v>237</v>
      </c>
    </row>
    <row r="320" spans="1:14" x14ac:dyDescent="0.25">
      <c r="A320" s="2">
        <v>9646</v>
      </c>
      <c r="B320" s="2">
        <v>7601</v>
      </c>
      <c r="C320" s="2" t="s">
        <v>226</v>
      </c>
      <c r="D320" s="2">
        <v>579</v>
      </c>
      <c r="E320" s="2" t="s">
        <v>79</v>
      </c>
      <c r="F320" s="2">
        <v>1835</v>
      </c>
      <c r="G320" s="2">
        <v>0.2</v>
      </c>
      <c r="H320" s="2">
        <v>398</v>
      </c>
      <c r="I320" s="2" t="s">
        <v>227</v>
      </c>
      <c r="J320" s="2" t="s">
        <v>183</v>
      </c>
      <c r="K320" s="2" t="s">
        <v>183</v>
      </c>
      <c r="L320" s="2">
        <v>616</v>
      </c>
      <c r="M320" s="2" t="s">
        <v>86</v>
      </c>
      <c r="N320" s="2" t="s">
        <v>237</v>
      </c>
    </row>
    <row r="321" spans="1:14" x14ac:dyDescent="0.25">
      <c r="A321" s="2">
        <v>9647</v>
      </c>
      <c r="B321" s="2">
        <v>7601</v>
      </c>
      <c r="C321" s="2" t="s">
        <v>226</v>
      </c>
      <c r="D321" s="2">
        <v>688</v>
      </c>
      <c r="E321" s="2" t="s">
        <v>92</v>
      </c>
      <c r="F321" s="2">
        <v>1547</v>
      </c>
      <c r="G321" s="2">
        <v>0.2</v>
      </c>
      <c r="H321" s="2">
        <v>458</v>
      </c>
      <c r="I321" s="2" t="s">
        <v>227</v>
      </c>
      <c r="J321" s="2" t="s">
        <v>183</v>
      </c>
      <c r="K321" s="2" t="s">
        <v>183</v>
      </c>
      <c r="L321" s="2">
        <v>616</v>
      </c>
      <c r="M321" s="2" t="s">
        <v>86</v>
      </c>
      <c r="N321" s="2" t="s">
        <v>237</v>
      </c>
    </row>
    <row r="322" spans="1:14" x14ac:dyDescent="0.25">
      <c r="A322" s="2">
        <v>9648</v>
      </c>
      <c r="B322" s="2">
        <v>7601</v>
      </c>
      <c r="C322" s="2" t="s">
        <v>226</v>
      </c>
      <c r="D322" s="2">
        <v>756</v>
      </c>
      <c r="E322" s="2" t="s">
        <v>101</v>
      </c>
      <c r="F322" s="2">
        <v>802</v>
      </c>
      <c r="G322" s="2">
        <v>0.1</v>
      </c>
      <c r="H322" s="2">
        <v>240</v>
      </c>
      <c r="I322" s="2" t="s">
        <v>227</v>
      </c>
      <c r="J322" s="2" t="s">
        <v>183</v>
      </c>
      <c r="K322" s="2" t="s">
        <v>183</v>
      </c>
      <c r="L322" s="2">
        <v>616</v>
      </c>
      <c r="M322" s="2" t="s">
        <v>86</v>
      </c>
      <c r="N322" s="2" t="s">
        <v>237</v>
      </c>
    </row>
    <row r="323" spans="1:14" x14ac:dyDescent="0.25">
      <c r="A323" s="2">
        <v>9649</v>
      </c>
      <c r="B323" s="2">
        <v>7601</v>
      </c>
      <c r="C323" s="2" t="s">
        <v>226</v>
      </c>
      <c r="D323" s="2">
        <v>70</v>
      </c>
      <c r="E323" s="2" t="s">
        <v>236</v>
      </c>
      <c r="F323" s="2">
        <v>721</v>
      </c>
      <c r="G323" s="2">
        <v>0.1</v>
      </c>
      <c r="H323" s="2">
        <v>214</v>
      </c>
      <c r="I323" s="2" t="s">
        <v>227</v>
      </c>
      <c r="J323" s="2" t="s">
        <v>183</v>
      </c>
      <c r="K323" s="2" t="s">
        <v>183</v>
      </c>
      <c r="L323" s="2">
        <v>616</v>
      </c>
      <c r="M323" s="2" t="s">
        <v>86</v>
      </c>
      <c r="N323" s="2" t="s">
        <v>237</v>
      </c>
    </row>
    <row r="324" spans="1:14" x14ac:dyDescent="0.25">
      <c r="A324" s="2">
        <v>9650</v>
      </c>
      <c r="B324" s="2">
        <v>7601</v>
      </c>
      <c r="C324" s="2" t="s">
        <v>226</v>
      </c>
      <c r="D324" s="2">
        <v>233</v>
      </c>
      <c r="E324" s="2" t="s">
        <v>30</v>
      </c>
      <c r="F324" s="2">
        <v>604</v>
      </c>
      <c r="G324" s="2">
        <v>0.1</v>
      </c>
      <c r="H324" s="2">
        <v>157</v>
      </c>
      <c r="I324" s="2" t="s">
        <v>227</v>
      </c>
      <c r="J324" s="2" t="s">
        <v>183</v>
      </c>
      <c r="K324" s="2" t="s">
        <v>183</v>
      </c>
      <c r="L324" s="2">
        <v>616</v>
      </c>
      <c r="M324" s="2" t="s">
        <v>86</v>
      </c>
      <c r="N324" s="2" t="s">
        <v>237</v>
      </c>
    </row>
    <row r="325" spans="1:14" x14ac:dyDescent="0.25">
      <c r="A325" s="2">
        <v>9651</v>
      </c>
      <c r="B325" s="2">
        <v>7601</v>
      </c>
      <c r="C325" s="2" t="s">
        <v>226</v>
      </c>
      <c r="D325" s="2">
        <v>440</v>
      </c>
      <c r="E325" s="2" t="s">
        <v>61</v>
      </c>
      <c r="F325" s="2">
        <v>443</v>
      </c>
      <c r="G325" s="2">
        <v>0.1</v>
      </c>
      <c r="H325" s="2">
        <v>128</v>
      </c>
      <c r="I325" s="2" t="s">
        <v>227</v>
      </c>
      <c r="J325" s="2" t="s">
        <v>183</v>
      </c>
      <c r="K325" s="2" t="s">
        <v>183</v>
      </c>
      <c r="L325" s="2">
        <v>616</v>
      </c>
      <c r="M325" s="2" t="s">
        <v>86</v>
      </c>
      <c r="N325" s="2" t="s">
        <v>237</v>
      </c>
    </row>
    <row r="326" spans="1:14" x14ac:dyDescent="0.25">
      <c r="A326" s="2">
        <v>9652</v>
      </c>
      <c r="B326" s="2">
        <v>7601</v>
      </c>
      <c r="C326" s="2" t="s">
        <v>226</v>
      </c>
      <c r="D326" s="2">
        <v>724</v>
      </c>
      <c r="E326" s="2" t="s">
        <v>98</v>
      </c>
      <c r="F326" s="2">
        <v>43460</v>
      </c>
      <c r="G326" s="2">
        <v>92</v>
      </c>
      <c r="H326" s="2">
        <v>14840</v>
      </c>
      <c r="I326" s="2" t="s">
        <v>227</v>
      </c>
      <c r="J326" s="2" t="s">
        <v>183</v>
      </c>
      <c r="K326" s="2" t="s">
        <v>183</v>
      </c>
      <c r="L326" s="2">
        <v>620</v>
      </c>
      <c r="M326" s="2" t="s">
        <v>87</v>
      </c>
      <c r="N326" s="2" t="s">
        <v>237</v>
      </c>
    </row>
    <row r="327" spans="1:14" x14ac:dyDescent="0.25">
      <c r="A327" s="2">
        <v>9724</v>
      </c>
      <c r="B327" s="2">
        <v>7601</v>
      </c>
      <c r="C327" s="2" t="s">
        <v>226</v>
      </c>
      <c r="D327" s="2">
        <v>251</v>
      </c>
      <c r="E327" s="2" t="s">
        <v>33</v>
      </c>
      <c r="F327" s="2">
        <v>2220</v>
      </c>
      <c r="G327" s="2">
        <v>0.2</v>
      </c>
      <c r="H327" s="2">
        <v>546</v>
      </c>
      <c r="I327" s="2" t="s">
        <v>227</v>
      </c>
      <c r="J327" s="2" t="s">
        <v>183</v>
      </c>
      <c r="K327" s="2" t="s">
        <v>183</v>
      </c>
      <c r="L327" s="2">
        <v>410</v>
      </c>
      <c r="M327" s="2" t="s">
        <v>230</v>
      </c>
      <c r="N327" s="2" t="s">
        <v>237</v>
      </c>
    </row>
    <row r="328" spans="1:14" x14ac:dyDescent="0.25">
      <c r="A328" s="2">
        <v>9654</v>
      </c>
      <c r="B328" s="2">
        <v>7601</v>
      </c>
      <c r="C328" s="2" t="s">
        <v>226</v>
      </c>
      <c r="D328" s="2">
        <v>752</v>
      </c>
      <c r="E328" s="2" t="s">
        <v>100</v>
      </c>
      <c r="F328" s="2">
        <v>609</v>
      </c>
      <c r="G328" s="2">
        <v>1.3</v>
      </c>
      <c r="H328" s="2">
        <v>53</v>
      </c>
      <c r="I328" s="2" t="s">
        <v>227</v>
      </c>
      <c r="J328" s="2" t="s">
        <v>183</v>
      </c>
      <c r="K328" s="2" t="s">
        <v>183</v>
      </c>
      <c r="L328" s="2">
        <v>620</v>
      </c>
      <c r="M328" s="2" t="s">
        <v>87</v>
      </c>
      <c r="N328" s="2" t="s">
        <v>237</v>
      </c>
    </row>
    <row r="329" spans="1:14" x14ac:dyDescent="0.25">
      <c r="A329" s="2">
        <v>9655</v>
      </c>
      <c r="B329" s="2">
        <v>7601</v>
      </c>
      <c r="C329" s="2" t="s">
        <v>226</v>
      </c>
      <c r="D329" s="2">
        <v>276</v>
      </c>
      <c r="E329" s="2" t="s">
        <v>37</v>
      </c>
      <c r="F329" s="2">
        <v>605</v>
      </c>
      <c r="G329" s="2">
        <v>1.3</v>
      </c>
      <c r="H329" s="2">
        <v>268</v>
      </c>
      <c r="I329" s="2" t="s">
        <v>227</v>
      </c>
      <c r="J329" s="2" t="s">
        <v>183</v>
      </c>
      <c r="K329" s="2" t="s">
        <v>183</v>
      </c>
      <c r="L329" s="2">
        <v>620</v>
      </c>
      <c r="M329" s="2" t="s">
        <v>87</v>
      </c>
      <c r="N329" s="2" t="s">
        <v>237</v>
      </c>
    </row>
    <row r="330" spans="1:14" x14ac:dyDescent="0.25">
      <c r="A330" s="2">
        <v>9656</v>
      </c>
      <c r="B330" s="2">
        <v>7601</v>
      </c>
      <c r="C330" s="2" t="s">
        <v>226</v>
      </c>
      <c r="D330" s="2">
        <v>56</v>
      </c>
      <c r="E330" s="2" t="s">
        <v>11</v>
      </c>
      <c r="F330" s="2">
        <v>295</v>
      </c>
      <c r="G330" s="2">
        <v>0.6</v>
      </c>
      <c r="H330" s="2">
        <v>52</v>
      </c>
      <c r="I330" s="2" t="s">
        <v>227</v>
      </c>
      <c r="J330" s="2" t="s">
        <v>183</v>
      </c>
      <c r="K330" s="2" t="s">
        <v>183</v>
      </c>
      <c r="L330" s="2">
        <v>620</v>
      </c>
      <c r="M330" s="2" t="s">
        <v>87</v>
      </c>
      <c r="N330" s="2" t="s">
        <v>237</v>
      </c>
    </row>
    <row r="331" spans="1:14" x14ac:dyDescent="0.25">
      <c r="A331" s="2">
        <v>9657</v>
      </c>
      <c r="B331" s="2">
        <v>7601</v>
      </c>
      <c r="C331" s="2" t="s">
        <v>226</v>
      </c>
      <c r="D331" s="2">
        <v>12</v>
      </c>
      <c r="E331" s="2" t="s">
        <v>0</v>
      </c>
      <c r="F331" s="2">
        <v>231</v>
      </c>
      <c r="G331" s="2">
        <v>0.5</v>
      </c>
      <c r="H331" s="2">
        <v>8</v>
      </c>
      <c r="I331" s="2" t="s">
        <v>227</v>
      </c>
      <c r="J331" s="2" t="s">
        <v>183</v>
      </c>
      <c r="K331" s="2" t="s">
        <v>183</v>
      </c>
      <c r="L331" s="2">
        <v>620</v>
      </c>
      <c r="M331" s="2" t="s">
        <v>87</v>
      </c>
      <c r="N331" s="2" t="s">
        <v>237</v>
      </c>
    </row>
    <row r="332" spans="1:14" x14ac:dyDescent="0.25">
      <c r="A332" s="2">
        <v>9658</v>
      </c>
      <c r="B332" s="2">
        <v>7601</v>
      </c>
      <c r="C332" s="2" t="s">
        <v>226</v>
      </c>
      <c r="D332" s="2">
        <v>381</v>
      </c>
      <c r="E332" s="2" t="s">
        <v>50</v>
      </c>
      <c r="F332" s="2">
        <v>55</v>
      </c>
      <c r="G332" s="2">
        <v>0.1</v>
      </c>
      <c r="H332" s="2">
        <v>24</v>
      </c>
      <c r="I332" s="2" t="s">
        <v>227</v>
      </c>
      <c r="J332" s="2" t="s">
        <v>183</v>
      </c>
      <c r="K332" s="2" t="s">
        <v>183</v>
      </c>
      <c r="L332" s="2">
        <v>620</v>
      </c>
      <c r="M332" s="2" t="s">
        <v>87</v>
      </c>
      <c r="N332" s="2" t="s">
        <v>237</v>
      </c>
    </row>
    <row r="333" spans="1:14" x14ac:dyDescent="0.25">
      <c r="A333" s="2">
        <v>9659</v>
      </c>
      <c r="B333" s="2">
        <v>7601</v>
      </c>
      <c r="C333" s="2" t="s">
        <v>226</v>
      </c>
      <c r="D333" s="2">
        <v>24</v>
      </c>
      <c r="E333" s="2" t="s">
        <v>1</v>
      </c>
      <c r="F333" s="2">
        <v>34</v>
      </c>
      <c r="G333" s="2">
        <v>0.1</v>
      </c>
      <c r="H333" s="2">
        <v>6</v>
      </c>
      <c r="I333" s="2" t="s">
        <v>227</v>
      </c>
      <c r="J333" s="2" t="s">
        <v>183</v>
      </c>
      <c r="K333" s="2" t="s">
        <v>183</v>
      </c>
      <c r="L333" s="2">
        <v>620</v>
      </c>
      <c r="M333" s="2" t="s">
        <v>87</v>
      </c>
      <c r="N333" s="2" t="s">
        <v>237</v>
      </c>
    </row>
    <row r="334" spans="1:14" x14ac:dyDescent="0.25">
      <c r="A334" s="2">
        <v>9660</v>
      </c>
      <c r="B334" s="2">
        <v>7601</v>
      </c>
      <c r="C334" s="2" t="s">
        <v>226</v>
      </c>
      <c r="D334" s="2">
        <v>616</v>
      </c>
      <c r="E334" s="2" t="s">
        <v>86</v>
      </c>
      <c r="F334" s="2">
        <v>18</v>
      </c>
      <c r="G334" s="2">
        <v>0</v>
      </c>
      <c r="H334" s="2">
        <v>2</v>
      </c>
      <c r="I334" s="2" t="s">
        <v>227</v>
      </c>
      <c r="J334" s="2" t="s">
        <v>183</v>
      </c>
      <c r="K334" s="2" t="s">
        <v>183</v>
      </c>
      <c r="L334" s="2">
        <v>620</v>
      </c>
      <c r="M334" s="2" t="s">
        <v>87</v>
      </c>
      <c r="N334" s="2" t="s">
        <v>237</v>
      </c>
    </row>
    <row r="335" spans="1:14" x14ac:dyDescent="0.25">
      <c r="A335" s="2">
        <v>9661</v>
      </c>
      <c r="B335" s="2">
        <v>7601</v>
      </c>
      <c r="C335" s="2" t="s">
        <v>226</v>
      </c>
      <c r="D335" s="2">
        <v>233</v>
      </c>
      <c r="E335" s="2" t="s">
        <v>30</v>
      </c>
      <c r="F335" s="2">
        <v>8</v>
      </c>
      <c r="G335" s="2">
        <v>0</v>
      </c>
      <c r="H335" s="2">
        <v>2</v>
      </c>
      <c r="I335" s="2" t="s">
        <v>227</v>
      </c>
      <c r="J335" s="2" t="s">
        <v>183</v>
      </c>
      <c r="K335" s="2" t="s">
        <v>183</v>
      </c>
      <c r="L335" s="2">
        <v>620</v>
      </c>
      <c r="M335" s="2" t="s">
        <v>87</v>
      </c>
      <c r="N335" s="2" t="s">
        <v>237</v>
      </c>
    </row>
    <row r="336" spans="1:14" x14ac:dyDescent="0.25">
      <c r="A336" s="2">
        <v>9662</v>
      </c>
      <c r="B336" s="2">
        <v>7601</v>
      </c>
      <c r="C336" s="2" t="s">
        <v>226</v>
      </c>
      <c r="D336" s="2">
        <v>756</v>
      </c>
      <c r="E336" s="2" t="s">
        <v>101</v>
      </c>
      <c r="F336" s="2">
        <v>1</v>
      </c>
      <c r="G336" s="2">
        <v>0</v>
      </c>
      <c r="H336" s="2">
        <v>0</v>
      </c>
      <c r="I336" s="2" t="s">
        <v>227</v>
      </c>
      <c r="J336" s="2" t="s">
        <v>183</v>
      </c>
      <c r="K336" s="2" t="s">
        <v>183</v>
      </c>
      <c r="L336" s="2">
        <v>620</v>
      </c>
      <c r="M336" s="2" t="s">
        <v>87</v>
      </c>
      <c r="N336" s="2" t="s">
        <v>237</v>
      </c>
    </row>
    <row r="337" spans="1:14" x14ac:dyDescent="0.25">
      <c r="A337" s="2">
        <v>9663</v>
      </c>
      <c r="B337" s="2">
        <v>7601</v>
      </c>
      <c r="C337" s="2" t="s">
        <v>226</v>
      </c>
      <c r="D337" s="2">
        <v>512</v>
      </c>
      <c r="E337" s="2" t="s">
        <v>80</v>
      </c>
      <c r="F337" s="2">
        <v>1</v>
      </c>
      <c r="G337" s="2">
        <v>0</v>
      </c>
      <c r="H337" s="2">
        <v>0</v>
      </c>
      <c r="I337" s="2" t="s">
        <v>227</v>
      </c>
      <c r="J337" s="2" t="s">
        <v>183</v>
      </c>
      <c r="K337" s="2" t="s">
        <v>183</v>
      </c>
      <c r="L337" s="2">
        <v>620</v>
      </c>
      <c r="M337" s="2" t="s">
        <v>87</v>
      </c>
      <c r="N337" s="2" t="s">
        <v>237</v>
      </c>
    </row>
    <row r="338" spans="1:14" x14ac:dyDescent="0.25">
      <c r="A338" s="2">
        <v>9664</v>
      </c>
      <c r="B338" s="2">
        <v>7601</v>
      </c>
      <c r="C338" s="2" t="s">
        <v>226</v>
      </c>
      <c r="D338" s="2">
        <v>634</v>
      </c>
      <c r="E338" s="2" t="s">
        <v>88</v>
      </c>
      <c r="F338" s="2">
        <v>1</v>
      </c>
      <c r="G338" s="2">
        <v>0</v>
      </c>
      <c r="H338" s="2">
        <v>0</v>
      </c>
      <c r="I338" s="2" t="s">
        <v>227</v>
      </c>
      <c r="J338" s="2" t="s">
        <v>183</v>
      </c>
      <c r="K338" s="2" t="s">
        <v>183</v>
      </c>
      <c r="L338" s="2">
        <v>620</v>
      </c>
      <c r="M338" s="2" t="s">
        <v>87</v>
      </c>
      <c r="N338" s="2" t="s">
        <v>237</v>
      </c>
    </row>
    <row r="339" spans="1:14" x14ac:dyDescent="0.25">
      <c r="A339" s="2">
        <v>9665</v>
      </c>
      <c r="B339" s="2">
        <v>7601</v>
      </c>
      <c r="C339" s="2" t="s">
        <v>226</v>
      </c>
      <c r="D339" s="2">
        <v>132</v>
      </c>
      <c r="E339" s="2" t="s">
        <v>240</v>
      </c>
      <c r="F339" s="2">
        <v>1</v>
      </c>
      <c r="G339" s="2">
        <v>0</v>
      </c>
      <c r="H339" s="2">
        <v>0</v>
      </c>
      <c r="I339" s="2" t="s">
        <v>227</v>
      </c>
      <c r="J339" s="2" t="s">
        <v>183</v>
      </c>
      <c r="K339" s="2" t="s">
        <v>183</v>
      </c>
      <c r="L339" s="2">
        <v>620</v>
      </c>
      <c r="M339" s="2" t="s">
        <v>87</v>
      </c>
      <c r="N339" s="2" t="s">
        <v>237</v>
      </c>
    </row>
    <row r="340" spans="1:14" x14ac:dyDescent="0.25">
      <c r="A340" s="2">
        <v>9666</v>
      </c>
      <c r="B340" s="2">
        <v>7601</v>
      </c>
      <c r="C340" s="2" t="s">
        <v>226</v>
      </c>
      <c r="D340" s="2">
        <v>348</v>
      </c>
      <c r="E340" s="2" t="s">
        <v>43</v>
      </c>
      <c r="F340" s="2">
        <v>100106</v>
      </c>
      <c r="G340" s="2">
        <v>28</v>
      </c>
      <c r="H340" s="2">
        <v>27224</v>
      </c>
      <c r="I340" s="2" t="s">
        <v>227</v>
      </c>
      <c r="J340" s="2" t="s">
        <v>183</v>
      </c>
      <c r="K340" s="2" t="s">
        <v>183</v>
      </c>
      <c r="L340" s="2">
        <v>703</v>
      </c>
      <c r="M340" s="2" t="s">
        <v>95</v>
      </c>
      <c r="N340" s="2" t="s">
        <v>237</v>
      </c>
    </row>
    <row r="341" spans="1:14" x14ac:dyDescent="0.25">
      <c r="A341" s="2">
        <v>9667</v>
      </c>
      <c r="B341" s="2">
        <v>7601</v>
      </c>
      <c r="C341" s="2" t="s">
        <v>226</v>
      </c>
      <c r="D341" s="2">
        <v>616</v>
      </c>
      <c r="E341" s="2" t="s">
        <v>86</v>
      </c>
      <c r="F341" s="2">
        <v>75885</v>
      </c>
      <c r="G341" s="2">
        <v>21.2</v>
      </c>
      <c r="H341" s="2">
        <v>19464</v>
      </c>
      <c r="I341" s="2" t="s">
        <v>227</v>
      </c>
      <c r="J341" s="2" t="s">
        <v>183</v>
      </c>
      <c r="K341" s="2" t="s">
        <v>183</v>
      </c>
      <c r="L341" s="2">
        <v>703</v>
      </c>
      <c r="M341" s="2" t="s">
        <v>95</v>
      </c>
      <c r="N341" s="2" t="s">
        <v>237</v>
      </c>
    </row>
    <row r="342" spans="1:14" x14ac:dyDescent="0.25">
      <c r="A342" s="2">
        <v>9668</v>
      </c>
      <c r="B342" s="2">
        <v>7601</v>
      </c>
      <c r="C342" s="2" t="s">
        <v>226</v>
      </c>
      <c r="D342" s="2">
        <v>381</v>
      </c>
      <c r="E342" s="2" t="s">
        <v>50</v>
      </c>
      <c r="F342" s="2">
        <v>56305</v>
      </c>
      <c r="G342" s="2">
        <v>15.7</v>
      </c>
      <c r="H342" s="2">
        <v>13682</v>
      </c>
      <c r="I342" s="2" t="s">
        <v>227</v>
      </c>
      <c r="J342" s="2" t="s">
        <v>183</v>
      </c>
      <c r="K342" s="2" t="s">
        <v>183</v>
      </c>
      <c r="L342" s="2">
        <v>703</v>
      </c>
      <c r="M342" s="2" t="s">
        <v>95</v>
      </c>
      <c r="N342" s="2" t="s">
        <v>237</v>
      </c>
    </row>
    <row r="343" spans="1:14" x14ac:dyDescent="0.25">
      <c r="A343" s="2">
        <v>9669</v>
      </c>
      <c r="B343" s="2">
        <v>7601</v>
      </c>
      <c r="C343" s="2" t="s">
        <v>226</v>
      </c>
      <c r="D343" s="2">
        <v>642</v>
      </c>
      <c r="E343" s="2" t="s">
        <v>89</v>
      </c>
      <c r="F343" s="2">
        <v>37651</v>
      </c>
      <c r="G343" s="2">
        <v>10.5</v>
      </c>
      <c r="H343" s="2">
        <v>8801</v>
      </c>
      <c r="I343" s="2" t="s">
        <v>227</v>
      </c>
      <c r="J343" s="2" t="s">
        <v>183</v>
      </c>
      <c r="K343" s="2" t="s">
        <v>183</v>
      </c>
      <c r="L343" s="2">
        <v>703</v>
      </c>
      <c r="M343" s="2" t="s">
        <v>95</v>
      </c>
      <c r="N343" s="2" t="s">
        <v>237</v>
      </c>
    </row>
    <row r="344" spans="1:14" x14ac:dyDescent="0.25">
      <c r="A344" s="2">
        <v>9670</v>
      </c>
      <c r="B344" s="2">
        <v>7601</v>
      </c>
      <c r="C344" s="2" t="s">
        <v>226</v>
      </c>
      <c r="D344" s="2">
        <v>203</v>
      </c>
      <c r="E344" s="2" t="s">
        <v>211</v>
      </c>
      <c r="F344" s="2">
        <v>22150</v>
      </c>
      <c r="G344" s="2">
        <v>6.2</v>
      </c>
      <c r="H344" s="2">
        <v>8405</v>
      </c>
      <c r="I344" s="2" t="s">
        <v>227</v>
      </c>
      <c r="J344" s="2" t="s">
        <v>183</v>
      </c>
      <c r="K344" s="2" t="s">
        <v>183</v>
      </c>
      <c r="L344" s="2">
        <v>703</v>
      </c>
      <c r="M344" s="2" t="s">
        <v>95</v>
      </c>
      <c r="N344" s="2" t="s">
        <v>237</v>
      </c>
    </row>
    <row r="345" spans="1:14" x14ac:dyDescent="0.25">
      <c r="A345" s="2">
        <v>9671</v>
      </c>
      <c r="B345" s="2">
        <v>7601</v>
      </c>
      <c r="C345" s="2" t="s">
        <v>226</v>
      </c>
      <c r="D345" s="2">
        <v>705</v>
      </c>
      <c r="E345" s="2" t="s">
        <v>96</v>
      </c>
      <c r="F345" s="2">
        <v>20413</v>
      </c>
      <c r="G345" s="2">
        <v>5.7</v>
      </c>
      <c r="H345" s="2">
        <v>5572</v>
      </c>
      <c r="I345" s="2" t="s">
        <v>227</v>
      </c>
      <c r="J345" s="2" t="s">
        <v>183</v>
      </c>
      <c r="K345" s="2" t="s">
        <v>183</v>
      </c>
      <c r="L345" s="2">
        <v>703</v>
      </c>
      <c r="M345" s="2" t="s">
        <v>95</v>
      </c>
      <c r="N345" s="2" t="s">
        <v>237</v>
      </c>
    </row>
    <row r="346" spans="1:14" x14ac:dyDescent="0.25">
      <c r="A346" s="2">
        <v>9672</v>
      </c>
      <c r="B346" s="2">
        <v>7601</v>
      </c>
      <c r="C346" s="2" t="s">
        <v>226</v>
      </c>
      <c r="D346" s="2">
        <v>276</v>
      </c>
      <c r="E346" s="2" t="s">
        <v>37</v>
      </c>
      <c r="F346" s="2">
        <v>18208</v>
      </c>
      <c r="G346" s="2">
        <v>5.0999999999999996</v>
      </c>
      <c r="H346" s="2">
        <v>5120</v>
      </c>
      <c r="I346" s="2" t="s">
        <v>227</v>
      </c>
      <c r="J346" s="2" t="s">
        <v>183</v>
      </c>
      <c r="K346" s="2" t="s">
        <v>183</v>
      </c>
      <c r="L346" s="2">
        <v>703</v>
      </c>
      <c r="M346" s="2" t="s">
        <v>95</v>
      </c>
      <c r="N346" s="2" t="s">
        <v>237</v>
      </c>
    </row>
    <row r="347" spans="1:14" x14ac:dyDescent="0.25">
      <c r="A347" s="2">
        <v>9673</v>
      </c>
      <c r="B347" s="2">
        <v>7601</v>
      </c>
      <c r="C347" s="2" t="s">
        <v>226</v>
      </c>
      <c r="D347" s="2">
        <v>100</v>
      </c>
      <c r="E347" s="2" t="s">
        <v>15</v>
      </c>
      <c r="F347" s="2">
        <v>11433</v>
      </c>
      <c r="G347" s="2">
        <v>3.2</v>
      </c>
      <c r="H347" s="2">
        <v>3384</v>
      </c>
      <c r="I347" s="2" t="s">
        <v>227</v>
      </c>
      <c r="J347" s="2" t="s">
        <v>183</v>
      </c>
      <c r="K347" s="2" t="s">
        <v>183</v>
      </c>
      <c r="L347" s="2">
        <v>703</v>
      </c>
      <c r="M347" s="2" t="s">
        <v>95</v>
      </c>
      <c r="N347" s="2" t="s">
        <v>237</v>
      </c>
    </row>
    <row r="348" spans="1:14" x14ac:dyDescent="0.25">
      <c r="A348" s="2">
        <v>9674</v>
      </c>
      <c r="B348" s="2">
        <v>7601</v>
      </c>
      <c r="C348" s="2" t="s">
        <v>226</v>
      </c>
      <c r="D348" s="2">
        <v>40</v>
      </c>
      <c r="E348" s="2" t="s">
        <v>5</v>
      </c>
      <c r="F348" s="2">
        <v>6668</v>
      </c>
      <c r="G348" s="2">
        <v>1.9</v>
      </c>
      <c r="H348" s="2">
        <v>2066</v>
      </c>
      <c r="I348" s="2" t="s">
        <v>227</v>
      </c>
      <c r="J348" s="2" t="s">
        <v>183</v>
      </c>
      <c r="K348" s="2" t="s">
        <v>183</v>
      </c>
      <c r="L348" s="2">
        <v>703</v>
      </c>
      <c r="M348" s="2" t="s">
        <v>95</v>
      </c>
      <c r="N348" s="2" t="s">
        <v>237</v>
      </c>
    </row>
    <row r="349" spans="1:14" x14ac:dyDescent="0.25">
      <c r="A349" s="2">
        <v>9675</v>
      </c>
      <c r="B349" s="2">
        <v>7601</v>
      </c>
      <c r="C349" s="2" t="s">
        <v>226</v>
      </c>
      <c r="D349" s="2">
        <v>70</v>
      </c>
      <c r="E349" s="2" t="s">
        <v>236</v>
      </c>
      <c r="F349" s="2">
        <v>3515</v>
      </c>
      <c r="G349" s="2">
        <v>1</v>
      </c>
      <c r="H349" s="2">
        <v>938</v>
      </c>
      <c r="I349" s="2" t="s">
        <v>227</v>
      </c>
      <c r="J349" s="2" t="s">
        <v>183</v>
      </c>
      <c r="K349" s="2" t="s">
        <v>183</v>
      </c>
      <c r="L349" s="2">
        <v>703</v>
      </c>
      <c r="M349" s="2" t="s">
        <v>95</v>
      </c>
      <c r="N349" s="2" t="s">
        <v>237</v>
      </c>
    </row>
    <row r="350" spans="1:14" x14ac:dyDescent="0.25">
      <c r="A350" s="2">
        <v>9676</v>
      </c>
      <c r="B350" s="2">
        <v>7601</v>
      </c>
      <c r="C350" s="2" t="s">
        <v>226</v>
      </c>
      <c r="D350" s="2">
        <v>724</v>
      </c>
      <c r="E350" s="2" t="s">
        <v>98</v>
      </c>
      <c r="F350" s="2">
        <v>3481</v>
      </c>
      <c r="G350" s="2">
        <v>1</v>
      </c>
      <c r="H350" s="2">
        <v>1354</v>
      </c>
      <c r="I350" s="2" t="s">
        <v>227</v>
      </c>
      <c r="J350" s="2" t="s">
        <v>183</v>
      </c>
      <c r="K350" s="2" t="s">
        <v>183</v>
      </c>
      <c r="L350" s="2">
        <v>703</v>
      </c>
      <c r="M350" s="2" t="s">
        <v>95</v>
      </c>
      <c r="N350" s="2" t="s">
        <v>237</v>
      </c>
    </row>
    <row r="351" spans="1:14" x14ac:dyDescent="0.25">
      <c r="A351" s="2">
        <v>9677</v>
      </c>
      <c r="B351" s="2">
        <v>7601</v>
      </c>
      <c r="C351" s="2" t="s">
        <v>226</v>
      </c>
      <c r="D351" s="2">
        <v>528</v>
      </c>
      <c r="E351" s="2" t="s">
        <v>75</v>
      </c>
      <c r="F351" s="2">
        <v>617</v>
      </c>
      <c r="G351" s="2">
        <v>0.2</v>
      </c>
      <c r="H351" s="2">
        <v>169</v>
      </c>
      <c r="I351" s="2" t="s">
        <v>227</v>
      </c>
      <c r="J351" s="2" t="s">
        <v>183</v>
      </c>
      <c r="K351" s="2" t="s">
        <v>183</v>
      </c>
      <c r="L351" s="2">
        <v>703</v>
      </c>
      <c r="M351" s="2" t="s">
        <v>95</v>
      </c>
      <c r="N351" s="2" t="s">
        <v>237</v>
      </c>
    </row>
    <row r="352" spans="1:14" x14ac:dyDescent="0.25">
      <c r="A352" s="2">
        <v>9678</v>
      </c>
      <c r="B352" s="2">
        <v>7601</v>
      </c>
      <c r="C352" s="2" t="s">
        <v>226</v>
      </c>
      <c r="D352" s="2">
        <v>688</v>
      </c>
      <c r="E352" s="2" t="s">
        <v>92</v>
      </c>
      <c r="F352" s="2">
        <v>494</v>
      </c>
      <c r="G352" s="2">
        <v>0.1</v>
      </c>
      <c r="H352" s="2">
        <v>156</v>
      </c>
      <c r="I352" s="2" t="s">
        <v>227</v>
      </c>
      <c r="J352" s="2" t="s">
        <v>183</v>
      </c>
      <c r="K352" s="2" t="s">
        <v>183</v>
      </c>
      <c r="L352" s="2">
        <v>703</v>
      </c>
      <c r="M352" s="2" t="s">
        <v>95</v>
      </c>
      <c r="N352" s="2" t="s">
        <v>237</v>
      </c>
    </row>
    <row r="353" spans="1:14" x14ac:dyDescent="0.25">
      <c r="A353" s="2">
        <v>9679</v>
      </c>
      <c r="B353" s="2">
        <v>7601</v>
      </c>
      <c r="C353" s="2" t="s">
        <v>226</v>
      </c>
      <c r="D353" s="2">
        <v>191</v>
      </c>
      <c r="E353" s="2" t="s">
        <v>21</v>
      </c>
      <c r="F353" s="2">
        <v>198</v>
      </c>
      <c r="G353" s="2">
        <v>0.1</v>
      </c>
      <c r="H353" s="2">
        <v>76</v>
      </c>
      <c r="I353" s="2" t="s">
        <v>227</v>
      </c>
      <c r="J353" s="2" t="s">
        <v>183</v>
      </c>
      <c r="K353" s="2" t="s">
        <v>183</v>
      </c>
      <c r="L353" s="2">
        <v>703</v>
      </c>
      <c r="M353" s="2" t="s">
        <v>95</v>
      </c>
      <c r="N353" s="2" t="s">
        <v>237</v>
      </c>
    </row>
    <row r="354" spans="1:14" x14ac:dyDescent="0.25">
      <c r="A354" s="2">
        <v>9680</v>
      </c>
      <c r="B354" s="2">
        <v>7601</v>
      </c>
      <c r="C354" s="2" t="s">
        <v>226</v>
      </c>
      <c r="D354" s="2">
        <v>792</v>
      </c>
      <c r="E354" s="2" t="s">
        <v>107</v>
      </c>
      <c r="F354" s="2">
        <v>175</v>
      </c>
      <c r="G354" s="2">
        <v>0</v>
      </c>
      <c r="H354" s="2">
        <v>53</v>
      </c>
      <c r="I354" s="2" t="s">
        <v>227</v>
      </c>
      <c r="J354" s="2" t="s">
        <v>183</v>
      </c>
      <c r="K354" s="2" t="s">
        <v>183</v>
      </c>
      <c r="L354" s="2">
        <v>703</v>
      </c>
      <c r="M354" s="2" t="s">
        <v>95</v>
      </c>
      <c r="N354" s="2" t="s">
        <v>237</v>
      </c>
    </row>
    <row r="355" spans="1:14" x14ac:dyDescent="0.25">
      <c r="A355" s="2">
        <v>9681</v>
      </c>
      <c r="B355" s="2">
        <v>7601</v>
      </c>
      <c r="C355" s="2" t="s">
        <v>226</v>
      </c>
      <c r="D355" s="2">
        <v>499</v>
      </c>
      <c r="E355" s="2" t="s">
        <v>72</v>
      </c>
      <c r="F355" s="2">
        <v>128</v>
      </c>
      <c r="G355" s="2">
        <v>0</v>
      </c>
      <c r="H355" s="2">
        <v>23</v>
      </c>
      <c r="I355" s="2" t="s">
        <v>227</v>
      </c>
      <c r="J355" s="2" t="s">
        <v>183</v>
      </c>
      <c r="K355" s="2" t="s">
        <v>183</v>
      </c>
      <c r="L355" s="2">
        <v>703</v>
      </c>
      <c r="M355" s="2" t="s">
        <v>95</v>
      </c>
      <c r="N355" s="2" t="s">
        <v>237</v>
      </c>
    </row>
    <row r="356" spans="1:14" x14ac:dyDescent="0.25">
      <c r="A356" s="2">
        <v>9682</v>
      </c>
      <c r="B356" s="2">
        <v>7601</v>
      </c>
      <c r="C356" s="2" t="s">
        <v>226</v>
      </c>
      <c r="D356" s="2">
        <v>56</v>
      </c>
      <c r="E356" s="2" t="s">
        <v>11</v>
      </c>
      <c r="F356" s="2">
        <v>111</v>
      </c>
      <c r="G356" s="2">
        <v>0</v>
      </c>
      <c r="H356" s="2">
        <v>24</v>
      </c>
      <c r="I356" s="2" t="s">
        <v>227</v>
      </c>
      <c r="J356" s="2" t="s">
        <v>183</v>
      </c>
      <c r="K356" s="2" t="s">
        <v>183</v>
      </c>
      <c r="L356" s="2">
        <v>703</v>
      </c>
      <c r="M356" s="2" t="s">
        <v>95</v>
      </c>
      <c r="N356" s="2" t="s">
        <v>237</v>
      </c>
    </row>
    <row r="357" spans="1:14" x14ac:dyDescent="0.25">
      <c r="A357" s="2">
        <v>9653</v>
      </c>
      <c r="B357" s="2">
        <v>7601</v>
      </c>
      <c r="C357" s="2" t="s">
        <v>226</v>
      </c>
      <c r="D357" s="2">
        <v>251</v>
      </c>
      <c r="E357" s="2" t="s">
        <v>33</v>
      </c>
      <c r="F357" s="2">
        <v>1940</v>
      </c>
      <c r="G357" s="2">
        <v>4.0999999999999996</v>
      </c>
      <c r="H357" s="2">
        <v>328</v>
      </c>
      <c r="I357" s="2" t="s">
        <v>227</v>
      </c>
      <c r="J357" s="2" t="s">
        <v>183</v>
      </c>
      <c r="K357" s="2" t="s">
        <v>183</v>
      </c>
      <c r="L357" s="2">
        <v>620</v>
      </c>
      <c r="M357" s="2" t="s">
        <v>87</v>
      </c>
      <c r="N357" s="2" t="s">
        <v>237</v>
      </c>
    </row>
    <row r="358" spans="1:14" x14ac:dyDescent="0.25">
      <c r="A358" s="2">
        <v>9684</v>
      </c>
      <c r="B358" s="2">
        <v>7601</v>
      </c>
      <c r="C358" s="2" t="s">
        <v>226</v>
      </c>
      <c r="D358" s="2">
        <v>440</v>
      </c>
      <c r="E358" s="2" t="s">
        <v>61</v>
      </c>
      <c r="F358" s="2">
        <v>27</v>
      </c>
      <c r="G358" s="2">
        <v>0</v>
      </c>
      <c r="H358" s="2">
        <v>7</v>
      </c>
      <c r="I358" s="2" t="s">
        <v>227</v>
      </c>
      <c r="J358" s="2" t="s">
        <v>183</v>
      </c>
      <c r="K358" s="2" t="s">
        <v>183</v>
      </c>
      <c r="L358" s="2">
        <v>703</v>
      </c>
      <c r="M358" s="2" t="s">
        <v>95</v>
      </c>
      <c r="N358" s="2" t="s">
        <v>237</v>
      </c>
    </row>
    <row r="359" spans="1:14" x14ac:dyDescent="0.25">
      <c r="A359" s="2">
        <v>9685</v>
      </c>
      <c r="B359" s="2">
        <v>7601</v>
      </c>
      <c r="C359" s="2" t="s">
        <v>226</v>
      </c>
      <c r="D359" s="2">
        <v>208</v>
      </c>
      <c r="E359" s="2" t="s">
        <v>24</v>
      </c>
      <c r="F359" s="2">
        <v>17</v>
      </c>
      <c r="G359" s="2">
        <v>0</v>
      </c>
      <c r="H359" s="2">
        <v>6</v>
      </c>
      <c r="I359" s="2" t="s">
        <v>227</v>
      </c>
      <c r="J359" s="2" t="s">
        <v>183</v>
      </c>
      <c r="K359" s="2" t="s">
        <v>183</v>
      </c>
      <c r="L359" s="2">
        <v>703</v>
      </c>
      <c r="M359" s="2" t="s">
        <v>95</v>
      </c>
      <c r="N359" s="2" t="s">
        <v>237</v>
      </c>
    </row>
    <row r="360" spans="1:14" x14ac:dyDescent="0.25">
      <c r="A360" s="2">
        <v>9686</v>
      </c>
      <c r="B360" s="2">
        <v>7601</v>
      </c>
      <c r="C360" s="2" t="s">
        <v>226</v>
      </c>
      <c r="D360" s="2">
        <v>804</v>
      </c>
      <c r="E360" s="2" t="s">
        <v>117</v>
      </c>
      <c r="F360" s="2">
        <v>6</v>
      </c>
      <c r="G360" s="2">
        <v>0</v>
      </c>
      <c r="H360" s="2">
        <v>2</v>
      </c>
      <c r="I360" s="2" t="s">
        <v>227</v>
      </c>
      <c r="J360" s="2" t="s">
        <v>183</v>
      </c>
      <c r="K360" s="2" t="s">
        <v>183</v>
      </c>
      <c r="L360" s="2">
        <v>703</v>
      </c>
      <c r="M360" s="2" t="s">
        <v>95</v>
      </c>
      <c r="N360" s="2" t="s">
        <v>237</v>
      </c>
    </row>
    <row r="361" spans="1:14" x14ac:dyDescent="0.25">
      <c r="A361" s="2">
        <v>9687</v>
      </c>
      <c r="B361" s="2">
        <v>7601</v>
      </c>
      <c r="C361" s="2" t="s">
        <v>226</v>
      </c>
      <c r="D361" s="2">
        <v>191</v>
      </c>
      <c r="E361" s="2" t="s">
        <v>21</v>
      </c>
      <c r="F361" s="2">
        <v>140767</v>
      </c>
      <c r="G361" s="2">
        <v>44.3</v>
      </c>
      <c r="H361" s="2">
        <v>43209</v>
      </c>
      <c r="I361" s="2" t="s">
        <v>227</v>
      </c>
      <c r="J361" s="2" t="s">
        <v>183</v>
      </c>
      <c r="K361" s="2" t="s">
        <v>183</v>
      </c>
      <c r="L361" s="2">
        <v>705</v>
      </c>
      <c r="M361" s="2" t="s">
        <v>96</v>
      </c>
      <c r="N361" s="2" t="s">
        <v>237</v>
      </c>
    </row>
    <row r="362" spans="1:14" x14ac:dyDescent="0.25">
      <c r="A362" s="2">
        <v>9688</v>
      </c>
      <c r="B362" s="2">
        <v>7601</v>
      </c>
      <c r="C362" s="2" t="s">
        <v>226</v>
      </c>
      <c r="D362" s="2">
        <v>381</v>
      </c>
      <c r="E362" s="2" t="s">
        <v>50</v>
      </c>
      <c r="F362" s="2">
        <v>56533</v>
      </c>
      <c r="G362" s="2">
        <v>17.8</v>
      </c>
      <c r="H362" s="2">
        <v>15407</v>
      </c>
      <c r="I362" s="2" t="s">
        <v>227</v>
      </c>
      <c r="J362" s="2" t="s">
        <v>183</v>
      </c>
      <c r="K362" s="2" t="s">
        <v>183</v>
      </c>
      <c r="L362" s="2">
        <v>705</v>
      </c>
      <c r="M362" s="2" t="s">
        <v>96</v>
      </c>
      <c r="N362" s="2" t="s">
        <v>237</v>
      </c>
    </row>
    <row r="363" spans="1:14" x14ac:dyDescent="0.25">
      <c r="A363" s="2">
        <v>9689</v>
      </c>
      <c r="B363" s="2">
        <v>7601</v>
      </c>
      <c r="C363" s="2" t="s">
        <v>226</v>
      </c>
      <c r="D363" s="2">
        <v>616</v>
      </c>
      <c r="E363" s="2" t="s">
        <v>86</v>
      </c>
      <c r="F363" s="2">
        <v>40926</v>
      </c>
      <c r="G363" s="2">
        <v>12.9</v>
      </c>
      <c r="H363" s="2">
        <v>11249</v>
      </c>
      <c r="I363" s="2" t="s">
        <v>227</v>
      </c>
      <c r="J363" s="2" t="s">
        <v>183</v>
      </c>
      <c r="K363" s="2" t="s">
        <v>183</v>
      </c>
      <c r="L363" s="2">
        <v>705</v>
      </c>
      <c r="M363" s="2" t="s">
        <v>96</v>
      </c>
      <c r="N363" s="2" t="s">
        <v>237</v>
      </c>
    </row>
    <row r="364" spans="1:14" x14ac:dyDescent="0.25">
      <c r="A364" s="2">
        <v>9690</v>
      </c>
      <c r="B364" s="2">
        <v>7601</v>
      </c>
      <c r="C364" s="2" t="s">
        <v>226</v>
      </c>
      <c r="D364" s="2">
        <v>276</v>
      </c>
      <c r="E364" s="2" t="s">
        <v>37</v>
      </c>
      <c r="F364" s="2">
        <v>19511</v>
      </c>
      <c r="G364" s="2">
        <v>6.1</v>
      </c>
      <c r="H364" s="2">
        <v>4957</v>
      </c>
      <c r="I364" s="2" t="s">
        <v>227</v>
      </c>
      <c r="J364" s="2" t="s">
        <v>183</v>
      </c>
      <c r="K364" s="2" t="s">
        <v>183</v>
      </c>
      <c r="L364" s="2">
        <v>705</v>
      </c>
      <c r="M364" s="2" t="s">
        <v>96</v>
      </c>
      <c r="N364" s="2" t="s">
        <v>237</v>
      </c>
    </row>
    <row r="365" spans="1:14" x14ac:dyDescent="0.25">
      <c r="A365" s="2">
        <v>9691</v>
      </c>
      <c r="B365" s="2">
        <v>7601</v>
      </c>
      <c r="C365" s="2" t="s">
        <v>226</v>
      </c>
      <c r="D365" s="2">
        <v>70</v>
      </c>
      <c r="E365" s="2" t="s">
        <v>236</v>
      </c>
      <c r="F365" s="2">
        <v>16631</v>
      </c>
      <c r="G365" s="2">
        <v>5.2</v>
      </c>
      <c r="H365" s="2">
        <v>4951</v>
      </c>
      <c r="I365" s="2" t="s">
        <v>227</v>
      </c>
      <c r="J365" s="2" t="s">
        <v>183</v>
      </c>
      <c r="K365" s="2" t="s">
        <v>183</v>
      </c>
      <c r="L365" s="2">
        <v>705</v>
      </c>
      <c r="M365" s="2" t="s">
        <v>96</v>
      </c>
      <c r="N365" s="2" t="s">
        <v>237</v>
      </c>
    </row>
    <row r="366" spans="1:14" x14ac:dyDescent="0.25">
      <c r="A366" s="2">
        <v>9692</v>
      </c>
      <c r="B366" s="2">
        <v>7601</v>
      </c>
      <c r="C366" s="2" t="s">
        <v>226</v>
      </c>
      <c r="D366" s="2">
        <v>40</v>
      </c>
      <c r="E366" s="2" t="s">
        <v>5</v>
      </c>
      <c r="F366" s="2">
        <v>13197</v>
      </c>
      <c r="G366" s="2">
        <v>4.0999999999999996</v>
      </c>
      <c r="H366" s="2">
        <v>2929</v>
      </c>
      <c r="I366" s="2" t="s">
        <v>227</v>
      </c>
      <c r="J366" s="2" t="s">
        <v>183</v>
      </c>
      <c r="K366" s="2" t="s">
        <v>183</v>
      </c>
      <c r="L366" s="2">
        <v>705</v>
      </c>
      <c r="M366" s="2" t="s">
        <v>96</v>
      </c>
      <c r="N366" s="2" t="s">
        <v>237</v>
      </c>
    </row>
    <row r="367" spans="1:14" x14ac:dyDescent="0.25">
      <c r="A367" s="2">
        <v>9693</v>
      </c>
      <c r="B367" s="2">
        <v>7601</v>
      </c>
      <c r="C367" s="2" t="s">
        <v>226</v>
      </c>
      <c r="D367" s="2">
        <v>348</v>
      </c>
      <c r="E367" s="2" t="s">
        <v>43</v>
      </c>
      <c r="F367" s="2">
        <v>10651</v>
      </c>
      <c r="G367" s="2">
        <v>3.3</v>
      </c>
      <c r="H367" s="2">
        <v>2557</v>
      </c>
      <c r="I367" s="2" t="s">
        <v>227</v>
      </c>
      <c r="J367" s="2" t="s">
        <v>183</v>
      </c>
      <c r="K367" s="2" t="s">
        <v>183</v>
      </c>
      <c r="L367" s="2">
        <v>705</v>
      </c>
      <c r="M367" s="2" t="s">
        <v>96</v>
      </c>
      <c r="N367" s="2" t="s">
        <v>237</v>
      </c>
    </row>
    <row r="368" spans="1:14" x14ac:dyDescent="0.25">
      <c r="A368" s="2">
        <v>9694</v>
      </c>
      <c r="B368" s="2">
        <v>7601</v>
      </c>
      <c r="C368" s="2" t="s">
        <v>226</v>
      </c>
      <c r="D368" s="2">
        <v>642</v>
      </c>
      <c r="E368" s="2" t="s">
        <v>89</v>
      </c>
      <c r="F368" s="2">
        <v>10122</v>
      </c>
      <c r="G368" s="2">
        <v>3.2</v>
      </c>
      <c r="H368" s="2">
        <v>2761</v>
      </c>
      <c r="I368" s="2" t="s">
        <v>227</v>
      </c>
      <c r="J368" s="2" t="s">
        <v>183</v>
      </c>
      <c r="K368" s="2" t="s">
        <v>183</v>
      </c>
      <c r="L368" s="2">
        <v>705</v>
      </c>
      <c r="M368" s="2" t="s">
        <v>96</v>
      </c>
      <c r="N368" s="2" t="s">
        <v>237</v>
      </c>
    </row>
    <row r="369" spans="1:14" x14ac:dyDescent="0.25">
      <c r="A369" s="2">
        <v>9695</v>
      </c>
      <c r="B369" s="2">
        <v>7601</v>
      </c>
      <c r="C369" s="2" t="s">
        <v>226</v>
      </c>
      <c r="D369" s="2">
        <v>703</v>
      </c>
      <c r="E369" s="2" t="s">
        <v>95</v>
      </c>
      <c r="F369" s="2">
        <v>9169</v>
      </c>
      <c r="G369" s="2">
        <v>2.9</v>
      </c>
      <c r="H369" s="2">
        <v>2273</v>
      </c>
      <c r="I369" s="2" t="s">
        <v>227</v>
      </c>
      <c r="J369" s="2" t="s">
        <v>183</v>
      </c>
      <c r="K369" s="2" t="s">
        <v>183</v>
      </c>
      <c r="L369" s="2">
        <v>705</v>
      </c>
      <c r="M369" s="2" t="s">
        <v>96</v>
      </c>
      <c r="N369" s="2" t="s">
        <v>237</v>
      </c>
    </row>
    <row r="370" spans="1:14" x14ac:dyDescent="0.25">
      <c r="A370" s="2">
        <v>9696</v>
      </c>
      <c r="B370" s="2">
        <v>7601</v>
      </c>
      <c r="C370" s="2" t="s">
        <v>226</v>
      </c>
      <c r="D370" s="2">
        <v>203</v>
      </c>
      <c r="E370" s="2" t="s">
        <v>211</v>
      </c>
      <c r="F370" s="2">
        <v>163</v>
      </c>
      <c r="G370" s="2">
        <v>0.1</v>
      </c>
      <c r="H370" s="2">
        <v>42</v>
      </c>
      <c r="I370" s="2" t="s">
        <v>227</v>
      </c>
      <c r="J370" s="2" t="s">
        <v>183</v>
      </c>
      <c r="K370" s="2" t="s">
        <v>183</v>
      </c>
      <c r="L370" s="2">
        <v>705</v>
      </c>
      <c r="M370" s="2" t="s">
        <v>96</v>
      </c>
      <c r="N370" s="2" t="s">
        <v>237</v>
      </c>
    </row>
    <row r="371" spans="1:14" x14ac:dyDescent="0.25">
      <c r="A371" s="2">
        <v>9697</v>
      </c>
      <c r="B371" s="2">
        <v>7601</v>
      </c>
      <c r="C371" s="2" t="s">
        <v>226</v>
      </c>
      <c r="D371" s="2">
        <v>688</v>
      </c>
      <c r="E371" s="2" t="s">
        <v>92</v>
      </c>
      <c r="F371" s="2">
        <v>159</v>
      </c>
      <c r="G371" s="2">
        <v>0</v>
      </c>
      <c r="H371" s="2">
        <v>38</v>
      </c>
      <c r="I371" s="2" t="s">
        <v>227</v>
      </c>
      <c r="J371" s="2" t="s">
        <v>183</v>
      </c>
      <c r="K371" s="2" t="s">
        <v>183</v>
      </c>
      <c r="L371" s="2">
        <v>705</v>
      </c>
      <c r="M371" s="2" t="s">
        <v>96</v>
      </c>
      <c r="N371" s="2" t="s">
        <v>237</v>
      </c>
    </row>
    <row r="372" spans="1:14" x14ac:dyDescent="0.25">
      <c r="A372" s="2">
        <v>9698</v>
      </c>
      <c r="B372" s="2">
        <v>7601</v>
      </c>
      <c r="C372" s="2" t="s">
        <v>226</v>
      </c>
      <c r="D372" s="2">
        <v>48</v>
      </c>
      <c r="E372" s="2" t="s">
        <v>7</v>
      </c>
      <c r="F372" s="2">
        <v>114</v>
      </c>
      <c r="G372" s="2">
        <v>0</v>
      </c>
      <c r="H372" s="2">
        <v>1</v>
      </c>
      <c r="I372" s="2" t="s">
        <v>227</v>
      </c>
      <c r="J372" s="2" t="s">
        <v>183</v>
      </c>
      <c r="K372" s="2" t="s">
        <v>183</v>
      </c>
      <c r="L372" s="2">
        <v>705</v>
      </c>
      <c r="M372" s="2" t="s">
        <v>96</v>
      </c>
      <c r="N372" s="2" t="s">
        <v>237</v>
      </c>
    </row>
    <row r="373" spans="1:14" x14ac:dyDescent="0.25">
      <c r="A373" s="2">
        <v>9699</v>
      </c>
      <c r="B373" s="2">
        <v>7601</v>
      </c>
      <c r="C373" s="2" t="s">
        <v>226</v>
      </c>
      <c r="D373" s="2">
        <v>792</v>
      </c>
      <c r="E373" s="2" t="s">
        <v>107</v>
      </c>
      <c r="F373" s="2">
        <v>67</v>
      </c>
      <c r="G373" s="2">
        <v>0</v>
      </c>
      <c r="H373" s="2">
        <v>23</v>
      </c>
      <c r="I373" s="2" t="s">
        <v>227</v>
      </c>
      <c r="J373" s="2" t="s">
        <v>183</v>
      </c>
      <c r="K373" s="2" t="s">
        <v>183</v>
      </c>
      <c r="L373" s="2">
        <v>705</v>
      </c>
      <c r="M373" s="2" t="s">
        <v>96</v>
      </c>
      <c r="N373" s="2" t="s">
        <v>237</v>
      </c>
    </row>
    <row r="374" spans="1:14" x14ac:dyDescent="0.25">
      <c r="A374" s="2">
        <v>9700</v>
      </c>
      <c r="B374" s="2">
        <v>7601</v>
      </c>
      <c r="C374" s="2" t="s">
        <v>226</v>
      </c>
      <c r="D374" s="2">
        <v>499</v>
      </c>
      <c r="E374" s="2" t="s">
        <v>72</v>
      </c>
      <c r="F374" s="2">
        <v>39</v>
      </c>
      <c r="G374" s="2">
        <v>0</v>
      </c>
      <c r="H374" s="2">
        <v>10</v>
      </c>
      <c r="I374" s="2" t="s">
        <v>227</v>
      </c>
      <c r="J374" s="2" t="s">
        <v>183</v>
      </c>
      <c r="K374" s="2" t="s">
        <v>183</v>
      </c>
      <c r="L374" s="2">
        <v>705</v>
      </c>
      <c r="M374" s="2" t="s">
        <v>96</v>
      </c>
      <c r="N374" s="2" t="s">
        <v>237</v>
      </c>
    </row>
    <row r="375" spans="1:14" x14ac:dyDescent="0.25">
      <c r="A375" s="2">
        <v>9701</v>
      </c>
      <c r="B375" s="2">
        <v>7601</v>
      </c>
      <c r="C375" s="2" t="s">
        <v>226</v>
      </c>
      <c r="D375" s="2">
        <v>752</v>
      </c>
      <c r="E375" s="2" t="s">
        <v>100</v>
      </c>
      <c r="F375" s="2">
        <v>29</v>
      </c>
      <c r="G375" s="2">
        <v>0</v>
      </c>
      <c r="H375" s="2">
        <v>0</v>
      </c>
      <c r="I375" s="2" t="s">
        <v>227</v>
      </c>
      <c r="J375" s="2" t="s">
        <v>183</v>
      </c>
      <c r="K375" s="2" t="s">
        <v>183</v>
      </c>
      <c r="L375" s="2">
        <v>705</v>
      </c>
      <c r="M375" s="2" t="s">
        <v>96</v>
      </c>
      <c r="N375" s="2" t="s">
        <v>237</v>
      </c>
    </row>
    <row r="376" spans="1:14" x14ac:dyDescent="0.25">
      <c r="A376" s="2">
        <v>9702</v>
      </c>
      <c r="B376" s="2">
        <v>7601</v>
      </c>
      <c r="C376" s="2" t="s">
        <v>226</v>
      </c>
      <c r="D376" s="2">
        <v>528</v>
      </c>
      <c r="E376" s="2" t="s">
        <v>75</v>
      </c>
      <c r="F376" s="2">
        <v>20</v>
      </c>
      <c r="G376" s="2">
        <v>0</v>
      </c>
      <c r="H376" s="2">
        <v>10</v>
      </c>
      <c r="I376" s="2" t="s">
        <v>227</v>
      </c>
      <c r="J376" s="2" t="s">
        <v>183</v>
      </c>
      <c r="K376" s="2" t="s">
        <v>183</v>
      </c>
      <c r="L376" s="2">
        <v>705</v>
      </c>
      <c r="M376" s="2" t="s">
        <v>96</v>
      </c>
      <c r="N376" s="2" t="s">
        <v>237</v>
      </c>
    </row>
    <row r="377" spans="1:14" x14ac:dyDescent="0.25">
      <c r="A377" s="2">
        <v>9703</v>
      </c>
      <c r="B377" s="2">
        <v>7601</v>
      </c>
      <c r="C377" s="2" t="s">
        <v>226</v>
      </c>
      <c r="D377" s="2">
        <v>100</v>
      </c>
      <c r="E377" s="2" t="s">
        <v>15</v>
      </c>
      <c r="F377" s="2">
        <v>4</v>
      </c>
      <c r="G377" s="2">
        <v>0</v>
      </c>
      <c r="H377" s="2">
        <v>1</v>
      </c>
      <c r="I377" s="2" t="s">
        <v>227</v>
      </c>
      <c r="J377" s="2" t="s">
        <v>183</v>
      </c>
      <c r="K377" s="2" t="s">
        <v>183</v>
      </c>
      <c r="L377" s="2">
        <v>705</v>
      </c>
      <c r="M377" s="2" t="s">
        <v>96</v>
      </c>
      <c r="N377" s="2" t="s">
        <v>237</v>
      </c>
    </row>
    <row r="378" spans="1:14" x14ac:dyDescent="0.25">
      <c r="A378" s="2">
        <v>9704</v>
      </c>
      <c r="B378" s="2">
        <v>7601</v>
      </c>
      <c r="C378" s="2" t="s">
        <v>226</v>
      </c>
      <c r="D378" s="2">
        <v>756</v>
      </c>
      <c r="E378" s="2" t="s">
        <v>101</v>
      </c>
      <c r="F378" s="2">
        <v>3</v>
      </c>
      <c r="G378" s="2">
        <v>0</v>
      </c>
      <c r="H378" s="2">
        <v>1</v>
      </c>
      <c r="I378" s="2" t="s">
        <v>227</v>
      </c>
      <c r="J378" s="2" t="s">
        <v>183</v>
      </c>
      <c r="K378" s="2" t="s">
        <v>183</v>
      </c>
      <c r="L378" s="2">
        <v>705</v>
      </c>
      <c r="M378" s="2" t="s">
        <v>96</v>
      </c>
      <c r="N378" s="2" t="s">
        <v>237</v>
      </c>
    </row>
    <row r="379" spans="1:14" x14ac:dyDescent="0.25">
      <c r="A379" s="2">
        <v>9705</v>
      </c>
      <c r="B379" s="2">
        <v>7601</v>
      </c>
      <c r="C379" s="2" t="s">
        <v>226</v>
      </c>
      <c r="D379" s="2">
        <v>156</v>
      </c>
      <c r="E379" s="2" t="s">
        <v>18</v>
      </c>
      <c r="F379" s="2">
        <v>290671</v>
      </c>
      <c r="G379" s="2">
        <v>32.200000000000003</v>
      </c>
      <c r="H379" s="2">
        <v>118607</v>
      </c>
      <c r="I379" s="2" t="s">
        <v>227</v>
      </c>
      <c r="J379" s="2" t="s">
        <v>183</v>
      </c>
      <c r="K379" s="2" t="s">
        <v>183</v>
      </c>
      <c r="L379" s="2">
        <v>410</v>
      </c>
      <c r="M379" s="2" t="s">
        <v>230</v>
      </c>
      <c r="N379" s="2" t="s">
        <v>237</v>
      </c>
    </row>
    <row r="380" spans="1:14" x14ac:dyDescent="0.25">
      <c r="A380" s="2">
        <v>9706</v>
      </c>
      <c r="B380" s="2">
        <v>7601</v>
      </c>
      <c r="C380" s="2" t="s">
        <v>226</v>
      </c>
      <c r="D380" s="2">
        <v>704</v>
      </c>
      <c r="E380" s="2" t="s">
        <v>232</v>
      </c>
      <c r="F380" s="2">
        <v>197009</v>
      </c>
      <c r="G380" s="2">
        <v>21.8</v>
      </c>
      <c r="H380" s="2">
        <v>60291</v>
      </c>
      <c r="I380" s="2" t="s">
        <v>227</v>
      </c>
      <c r="J380" s="2" t="s">
        <v>183</v>
      </c>
      <c r="K380" s="2" t="s">
        <v>183</v>
      </c>
      <c r="L380" s="2">
        <v>410</v>
      </c>
      <c r="M380" s="2" t="s">
        <v>230</v>
      </c>
      <c r="N380" s="2" t="s">
        <v>237</v>
      </c>
    </row>
    <row r="381" spans="1:14" x14ac:dyDescent="0.25">
      <c r="A381" s="2">
        <v>9707</v>
      </c>
      <c r="B381" s="2">
        <v>7601</v>
      </c>
      <c r="C381" s="2" t="s">
        <v>226</v>
      </c>
      <c r="D381" s="2">
        <v>381</v>
      </c>
      <c r="E381" s="2" t="s">
        <v>50</v>
      </c>
      <c r="F381" s="2">
        <v>85411</v>
      </c>
      <c r="G381" s="2">
        <v>9.5</v>
      </c>
      <c r="H381" s="2">
        <v>17256</v>
      </c>
      <c r="I381" s="2" t="s">
        <v>227</v>
      </c>
      <c r="J381" s="2" t="s">
        <v>183</v>
      </c>
      <c r="K381" s="2" t="s">
        <v>183</v>
      </c>
      <c r="L381" s="2">
        <v>410</v>
      </c>
      <c r="M381" s="2" t="s">
        <v>230</v>
      </c>
      <c r="N381" s="2" t="s">
        <v>237</v>
      </c>
    </row>
    <row r="382" spans="1:14" x14ac:dyDescent="0.25">
      <c r="A382" s="2">
        <v>9708</v>
      </c>
      <c r="B382" s="2">
        <v>7601</v>
      </c>
      <c r="C382" s="2" t="s">
        <v>226</v>
      </c>
      <c r="D382" s="2">
        <v>842</v>
      </c>
      <c r="E382" s="2" t="s">
        <v>229</v>
      </c>
      <c r="F382" s="2">
        <v>80608</v>
      </c>
      <c r="G382" s="2">
        <v>8.9</v>
      </c>
      <c r="H382" s="2">
        <v>23365</v>
      </c>
      <c r="I382" s="2" t="s">
        <v>227</v>
      </c>
      <c r="J382" s="2" t="s">
        <v>183</v>
      </c>
      <c r="K382" s="2" t="s">
        <v>183</v>
      </c>
      <c r="L382" s="2">
        <v>410</v>
      </c>
      <c r="M382" s="2" t="s">
        <v>230</v>
      </c>
      <c r="N382" s="2" t="s">
        <v>237</v>
      </c>
    </row>
    <row r="383" spans="1:14" x14ac:dyDescent="0.25">
      <c r="A383" s="2">
        <v>9709</v>
      </c>
      <c r="B383" s="2">
        <v>7601</v>
      </c>
      <c r="C383" s="2" t="s">
        <v>226</v>
      </c>
      <c r="D383" s="2">
        <v>724</v>
      </c>
      <c r="E383" s="2" t="s">
        <v>98</v>
      </c>
      <c r="F383" s="2">
        <v>59161</v>
      </c>
      <c r="G383" s="2">
        <v>6.6</v>
      </c>
      <c r="H383" s="2">
        <v>15777</v>
      </c>
      <c r="I383" s="2" t="s">
        <v>227</v>
      </c>
      <c r="J383" s="2" t="s">
        <v>183</v>
      </c>
      <c r="K383" s="2" t="s">
        <v>183</v>
      </c>
      <c r="L383" s="2">
        <v>410</v>
      </c>
      <c r="M383" s="2" t="s">
        <v>230</v>
      </c>
      <c r="N383" s="2" t="s">
        <v>237</v>
      </c>
    </row>
    <row r="384" spans="1:14" x14ac:dyDescent="0.25">
      <c r="A384" s="2">
        <v>9710</v>
      </c>
      <c r="B384" s="2">
        <v>7601</v>
      </c>
      <c r="C384" s="2" t="s">
        <v>226</v>
      </c>
      <c r="D384" s="2">
        <v>360</v>
      </c>
      <c r="E384" s="2" t="s">
        <v>46</v>
      </c>
      <c r="F384" s="2">
        <v>35108</v>
      </c>
      <c r="G384" s="2">
        <v>3.9</v>
      </c>
      <c r="H384" s="2">
        <v>11606</v>
      </c>
      <c r="I384" s="2" t="s">
        <v>227</v>
      </c>
      <c r="J384" s="2" t="s">
        <v>183</v>
      </c>
      <c r="K384" s="2" t="s">
        <v>183</v>
      </c>
      <c r="L384" s="2">
        <v>410</v>
      </c>
      <c r="M384" s="2" t="s">
        <v>230</v>
      </c>
      <c r="N384" s="2" t="s">
        <v>237</v>
      </c>
    </row>
    <row r="385" spans="1:14" x14ac:dyDescent="0.25">
      <c r="A385" s="2">
        <v>9711</v>
      </c>
      <c r="B385" s="2">
        <v>7601</v>
      </c>
      <c r="C385" s="2" t="s">
        <v>226</v>
      </c>
      <c r="D385" s="2">
        <v>392</v>
      </c>
      <c r="E385" s="2" t="s">
        <v>51</v>
      </c>
      <c r="F385" s="2">
        <v>33264</v>
      </c>
      <c r="G385" s="2">
        <v>3.7</v>
      </c>
      <c r="H385" s="2">
        <v>12147</v>
      </c>
      <c r="I385" s="2" t="s">
        <v>227</v>
      </c>
      <c r="J385" s="2" t="s">
        <v>183</v>
      </c>
      <c r="K385" s="2" t="s">
        <v>183</v>
      </c>
      <c r="L385" s="2">
        <v>410</v>
      </c>
      <c r="M385" s="2" t="s">
        <v>230</v>
      </c>
      <c r="N385" s="2" t="s">
        <v>237</v>
      </c>
    </row>
    <row r="386" spans="1:14" x14ac:dyDescent="0.25">
      <c r="A386" s="2">
        <v>9712</v>
      </c>
      <c r="B386" s="2">
        <v>7601</v>
      </c>
      <c r="C386" s="2" t="s">
        <v>226</v>
      </c>
      <c r="D386" s="2">
        <v>484</v>
      </c>
      <c r="E386" s="2" t="s">
        <v>70</v>
      </c>
      <c r="F386" s="2">
        <v>21352</v>
      </c>
      <c r="G386" s="2">
        <v>2.4</v>
      </c>
      <c r="H386" s="2">
        <v>6774</v>
      </c>
      <c r="I386" s="2" t="s">
        <v>227</v>
      </c>
      <c r="J386" s="2" t="s">
        <v>183</v>
      </c>
      <c r="K386" s="2" t="s">
        <v>183</v>
      </c>
      <c r="L386" s="2">
        <v>410</v>
      </c>
      <c r="M386" s="2" t="s">
        <v>230</v>
      </c>
      <c r="N386" s="2" t="s">
        <v>237</v>
      </c>
    </row>
    <row r="387" spans="1:14" x14ac:dyDescent="0.25">
      <c r="A387" s="2">
        <v>9713</v>
      </c>
      <c r="B387" s="2">
        <v>7601</v>
      </c>
      <c r="C387" s="2" t="s">
        <v>226</v>
      </c>
      <c r="D387" s="2">
        <v>699</v>
      </c>
      <c r="E387" s="2" t="s">
        <v>45</v>
      </c>
      <c r="F387" s="2">
        <v>20776</v>
      </c>
      <c r="G387" s="2">
        <v>2.2999999999999998</v>
      </c>
      <c r="H387" s="2">
        <v>6386</v>
      </c>
      <c r="I387" s="2" t="s">
        <v>227</v>
      </c>
      <c r="J387" s="2" t="s">
        <v>183</v>
      </c>
      <c r="K387" s="2" t="s">
        <v>183</v>
      </c>
      <c r="L387" s="2">
        <v>410</v>
      </c>
      <c r="M387" s="2" t="s">
        <v>230</v>
      </c>
      <c r="N387" s="2" t="s">
        <v>237</v>
      </c>
    </row>
    <row r="388" spans="1:14" x14ac:dyDescent="0.25">
      <c r="A388" s="2">
        <v>9714</v>
      </c>
      <c r="B388" s="2">
        <v>7601</v>
      </c>
      <c r="C388" s="2" t="s">
        <v>226</v>
      </c>
      <c r="D388" s="2">
        <v>404</v>
      </c>
      <c r="E388" s="2" t="s">
        <v>54</v>
      </c>
      <c r="F388" s="2">
        <v>14806</v>
      </c>
      <c r="G388" s="2">
        <v>1.6</v>
      </c>
      <c r="H388" s="2">
        <v>5091</v>
      </c>
      <c r="I388" s="2" t="s">
        <v>227</v>
      </c>
      <c r="J388" s="2" t="s">
        <v>183</v>
      </c>
      <c r="K388" s="2" t="s">
        <v>183</v>
      </c>
      <c r="L388" s="2">
        <v>410</v>
      </c>
      <c r="M388" s="2" t="s">
        <v>230</v>
      </c>
      <c r="N388" s="2" t="s">
        <v>237</v>
      </c>
    </row>
    <row r="389" spans="1:14" x14ac:dyDescent="0.25">
      <c r="A389" s="2">
        <v>9715</v>
      </c>
      <c r="B389" s="2">
        <v>7601</v>
      </c>
      <c r="C389" s="2" t="s">
        <v>226</v>
      </c>
      <c r="D389" s="2">
        <v>764</v>
      </c>
      <c r="E389" s="2" t="s">
        <v>103</v>
      </c>
      <c r="F389" s="2">
        <v>14039</v>
      </c>
      <c r="G389" s="2">
        <v>1.6</v>
      </c>
      <c r="H389" s="2">
        <v>4815</v>
      </c>
      <c r="I389" s="2" t="s">
        <v>227</v>
      </c>
      <c r="J389" s="2" t="s">
        <v>183</v>
      </c>
      <c r="K389" s="2" t="s">
        <v>183</v>
      </c>
      <c r="L389" s="2">
        <v>410</v>
      </c>
      <c r="M389" s="2" t="s">
        <v>230</v>
      </c>
      <c r="N389" s="2" t="s">
        <v>237</v>
      </c>
    </row>
    <row r="390" spans="1:14" x14ac:dyDescent="0.25">
      <c r="A390" s="2">
        <v>9716</v>
      </c>
      <c r="B390" s="2">
        <v>7601</v>
      </c>
      <c r="C390" s="2" t="s">
        <v>226</v>
      </c>
      <c r="D390" s="2">
        <v>188</v>
      </c>
      <c r="E390" s="2" t="s">
        <v>20</v>
      </c>
      <c r="F390" s="2">
        <v>6108</v>
      </c>
      <c r="G390" s="2">
        <v>0.7</v>
      </c>
      <c r="H390" s="2">
        <v>1726</v>
      </c>
      <c r="I390" s="2" t="s">
        <v>227</v>
      </c>
      <c r="J390" s="2" t="s">
        <v>183</v>
      </c>
      <c r="K390" s="2" t="s">
        <v>183</v>
      </c>
      <c r="L390" s="2">
        <v>410</v>
      </c>
      <c r="M390" s="2" t="s">
        <v>230</v>
      </c>
      <c r="N390" s="2" t="s">
        <v>237</v>
      </c>
    </row>
    <row r="391" spans="1:14" x14ac:dyDescent="0.25">
      <c r="A391" s="2">
        <v>9717</v>
      </c>
      <c r="B391" s="2">
        <v>7601</v>
      </c>
      <c r="C391" s="2" t="s">
        <v>226</v>
      </c>
      <c r="D391" s="2">
        <v>442</v>
      </c>
      <c r="E391" s="2" t="s">
        <v>62</v>
      </c>
      <c r="F391" s="2">
        <v>5698</v>
      </c>
      <c r="G391" s="2">
        <v>0.6</v>
      </c>
      <c r="H391" s="2">
        <v>1491</v>
      </c>
      <c r="I391" s="2" t="s">
        <v>227</v>
      </c>
      <c r="J391" s="2" t="s">
        <v>183</v>
      </c>
      <c r="K391" s="2" t="s">
        <v>183</v>
      </c>
      <c r="L391" s="2">
        <v>410</v>
      </c>
      <c r="M391" s="2" t="s">
        <v>230</v>
      </c>
      <c r="N391" s="2" t="s">
        <v>237</v>
      </c>
    </row>
    <row r="392" spans="1:14" x14ac:dyDescent="0.25">
      <c r="A392" s="2">
        <v>9718</v>
      </c>
      <c r="B392" s="2">
        <v>7601</v>
      </c>
      <c r="C392" s="2" t="s">
        <v>226</v>
      </c>
      <c r="D392" s="2">
        <v>276</v>
      </c>
      <c r="E392" s="2" t="s">
        <v>37</v>
      </c>
      <c r="F392" s="2">
        <v>4695</v>
      </c>
      <c r="G392" s="2">
        <v>0.5</v>
      </c>
      <c r="H392" s="2">
        <v>1293</v>
      </c>
      <c r="I392" s="2" t="s">
        <v>227</v>
      </c>
      <c r="J392" s="2" t="s">
        <v>183</v>
      </c>
      <c r="K392" s="2" t="s">
        <v>183</v>
      </c>
      <c r="L392" s="2">
        <v>410</v>
      </c>
      <c r="M392" s="2" t="s">
        <v>230</v>
      </c>
      <c r="N392" s="2" t="s">
        <v>237</v>
      </c>
    </row>
    <row r="393" spans="1:14" x14ac:dyDescent="0.25">
      <c r="A393" s="2">
        <v>9719</v>
      </c>
      <c r="B393" s="2">
        <v>7601</v>
      </c>
      <c r="C393" s="2" t="s">
        <v>226</v>
      </c>
      <c r="D393" s="2">
        <v>50</v>
      </c>
      <c r="E393" s="2" t="s">
        <v>8</v>
      </c>
      <c r="F393" s="2">
        <v>4614</v>
      </c>
      <c r="G393" s="2">
        <v>0.5</v>
      </c>
      <c r="H393" s="2">
        <v>1458</v>
      </c>
      <c r="I393" s="2" t="s">
        <v>227</v>
      </c>
      <c r="J393" s="2" t="s">
        <v>183</v>
      </c>
      <c r="K393" s="2" t="s">
        <v>183</v>
      </c>
      <c r="L393" s="2">
        <v>410</v>
      </c>
      <c r="M393" s="2" t="s">
        <v>230</v>
      </c>
      <c r="N393" s="2" t="s">
        <v>237</v>
      </c>
    </row>
    <row r="394" spans="1:14" x14ac:dyDescent="0.25">
      <c r="A394" s="2">
        <v>9720</v>
      </c>
      <c r="B394" s="2">
        <v>7601</v>
      </c>
      <c r="C394" s="2" t="s">
        <v>226</v>
      </c>
      <c r="D394" s="2">
        <v>608</v>
      </c>
      <c r="E394" s="2" t="s">
        <v>85</v>
      </c>
      <c r="F394" s="2">
        <v>4344</v>
      </c>
      <c r="G394" s="2">
        <v>0.5</v>
      </c>
      <c r="H394" s="2">
        <v>1308</v>
      </c>
      <c r="I394" s="2" t="s">
        <v>227</v>
      </c>
      <c r="J394" s="2" t="s">
        <v>183</v>
      </c>
      <c r="K394" s="2" t="s">
        <v>183</v>
      </c>
      <c r="L394" s="2">
        <v>410</v>
      </c>
      <c r="M394" s="2" t="s">
        <v>230</v>
      </c>
      <c r="N394" s="2" t="s">
        <v>237</v>
      </c>
    </row>
    <row r="395" spans="1:14" x14ac:dyDescent="0.25">
      <c r="A395" s="2">
        <v>9721</v>
      </c>
      <c r="B395" s="2">
        <v>7601</v>
      </c>
      <c r="C395" s="2" t="s">
        <v>226</v>
      </c>
      <c r="D395" s="2">
        <v>528</v>
      </c>
      <c r="E395" s="2" t="s">
        <v>75</v>
      </c>
      <c r="F395" s="2">
        <v>3832</v>
      </c>
      <c r="G395" s="2">
        <v>0.4</v>
      </c>
      <c r="H395" s="2">
        <v>1077</v>
      </c>
      <c r="I395" s="2" t="s">
        <v>227</v>
      </c>
      <c r="J395" s="2" t="s">
        <v>183</v>
      </c>
      <c r="K395" s="2" t="s">
        <v>183</v>
      </c>
      <c r="L395" s="2">
        <v>410</v>
      </c>
      <c r="M395" s="2" t="s">
        <v>230</v>
      </c>
      <c r="N395" s="2" t="s">
        <v>237</v>
      </c>
    </row>
    <row r="396" spans="1:14" x14ac:dyDescent="0.25">
      <c r="A396" s="2">
        <v>9722</v>
      </c>
      <c r="B396" s="2">
        <v>7601</v>
      </c>
      <c r="C396" s="2" t="s">
        <v>226</v>
      </c>
      <c r="D396" s="2">
        <v>710</v>
      </c>
      <c r="E396" s="2" t="s">
        <v>97</v>
      </c>
      <c r="F396" s="2">
        <v>3066</v>
      </c>
      <c r="G396" s="2">
        <v>0.3</v>
      </c>
      <c r="H396" s="2">
        <v>1030</v>
      </c>
      <c r="I396" s="2" t="s">
        <v>227</v>
      </c>
      <c r="J396" s="2" t="s">
        <v>183</v>
      </c>
      <c r="K396" s="2" t="s">
        <v>183</v>
      </c>
      <c r="L396" s="2">
        <v>410</v>
      </c>
      <c r="M396" s="2" t="s">
        <v>230</v>
      </c>
      <c r="N396" s="2" t="s">
        <v>237</v>
      </c>
    </row>
    <row r="397" spans="1:14" x14ac:dyDescent="0.25">
      <c r="A397" s="2">
        <v>9723</v>
      </c>
      <c r="B397" s="2">
        <v>7601</v>
      </c>
      <c r="C397" s="2" t="s">
        <v>226</v>
      </c>
      <c r="D397" s="2">
        <v>834</v>
      </c>
      <c r="E397" s="2" t="s">
        <v>238</v>
      </c>
      <c r="F397" s="2">
        <v>2449</v>
      </c>
      <c r="G397" s="2">
        <v>0.3</v>
      </c>
      <c r="H397" s="2">
        <v>835</v>
      </c>
      <c r="I397" s="2" t="s">
        <v>227</v>
      </c>
      <c r="J397" s="2" t="s">
        <v>183</v>
      </c>
      <c r="K397" s="2" t="s">
        <v>183</v>
      </c>
      <c r="L397" s="2">
        <v>410</v>
      </c>
      <c r="M397" s="2" t="s">
        <v>230</v>
      </c>
      <c r="N397" s="2" t="s">
        <v>237</v>
      </c>
    </row>
    <row r="398" spans="1:14" x14ac:dyDescent="0.25">
      <c r="A398" s="2">
        <v>9625</v>
      </c>
      <c r="B398" s="2">
        <v>7601</v>
      </c>
      <c r="C398" s="2" t="s">
        <v>226</v>
      </c>
      <c r="D398" s="2">
        <v>251</v>
      </c>
      <c r="E398" s="2" t="s">
        <v>33</v>
      </c>
      <c r="F398" s="2">
        <v>248</v>
      </c>
      <c r="G398" s="2">
        <v>1.6</v>
      </c>
      <c r="H398" s="2">
        <v>176</v>
      </c>
      <c r="I398" s="2" t="s">
        <v>227</v>
      </c>
      <c r="J398" s="2" t="s">
        <v>183</v>
      </c>
      <c r="K398" s="2" t="s">
        <v>183</v>
      </c>
      <c r="L398" s="2">
        <v>504</v>
      </c>
      <c r="M398" s="2" t="s">
        <v>73</v>
      </c>
      <c r="N398" s="2" t="s">
        <v>237</v>
      </c>
    </row>
    <row r="399" spans="1:14" x14ac:dyDescent="0.25">
      <c r="A399" s="2">
        <v>9725</v>
      </c>
      <c r="B399" s="2">
        <v>7601</v>
      </c>
      <c r="C399" s="2" t="s">
        <v>226</v>
      </c>
      <c r="D399" s="2">
        <v>634</v>
      </c>
      <c r="E399" s="2" t="s">
        <v>88</v>
      </c>
      <c r="F399" s="2">
        <v>2009</v>
      </c>
      <c r="G399" s="2">
        <v>0.2</v>
      </c>
      <c r="H399" s="2">
        <v>1605</v>
      </c>
      <c r="I399" s="2" t="s">
        <v>227</v>
      </c>
      <c r="J399" s="2" t="s">
        <v>183</v>
      </c>
      <c r="K399" s="2" t="s">
        <v>183</v>
      </c>
      <c r="L399" s="2">
        <v>410</v>
      </c>
      <c r="M399" s="2" t="s">
        <v>230</v>
      </c>
      <c r="N399" s="2" t="s">
        <v>237</v>
      </c>
    </row>
    <row r="400" spans="1:14" x14ac:dyDescent="0.25">
      <c r="A400" s="2">
        <v>9726</v>
      </c>
      <c r="B400" s="2">
        <v>7601</v>
      </c>
      <c r="C400" s="2" t="s">
        <v>226</v>
      </c>
      <c r="D400" s="2">
        <v>158</v>
      </c>
      <c r="E400" s="2" t="s">
        <v>233</v>
      </c>
      <c r="F400" s="2">
        <v>1954</v>
      </c>
      <c r="G400" s="2">
        <v>0.2</v>
      </c>
      <c r="H400" s="2">
        <v>584</v>
      </c>
      <c r="I400" s="2" t="s">
        <v>227</v>
      </c>
      <c r="J400" s="2" t="s">
        <v>183</v>
      </c>
      <c r="K400" s="2" t="s">
        <v>183</v>
      </c>
      <c r="L400" s="2">
        <v>410</v>
      </c>
      <c r="M400" s="2" t="s">
        <v>230</v>
      </c>
      <c r="N400" s="2" t="s">
        <v>237</v>
      </c>
    </row>
    <row r="401" spans="1:14" x14ac:dyDescent="0.25">
      <c r="A401" s="2">
        <v>9727</v>
      </c>
      <c r="B401" s="2">
        <v>7601</v>
      </c>
      <c r="C401" s="2" t="s">
        <v>226</v>
      </c>
      <c r="D401" s="2">
        <v>191</v>
      </c>
      <c r="E401" s="2" t="s">
        <v>21</v>
      </c>
      <c r="F401" s="2">
        <v>1944</v>
      </c>
      <c r="G401" s="2">
        <v>0.2</v>
      </c>
      <c r="H401" s="2">
        <v>631</v>
      </c>
      <c r="I401" s="2" t="s">
        <v>227</v>
      </c>
      <c r="J401" s="2" t="s">
        <v>183</v>
      </c>
      <c r="K401" s="2" t="s">
        <v>183</v>
      </c>
      <c r="L401" s="2">
        <v>410</v>
      </c>
      <c r="M401" s="2" t="s">
        <v>230</v>
      </c>
      <c r="N401" s="2" t="s">
        <v>237</v>
      </c>
    </row>
    <row r="402" spans="1:14" x14ac:dyDescent="0.25">
      <c r="A402" s="2">
        <v>9728</v>
      </c>
      <c r="B402" s="2">
        <v>7601</v>
      </c>
      <c r="C402" s="2" t="s">
        <v>226</v>
      </c>
      <c r="D402" s="2">
        <v>36</v>
      </c>
      <c r="E402" s="2" t="s">
        <v>4</v>
      </c>
      <c r="F402" s="2">
        <v>1841</v>
      </c>
      <c r="G402" s="2">
        <v>0.2</v>
      </c>
      <c r="H402" s="2">
        <v>615</v>
      </c>
      <c r="I402" s="2" t="s">
        <v>227</v>
      </c>
      <c r="J402" s="2" t="s">
        <v>183</v>
      </c>
      <c r="K402" s="2" t="s">
        <v>183</v>
      </c>
      <c r="L402" s="2">
        <v>410</v>
      </c>
      <c r="M402" s="2" t="s">
        <v>230</v>
      </c>
      <c r="N402" s="2" t="s">
        <v>237</v>
      </c>
    </row>
    <row r="403" spans="1:14" x14ac:dyDescent="0.25">
      <c r="A403" s="2">
        <v>9729</v>
      </c>
      <c r="B403" s="2">
        <v>7601</v>
      </c>
      <c r="C403" s="2" t="s">
        <v>226</v>
      </c>
      <c r="D403" s="2">
        <v>620</v>
      </c>
      <c r="E403" s="2" t="s">
        <v>87</v>
      </c>
      <c r="F403" s="2">
        <v>438096</v>
      </c>
      <c r="G403" s="2">
        <v>44.8</v>
      </c>
      <c r="H403" s="2">
        <v>124228</v>
      </c>
      <c r="I403" s="2" t="s">
        <v>227</v>
      </c>
      <c r="J403" s="2" t="s">
        <v>183</v>
      </c>
      <c r="K403" s="2" t="s">
        <v>183</v>
      </c>
      <c r="L403" s="2">
        <v>724</v>
      </c>
      <c r="M403" s="2" t="s">
        <v>98</v>
      </c>
      <c r="N403" s="2" t="s">
        <v>237</v>
      </c>
    </row>
    <row r="404" spans="1:14" x14ac:dyDescent="0.25">
      <c r="A404" s="2">
        <v>9731</v>
      </c>
      <c r="B404" s="2">
        <v>7601</v>
      </c>
      <c r="C404" s="2" t="s">
        <v>226</v>
      </c>
      <c r="D404" s="2">
        <v>528</v>
      </c>
      <c r="E404" s="2" t="s">
        <v>75</v>
      </c>
      <c r="F404" s="2">
        <v>97264</v>
      </c>
      <c r="G404" s="2">
        <v>10</v>
      </c>
      <c r="H404" s="2">
        <v>35675</v>
      </c>
      <c r="I404" s="2" t="s">
        <v>227</v>
      </c>
      <c r="J404" s="2" t="s">
        <v>183</v>
      </c>
      <c r="K404" s="2" t="s">
        <v>183</v>
      </c>
      <c r="L404" s="2">
        <v>724</v>
      </c>
      <c r="M404" s="2" t="s">
        <v>98</v>
      </c>
      <c r="N404" s="2" t="s">
        <v>237</v>
      </c>
    </row>
    <row r="405" spans="1:14" x14ac:dyDescent="0.25">
      <c r="A405" s="2">
        <v>9732</v>
      </c>
      <c r="B405" s="2">
        <v>7601</v>
      </c>
      <c r="C405" s="2" t="s">
        <v>226</v>
      </c>
      <c r="D405" s="2">
        <v>381</v>
      </c>
      <c r="E405" s="2" t="s">
        <v>50</v>
      </c>
      <c r="F405" s="2">
        <v>93743</v>
      </c>
      <c r="G405" s="2">
        <v>9.6</v>
      </c>
      <c r="H405" s="2">
        <v>32170</v>
      </c>
      <c r="I405" s="2" t="s">
        <v>227</v>
      </c>
      <c r="J405" s="2" t="s">
        <v>183</v>
      </c>
      <c r="K405" s="2" t="s">
        <v>183</v>
      </c>
      <c r="L405" s="2">
        <v>724</v>
      </c>
      <c r="M405" s="2" t="s">
        <v>98</v>
      </c>
      <c r="N405" s="2" t="s">
        <v>237</v>
      </c>
    </row>
    <row r="406" spans="1:14" x14ac:dyDescent="0.25">
      <c r="A406" s="2">
        <v>9733</v>
      </c>
      <c r="B406" s="2">
        <v>7601</v>
      </c>
      <c r="C406" s="2" t="s">
        <v>226</v>
      </c>
      <c r="D406" s="2">
        <v>392</v>
      </c>
      <c r="E406" s="2" t="s">
        <v>51</v>
      </c>
      <c r="F406" s="2">
        <v>49193</v>
      </c>
      <c r="G406" s="2">
        <v>5</v>
      </c>
      <c r="H406" s="2">
        <v>20354</v>
      </c>
      <c r="I406" s="2" t="s">
        <v>227</v>
      </c>
      <c r="J406" s="2" t="s">
        <v>183</v>
      </c>
      <c r="K406" s="2" t="s">
        <v>183</v>
      </c>
      <c r="L406" s="2">
        <v>724</v>
      </c>
      <c r="M406" s="2" t="s">
        <v>98</v>
      </c>
      <c r="N406" s="2" t="s">
        <v>237</v>
      </c>
    </row>
    <row r="407" spans="1:14" x14ac:dyDescent="0.25">
      <c r="A407" s="2">
        <v>9734</v>
      </c>
      <c r="B407" s="2">
        <v>7601</v>
      </c>
      <c r="C407" s="2" t="s">
        <v>226</v>
      </c>
      <c r="D407" s="2">
        <v>276</v>
      </c>
      <c r="E407" s="2" t="s">
        <v>37</v>
      </c>
      <c r="F407" s="2">
        <v>32580</v>
      </c>
      <c r="G407" s="2">
        <v>3.3</v>
      </c>
      <c r="H407" s="2">
        <v>10234</v>
      </c>
      <c r="I407" s="2" t="s">
        <v>227</v>
      </c>
      <c r="J407" s="2" t="s">
        <v>183</v>
      </c>
      <c r="K407" s="2" t="s">
        <v>183</v>
      </c>
      <c r="L407" s="2">
        <v>724</v>
      </c>
      <c r="M407" s="2" t="s">
        <v>98</v>
      </c>
      <c r="N407" s="2" t="s">
        <v>237</v>
      </c>
    </row>
    <row r="408" spans="1:14" x14ac:dyDescent="0.25">
      <c r="A408" s="2">
        <v>9735</v>
      </c>
      <c r="B408" s="2">
        <v>7601</v>
      </c>
      <c r="C408" s="2" t="s">
        <v>226</v>
      </c>
      <c r="D408" s="2">
        <v>76</v>
      </c>
      <c r="E408" s="2" t="s">
        <v>14</v>
      </c>
      <c r="F408" s="2">
        <v>27127</v>
      </c>
      <c r="G408" s="2">
        <v>2.8</v>
      </c>
      <c r="H408" s="2">
        <v>9682</v>
      </c>
      <c r="I408" s="2" t="s">
        <v>227</v>
      </c>
      <c r="J408" s="2" t="s">
        <v>183</v>
      </c>
      <c r="K408" s="2" t="s">
        <v>183</v>
      </c>
      <c r="L408" s="2">
        <v>724</v>
      </c>
      <c r="M408" s="2" t="s">
        <v>98</v>
      </c>
      <c r="N408" s="2" t="s">
        <v>237</v>
      </c>
    </row>
    <row r="409" spans="1:14" x14ac:dyDescent="0.25">
      <c r="A409" s="2">
        <v>9736</v>
      </c>
      <c r="B409" s="2">
        <v>7601</v>
      </c>
      <c r="C409" s="2" t="s">
        <v>226</v>
      </c>
      <c r="D409" s="2">
        <v>360</v>
      </c>
      <c r="E409" s="2" t="s">
        <v>46</v>
      </c>
      <c r="F409" s="2">
        <v>16212</v>
      </c>
      <c r="G409" s="2">
        <v>1.7</v>
      </c>
      <c r="H409" s="2">
        <v>6605</v>
      </c>
      <c r="I409" s="2" t="s">
        <v>227</v>
      </c>
      <c r="J409" s="2" t="s">
        <v>183</v>
      </c>
      <c r="K409" s="2" t="s">
        <v>183</v>
      </c>
      <c r="L409" s="2">
        <v>724</v>
      </c>
      <c r="M409" s="2" t="s">
        <v>98</v>
      </c>
      <c r="N409" s="2" t="s">
        <v>237</v>
      </c>
    </row>
    <row r="410" spans="1:14" x14ac:dyDescent="0.25">
      <c r="A410" s="2">
        <v>9737</v>
      </c>
      <c r="B410" s="2">
        <v>7601</v>
      </c>
      <c r="C410" s="2" t="s">
        <v>226</v>
      </c>
      <c r="D410" s="2">
        <v>842</v>
      </c>
      <c r="E410" s="2" t="s">
        <v>229</v>
      </c>
      <c r="F410" s="2">
        <v>13992</v>
      </c>
      <c r="G410" s="2">
        <v>1.4</v>
      </c>
      <c r="H410" s="2">
        <v>4594</v>
      </c>
      <c r="I410" s="2" t="s">
        <v>227</v>
      </c>
      <c r="J410" s="2" t="s">
        <v>183</v>
      </c>
      <c r="K410" s="2" t="s">
        <v>183</v>
      </c>
      <c r="L410" s="2">
        <v>724</v>
      </c>
      <c r="M410" s="2" t="s">
        <v>98</v>
      </c>
      <c r="N410" s="2" t="s">
        <v>237</v>
      </c>
    </row>
    <row r="411" spans="1:14" x14ac:dyDescent="0.25">
      <c r="A411" s="2">
        <v>9738</v>
      </c>
      <c r="B411" s="2">
        <v>7601</v>
      </c>
      <c r="C411" s="2" t="s">
        <v>226</v>
      </c>
      <c r="D411" s="2">
        <v>504</v>
      </c>
      <c r="E411" s="2" t="s">
        <v>73</v>
      </c>
      <c r="F411" s="2">
        <v>12009</v>
      </c>
      <c r="G411" s="2">
        <v>1.2</v>
      </c>
      <c r="H411" s="2">
        <v>3871</v>
      </c>
      <c r="I411" s="2" t="s">
        <v>227</v>
      </c>
      <c r="J411" s="2" t="s">
        <v>183</v>
      </c>
      <c r="K411" s="2" t="s">
        <v>183</v>
      </c>
      <c r="L411" s="2">
        <v>724</v>
      </c>
      <c r="M411" s="2" t="s">
        <v>98</v>
      </c>
      <c r="N411" s="2" t="s">
        <v>237</v>
      </c>
    </row>
    <row r="412" spans="1:14" x14ac:dyDescent="0.25">
      <c r="A412" s="2">
        <v>9739</v>
      </c>
      <c r="B412" s="2">
        <v>7601</v>
      </c>
      <c r="C412" s="2" t="s">
        <v>226</v>
      </c>
      <c r="D412" s="2">
        <v>156</v>
      </c>
      <c r="E412" s="2" t="s">
        <v>18</v>
      </c>
      <c r="F412" s="2">
        <v>11798</v>
      </c>
      <c r="G412" s="2">
        <v>1.2</v>
      </c>
      <c r="H412" s="2">
        <v>5151</v>
      </c>
      <c r="I412" s="2" t="s">
        <v>227</v>
      </c>
      <c r="J412" s="2" t="s">
        <v>183</v>
      </c>
      <c r="K412" s="2" t="s">
        <v>183</v>
      </c>
      <c r="L412" s="2">
        <v>724</v>
      </c>
      <c r="M412" s="2" t="s">
        <v>98</v>
      </c>
      <c r="N412" s="2" t="s">
        <v>237</v>
      </c>
    </row>
    <row r="413" spans="1:14" x14ac:dyDescent="0.25">
      <c r="A413" s="2">
        <v>9740</v>
      </c>
      <c r="B413" s="2">
        <v>7601</v>
      </c>
      <c r="C413" s="2" t="s">
        <v>226</v>
      </c>
      <c r="D413" s="2">
        <v>704</v>
      </c>
      <c r="E413" s="2" t="s">
        <v>232</v>
      </c>
      <c r="F413" s="2">
        <v>11340</v>
      </c>
      <c r="G413" s="2">
        <v>1.2</v>
      </c>
      <c r="H413" s="2">
        <v>4646</v>
      </c>
      <c r="I413" s="2" t="s">
        <v>227</v>
      </c>
      <c r="J413" s="2" t="s">
        <v>183</v>
      </c>
      <c r="K413" s="2" t="s">
        <v>183</v>
      </c>
      <c r="L413" s="2">
        <v>724</v>
      </c>
      <c r="M413" s="2" t="s">
        <v>98</v>
      </c>
      <c r="N413" s="2" t="s">
        <v>237</v>
      </c>
    </row>
    <row r="414" spans="1:14" x14ac:dyDescent="0.25">
      <c r="A414" s="2">
        <v>9741</v>
      </c>
      <c r="B414" s="2">
        <v>7601</v>
      </c>
      <c r="C414" s="2" t="s">
        <v>226</v>
      </c>
      <c r="D414" s="2">
        <v>826</v>
      </c>
      <c r="E414" s="2" t="s">
        <v>110</v>
      </c>
      <c r="F414" s="2">
        <v>6855</v>
      </c>
      <c r="G414" s="2">
        <v>0.7</v>
      </c>
      <c r="H414" s="2">
        <v>1567</v>
      </c>
      <c r="I414" s="2" t="s">
        <v>227</v>
      </c>
      <c r="J414" s="2" t="s">
        <v>183</v>
      </c>
      <c r="K414" s="2" t="s">
        <v>183</v>
      </c>
      <c r="L414" s="2">
        <v>724</v>
      </c>
      <c r="M414" s="2" t="s">
        <v>98</v>
      </c>
      <c r="N414" s="2" t="s">
        <v>237</v>
      </c>
    </row>
    <row r="415" spans="1:14" x14ac:dyDescent="0.25">
      <c r="A415" s="2">
        <v>9742</v>
      </c>
      <c r="B415" s="2">
        <v>7601</v>
      </c>
      <c r="C415" s="2" t="s">
        <v>226</v>
      </c>
      <c r="D415" s="2">
        <v>203</v>
      </c>
      <c r="E415" s="2" t="s">
        <v>211</v>
      </c>
      <c r="F415" s="2">
        <v>6451</v>
      </c>
      <c r="G415" s="2">
        <v>0.7</v>
      </c>
      <c r="H415" s="2">
        <v>2186</v>
      </c>
      <c r="I415" s="2" t="s">
        <v>227</v>
      </c>
      <c r="J415" s="2" t="s">
        <v>183</v>
      </c>
      <c r="K415" s="2" t="s">
        <v>183</v>
      </c>
      <c r="L415" s="2">
        <v>724</v>
      </c>
      <c r="M415" s="2" t="s">
        <v>98</v>
      </c>
      <c r="N415" s="2" t="s">
        <v>237</v>
      </c>
    </row>
    <row r="416" spans="1:14" x14ac:dyDescent="0.25">
      <c r="A416" s="2">
        <v>9743</v>
      </c>
      <c r="B416" s="2">
        <v>7601</v>
      </c>
      <c r="C416" s="2" t="s">
        <v>226</v>
      </c>
      <c r="D416" s="2">
        <v>703</v>
      </c>
      <c r="E416" s="2" t="s">
        <v>95</v>
      </c>
      <c r="F416" s="2">
        <v>6321</v>
      </c>
      <c r="G416" s="2">
        <v>0.6</v>
      </c>
      <c r="H416" s="2">
        <v>2128</v>
      </c>
      <c r="I416" s="2" t="s">
        <v>227</v>
      </c>
      <c r="J416" s="2" t="s">
        <v>183</v>
      </c>
      <c r="K416" s="2" t="s">
        <v>183</v>
      </c>
      <c r="L416" s="2">
        <v>724</v>
      </c>
      <c r="M416" s="2" t="s">
        <v>98</v>
      </c>
      <c r="N416" s="2" t="s">
        <v>237</v>
      </c>
    </row>
    <row r="417" spans="1:14" x14ac:dyDescent="0.25">
      <c r="A417" s="2">
        <v>9744</v>
      </c>
      <c r="B417" s="2">
        <v>7601</v>
      </c>
      <c r="C417" s="2" t="s">
        <v>226</v>
      </c>
      <c r="D417" s="2">
        <v>458</v>
      </c>
      <c r="E417" s="2" t="s">
        <v>66</v>
      </c>
      <c r="F417" s="2">
        <v>5776</v>
      </c>
      <c r="G417" s="2">
        <v>0.6</v>
      </c>
      <c r="H417" s="2">
        <v>1863</v>
      </c>
      <c r="I417" s="2" t="s">
        <v>227</v>
      </c>
      <c r="J417" s="2" t="s">
        <v>183</v>
      </c>
      <c r="K417" s="2" t="s">
        <v>183</v>
      </c>
      <c r="L417" s="2">
        <v>724</v>
      </c>
      <c r="M417" s="2" t="s">
        <v>98</v>
      </c>
      <c r="N417" s="2" t="s">
        <v>237</v>
      </c>
    </row>
    <row r="418" spans="1:14" x14ac:dyDescent="0.25">
      <c r="A418" s="2">
        <v>9745</v>
      </c>
      <c r="B418" s="2">
        <v>7601</v>
      </c>
      <c r="C418" s="2" t="s">
        <v>226</v>
      </c>
      <c r="D418" s="2">
        <v>40</v>
      </c>
      <c r="E418" s="2" t="s">
        <v>5</v>
      </c>
      <c r="F418" s="2">
        <v>5479</v>
      </c>
      <c r="G418" s="2">
        <v>0.6</v>
      </c>
      <c r="H418" s="2">
        <v>1464</v>
      </c>
      <c r="I418" s="2" t="s">
        <v>227</v>
      </c>
      <c r="J418" s="2" t="s">
        <v>183</v>
      </c>
      <c r="K418" s="2" t="s">
        <v>183</v>
      </c>
      <c r="L418" s="2">
        <v>724</v>
      </c>
      <c r="M418" s="2" t="s">
        <v>98</v>
      </c>
      <c r="N418" s="2" t="s">
        <v>237</v>
      </c>
    </row>
    <row r="419" spans="1:14" x14ac:dyDescent="0.25">
      <c r="A419" s="2">
        <v>9746</v>
      </c>
      <c r="B419" s="2">
        <v>7601</v>
      </c>
      <c r="C419" s="2" t="s">
        <v>226</v>
      </c>
      <c r="D419" s="2">
        <v>616</v>
      </c>
      <c r="E419" s="2" t="s">
        <v>86</v>
      </c>
      <c r="F419" s="2">
        <v>5068</v>
      </c>
      <c r="G419" s="2">
        <v>0.5</v>
      </c>
      <c r="H419" s="2">
        <v>672</v>
      </c>
      <c r="I419" s="2" t="s">
        <v>227</v>
      </c>
      <c r="J419" s="2" t="s">
        <v>183</v>
      </c>
      <c r="K419" s="2" t="s">
        <v>183</v>
      </c>
      <c r="L419" s="2">
        <v>724</v>
      </c>
      <c r="M419" s="2" t="s">
        <v>98</v>
      </c>
      <c r="N419" s="2" t="s">
        <v>237</v>
      </c>
    </row>
    <row r="420" spans="1:14" x14ac:dyDescent="0.25">
      <c r="A420" s="2">
        <v>9747</v>
      </c>
      <c r="B420" s="2">
        <v>7601</v>
      </c>
      <c r="C420" s="2" t="s">
        <v>226</v>
      </c>
      <c r="D420" s="2">
        <v>792</v>
      </c>
      <c r="E420" s="2" t="s">
        <v>107</v>
      </c>
      <c r="F420" s="2">
        <v>4258</v>
      </c>
      <c r="G420" s="2">
        <v>0.4</v>
      </c>
      <c r="H420" s="2">
        <v>1652</v>
      </c>
      <c r="I420" s="2" t="s">
        <v>227</v>
      </c>
      <c r="J420" s="2" t="s">
        <v>183</v>
      </c>
      <c r="K420" s="2" t="s">
        <v>183</v>
      </c>
      <c r="L420" s="2">
        <v>724</v>
      </c>
      <c r="M420" s="2" t="s">
        <v>98</v>
      </c>
      <c r="N420" s="2" t="s">
        <v>237</v>
      </c>
    </row>
    <row r="421" spans="1:14" x14ac:dyDescent="0.25">
      <c r="A421" s="2">
        <v>9748</v>
      </c>
      <c r="B421" s="2">
        <v>7601</v>
      </c>
      <c r="C421" s="2" t="s">
        <v>226</v>
      </c>
      <c r="D421" s="2">
        <v>158</v>
      </c>
      <c r="E421" s="2" t="s">
        <v>233</v>
      </c>
      <c r="F421" s="2">
        <v>4142</v>
      </c>
      <c r="G421" s="2">
        <v>0.4</v>
      </c>
      <c r="H421" s="2">
        <v>1716</v>
      </c>
      <c r="I421" s="2" t="s">
        <v>227</v>
      </c>
      <c r="J421" s="2" t="s">
        <v>183</v>
      </c>
      <c r="K421" s="2" t="s">
        <v>183</v>
      </c>
      <c r="L421" s="2">
        <v>724</v>
      </c>
      <c r="M421" s="2" t="s">
        <v>98</v>
      </c>
      <c r="N421" s="2" t="s">
        <v>237</v>
      </c>
    </row>
    <row r="422" spans="1:14" x14ac:dyDescent="0.25">
      <c r="A422" s="2">
        <v>9749</v>
      </c>
      <c r="B422" s="2">
        <v>7601</v>
      </c>
      <c r="C422" s="2" t="s">
        <v>226</v>
      </c>
      <c r="D422" s="2">
        <v>32</v>
      </c>
      <c r="E422" s="2" t="s">
        <v>2</v>
      </c>
      <c r="F422" s="2">
        <v>3684</v>
      </c>
      <c r="G422" s="2">
        <v>0.4</v>
      </c>
      <c r="H422" s="2">
        <v>1367</v>
      </c>
      <c r="I422" s="2" t="s">
        <v>227</v>
      </c>
      <c r="J422" s="2" t="s">
        <v>183</v>
      </c>
      <c r="K422" s="2" t="s">
        <v>183</v>
      </c>
      <c r="L422" s="2">
        <v>724</v>
      </c>
      <c r="M422" s="2" t="s">
        <v>98</v>
      </c>
      <c r="N422" s="2" t="s">
        <v>237</v>
      </c>
    </row>
    <row r="423" spans="1:14" x14ac:dyDescent="0.25">
      <c r="A423" s="2">
        <v>9750</v>
      </c>
      <c r="B423" s="2">
        <v>7601</v>
      </c>
      <c r="C423" s="2" t="s">
        <v>226</v>
      </c>
      <c r="D423" s="2">
        <v>56</v>
      </c>
      <c r="E423" s="2" t="s">
        <v>11</v>
      </c>
      <c r="F423" s="2">
        <v>2599</v>
      </c>
      <c r="G423" s="2">
        <v>0.3</v>
      </c>
      <c r="H423" s="2">
        <v>623</v>
      </c>
      <c r="I423" s="2" t="s">
        <v>227</v>
      </c>
      <c r="J423" s="2" t="s">
        <v>183</v>
      </c>
      <c r="K423" s="2" t="s">
        <v>183</v>
      </c>
      <c r="L423" s="2">
        <v>724</v>
      </c>
      <c r="M423" s="2" t="s">
        <v>98</v>
      </c>
      <c r="N423" s="2" t="s">
        <v>237</v>
      </c>
    </row>
    <row r="424" spans="1:14" x14ac:dyDescent="0.25">
      <c r="A424" s="2">
        <v>9751</v>
      </c>
      <c r="B424" s="2">
        <v>7601</v>
      </c>
      <c r="C424" s="2" t="s">
        <v>226</v>
      </c>
      <c r="D424" s="2">
        <v>484</v>
      </c>
      <c r="E424" s="2" t="s">
        <v>70</v>
      </c>
      <c r="F424" s="2">
        <v>2402</v>
      </c>
      <c r="G424" s="2">
        <v>0.2</v>
      </c>
      <c r="H424" s="2">
        <v>853</v>
      </c>
      <c r="I424" s="2" t="s">
        <v>227</v>
      </c>
      <c r="J424" s="2" t="s">
        <v>183</v>
      </c>
      <c r="K424" s="2" t="s">
        <v>183</v>
      </c>
      <c r="L424" s="2">
        <v>724</v>
      </c>
      <c r="M424" s="2" t="s">
        <v>98</v>
      </c>
      <c r="N424" s="2" t="s">
        <v>237</v>
      </c>
    </row>
    <row r="425" spans="1:14" x14ac:dyDescent="0.25">
      <c r="A425" s="2">
        <v>9752</v>
      </c>
      <c r="B425" s="2">
        <v>7601</v>
      </c>
      <c r="C425" s="2" t="s">
        <v>226</v>
      </c>
      <c r="D425" s="2">
        <v>352</v>
      </c>
      <c r="E425" s="2" t="s">
        <v>44</v>
      </c>
      <c r="F425" s="2">
        <v>2199</v>
      </c>
      <c r="G425" s="2">
        <v>0.2</v>
      </c>
      <c r="H425" s="2">
        <v>407</v>
      </c>
      <c r="I425" s="2" t="s">
        <v>227</v>
      </c>
      <c r="J425" s="2" t="s">
        <v>183</v>
      </c>
      <c r="K425" s="2" t="s">
        <v>183</v>
      </c>
      <c r="L425" s="2">
        <v>724</v>
      </c>
      <c r="M425" s="2" t="s">
        <v>98</v>
      </c>
      <c r="N425" s="2" t="s">
        <v>237</v>
      </c>
    </row>
    <row r="426" spans="1:14" x14ac:dyDescent="0.25">
      <c r="A426" s="2">
        <v>9753</v>
      </c>
      <c r="B426" s="2">
        <v>7601</v>
      </c>
      <c r="C426" s="2" t="s">
        <v>226</v>
      </c>
      <c r="D426" s="2">
        <v>616</v>
      </c>
      <c r="E426" s="2" t="s">
        <v>86</v>
      </c>
      <c r="F426" s="2">
        <v>580683</v>
      </c>
      <c r="G426" s="2">
        <v>55.3</v>
      </c>
      <c r="H426" s="2">
        <v>153151</v>
      </c>
      <c r="I426" s="2" t="s">
        <v>227</v>
      </c>
      <c r="J426" s="2" t="s">
        <v>183</v>
      </c>
      <c r="K426" s="2" t="s">
        <v>183</v>
      </c>
      <c r="L426" s="2">
        <v>752</v>
      </c>
      <c r="M426" s="2" t="s">
        <v>100</v>
      </c>
      <c r="N426" s="2" t="s">
        <v>237</v>
      </c>
    </row>
    <row r="427" spans="1:14" x14ac:dyDescent="0.25">
      <c r="A427" s="2">
        <v>9754</v>
      </c>
      <c r="B427" s="2">
        <v>7601</v>
      </c>
      <c r="C427" s="2" t="s">
        <v>226</v>
      </c>
      <c r="D427" s="2">
        <v>276</v>
      </c>
      <c r="E427" s="2" t="s">
        <v>37</v>
      </c>
      <c r="F427" s="2">
        <v>115516</v>
      </c>
      <c r="G427" s="2">
        <v>11</v>
      </c>
      <c r="H427" s="2">
        <v>37555</v>
      </c>
      <c r="I427" s="2" t="s">
        <v>227</v>
      </c>
      <c r="J427" s="2" t="s">
        <v>183</v>
      </c>
      <c r="K427" s="2" t="s">
        <v>183</v>
      </c>
      <c r="L427" s="2">
        <v>752</v>
      </c>
      <c r="M427" s="2" t="s">
        <v>100</v>
      </c>
      <c r="N427" s="2" t="s">
        <v>237</v>
      </c>
    </row>
    <row r="428" spans="1:14" x14ac:dyDescent="0.25">
      <c r="A428" s="2">
        <v>9755</v>
      </c>
      <c r="B428" s="2">
        <v>7601</v>
      </c>
      <c r="C428" s="2" t="s">
        <v>226</v>
      </c>
      <c r="D428" s="2">
        <v>246</v>
      </c>
      <c r="E428" s="2" t="s">
        <v>32</v>
      </c>
      <c r="F428" s="2">
        <v>106778</v>
      </c>
      <c r="G428" s="2">
        <v>10.199999999999999</v>
      </c>
      <c r="H428" s="2">
        <v>26137</v>
      </c>
      <c r="I428" s="2" t="s">
        <v>227</v>
      </c>
      <c r="J428" s="2" t="s">
        <v>183</v>
      </c>
      <c r="K428" s="2" t="s">
        <v>183</v>
      </c>
      <c r="L428" s="2">
        <v>752</v>
      </c>
      <c r="M428" s="2" t="s">
        <v>100</v>
      </c>
      <c r="N428" s="2" t="s">
        <v>237</v>
      </c>
    </row>
    <row r="429" spans="1:14" x14ac:dyDescent="0.25">
      <c r="A429" s="2">
        <v>9756</v>
      </c>
      <c r="B429" s="2">
        <v>7601</v>
      </c>
      <c r="C429" s="2" t="s">
        <v>226</v>
      </c>
      <c r="D429" s="2">
        <v>203</v>
      </c>
      <c r="E429" s="2" t="s">
        <v>211</v>
      </c>
      <c r="F429" s="2">
        <v>55692</v>
      </c>
      <c r="G429" s="2">
        <v>5.3</v>
      </c>
      <c r="H429" s="2">
        <v>15811</v>
      </c>
      <c r="I429" s="2" t="s">
        <v>227</v>
      </c>
      <c r="J429" s="2" t="s">
        <v>183</v>
      </c>
      <c r="K429" s="2" t="s">
        <v>183</v>
      </c>
      <c r="L429" s="2">
        <v>752</v>
      </c>
      <c r="M429" s="2" t="s">
        <v>100</v>
      </c>
      <c r="N429" s="2" t="s">
        <v>237</v>
      </c>
    </row>
    <row r="430" spans="1:14" x14ac:dyDescent="0.25">
      <c r="A430" s="2">
        <v>9757</v>
      </c>
      <c r="B430" s="2">
        <v>7601</v>
      </c>
      <c r="C430" s="2" t="s">
        <v>226</v>
      </c>
      <c r="D430" s="2">
        <v>703</v>
      </c>
      <c r="E430" s="2" t="s">
        <v>95</v>
      </c>
      <c r="F430" s="2">
        <v>27259</v>
      </c>
      <c r="G430" s="2">
        <v>2.6</v>
      </c>
      <c r="H430" s="2">
        <v>7603</v>
      </c>
      <c r="I430" s="2" t="s">
        <v>227</v>
      </c>
      <c r="J430" s="2" t="s">
        <v>183</v>
      </c>
      <c r="K430" s="2" t="s">
        <v>183</v>
      </c>
      <c r="L430" s="2">
        <v>752</v>
      </c>
      <c r="M430" s="2" t="s">
        <v>100</v>
      </c>
      <c r="N430" s="2" t="s">
        <v>237</v>
      </c>
    </row>
    <row r="431" spans="1:14" x14ac:dyDescent="0.25">
      <c r="A431" s="2">
        <v>9758</v>
      </c>
      <c r="B431" s="2">
        <v>7601</v>
      </c>
      <c r="C431" s="2" t="s">
        <v>226</v>
      </c>
      <c r="D431" s="2">
        <v>348</v>
      </c>
      <c r="E431" s="2" t="s">
        <v>43</v>
      </c>
      <c r="F431" s="2">
        <v>26617</v>
      </c>
      <c r="G431" s="2">
        <v>2.5</v>
      </c>
      <c r="H431" s="2">
        <v>7051</v>
      </c>
      <c r="I431" s="2" t="s">
        <v>227</v>
      </c>
      <c r="J431" s="2" t="s">
        <v>183</v>
      </c>
      <c r="K431" s="2" t="s">
        <v>183</v>
      </c>
      <c r="L431" s="2">
        <v>752</v>
      </c>
      <c r="M431" s="2" t="s">
        <v>100</v>
      </c>
      <c r="N431" s="2" t="s">
        <v>237</v>
      </c>
    </row>
    <row r="432" spans="1:14" x14ac:dyDescent="0.25">
      <c r="A432" s="2">
        <v>9759</v>
      </c>
      <c r="B432" s="2">
        <v>7601</v>
      </c>
      <c r="C432" s="2" t="s">
        <v>226</v>
      </c>
      <c r="D432" s="2">
        <v>792</v>
      </c>
      <c r="E432" s="2" t="s">
        <v>107</v>
      </c>
      <c r="F432" s="2">
        <v>21254</v>
      </c>
      <c r="G432" s="2">
        <v>2</v>
      </c>
      <c r="H432" s="2">
        <v>8099</v>
      </c>
      <c r="I432" s="2" t="s">
        <v>227</v>
      </c>
      <c r="J432" s="2" t="s">
        <v>183</v>
      </c>
      <c r="K432" s="2" t="s">
        <v>183</v>
      </c>
      <c r="L432" s="2">
        <v>752</v>
      </c>
      <c r="M432" s="2" t="s">
        <v>100</v>
      </c>
      <c r="N432" s="2" t="s">
        <v>237</v>
      </c>
    </row>
    <row r="433" spans="1:14" x14ac:dyDescent="0.25">
      <c r="A433" s="2">
        <v>9760</v>
      </c>
      <c r="B433" s="2">
        <v>7601</v>
      </c>
      <c r="C433" s="2" t="s">
        <v>226</v>
      </c>
      <c r="D433" s="2">
        <v>842</v>
      </c>
      <c r="E433" s="2" t="s">
        <v>229</v>
      </c>
      <c r="F433" s="2">
        <v>19413</v>
      </c>
      <c r="G433" s="2">
        <v>1.8</v>
      </c>
      <c r="H433" s="2">
        <v>7323</v>
      </c>
      <c r="I433" s="2" t="s">
        <v>227</v>
      </c>
      <c r="J433" s="2" t="s">
        <v>183</v>
      </c>
      <c r="K433" s="2" t="s">
        <v>183</v>
      </c>
      <c r="L433" s="2">
        <v>752</v>
      </c>
      <c r="M433" s="2" t="s">
        <v>100</v>
      </c>
      <c r="N433" s="2" t="s">
        <v>237</v>
      </c>
    </row>
    <row r="434" spans="1:14" x14ac:dyDescent="0.25">
      <c r="A434" s="2">
        <v>9761</v>
      </c>
      <c r="B434" s="2">
        <v>7601</v>
      </c>
      <c r="C434" s="2" t="s">
        <v>226</v>
      </c>
      <c r="D434" s="2">
        <v>579</v>
      </c>
      <c r="E434" s="2" t="s">
        <v>79</v>
      </c>
      <c r="F434" s="2">
        <v>19324</v>
      </c>
      <c r="G434" s="2">
        <v>1.8</v>
      </c>
      <c r="H434" s="2">
        <v>6617</v>
      </c>
      <c r="I434" s="2" t="s">
        <v>227</v>
      </c>
      <c r="J434" s="2" t="s">
        <v>183</v>
      </c>
      <c r="K434" s="2" t="s">
        <v>183</v>
      </c>
      <c r="L434" s="2">
        <v>752</v>
      </c>
      <c r="M434" s="2" t="s">
        <v>100</v>
      </c>
      <c r="N434" s="2" t="s">
        <v>237</v>
      </c>
    </row>
    <row r="435" spans="1:14" x14ac:dyDescent="0.25">
      <c r="A435" s="2">
        <v>9762</v>
      </c>
      <c r="B435" s="2">
        <v>7601</v>
      </c>
      <c r="C435" s="2" t="s">
        <v>226</v>
      </c>
      <c r="D435" s="2">
        <v>381</v>
      </c>
      <c r="E435" s="2" t="s">
        <v>50</v>
      </c>
      <c r="F435" s="2">
        <v>18862</v>
      </c>
      <c r="G435" s="2">
        <v>1.8</v>
      </c>
      <c r="H435" s="2">
        <v>5761</v>
      </c>
      <c r="I435" s="2" t="s">
        <v>227</v>
      </c>
      <c r="J435" s="2" t="s">
        <v>183</v>
      </c>
      <c r="K435" s="2" t="s">
        <v>183</v>
      </c>
      <c r="L435" s="2">
        <v>752</v>
      </c>
      <c r="M435" s="2" t="s">
        <v>100</v>
      </c>
      <c r="N435" s="2" t="s">
        <v>237</v>
      </c>
    </row>
    <row r="436" spans="1:14" x14ac:dyDescent="0.25">
      <c r="A436" s="2">
        <v>9610</v>
      </c>
      <c r="B436" s="2">
        <v>7601</v>
      </c>
      <c r="C436" s="2" t="s">
        <v>226</v>
      </c>
      <c r="D436" s="2">
        <v>251</v>
      </c>
      <c r="E436" s="2" t="s">
        <v>33</v>
      </c>
      <c r="F436" s="2">
        <v>767</v>
      </c>
      <c r="G436" s="2">
        <v>0.9</v>
      </c>
      <c r="H436" s="2">
        <v>104</v>
      </c>
      <c r="I436" s="2" t="s">
        <v>227</v>
      </c>
      <c r="J436" s="2" t="s">
        <v>183</v>
      </c>
      <c r="K436" s="2" t="s">
        <v>183</v>
      </c>
      <c r="L436" s="2">
        <v>392</v>
      </c>
      <c r="M436" s="2" t="s">
        <v>51</v>
      </c>
      <c r="N436" s="2" t="s">
        <v>237</v>
      </c>
    </row>
    <row r="437" spans="1:14" x14ac:dyDescent="0.25">
      <c r="A437" s="2">
        <v>9764</v>
      </c>
      <c r="B437" s="2">
        <v>7601</v>
      </c>
      <c r="C437" s="2" t="s">
        <v>226</v>
      </c>
      <c r="D437" s="2">
        <v>40</v>
      </c>
      <c r="E437" s="2" t="s">
        <v>5</v>
      </c>
      <c r="F437" s="2">
        <v>11184</v>
      </c>
      <c r="G437" s="2">
        <v>1.1000000000000001</v>
      </c>
      <c r="H437" s="2">
        <v>3473</v>
      </c>
      <c r="I437" s="2" t="s">
        <v>227</v>
      </c>
      <c r="J437" s="2" t="s">
        <v>183</v>
      </c>
      <c r="K437" s="2" t="s">
        <v>183</v>
      </c>
      <c r="L437" s="2">
        <v>752</v>
      </c>
      <c r="M437" s="2" t="s">
        <v>100</v>
      </c>
      <c r="N437" s="2" t="s">
        <v>237</v>
      </c>
    </row>
    <row r="438" spans="1:14" x14ac:dyDescent="0.25">
      <c r="A438" s="2">
        <v>9765</v>
      </c>
      <c r="B438" s="2">
        <v>7601</v>
      </c>
      <c r="C438" s="2" t="s">
        <v>226</v>
      </c>
      <c r="D438" s="2">
        <v>208</v>
      </c>
      <c r="E438" s="2" t="s">
        <v>24</v>
      </c>
      <c r="F438" s="2">
        <v>11025</v>
      </c>
      <c r="G438" s="2">
        <v>1.1000000000000001</v>
      </c>
      <c r="H438" s="2">
        <v>3609</v>
      </c>
      <c r="I438" s="2" t="s">
        <v>227</v>
      </c>
      <c r="J438" s="2" t="s">
        <v>183</v>
      </c>
      <c r="K438" s="2" t="s">
        <v>183</v>
      </c>
      <c r="L438" s="2">
        <v>752</v>
      </c>
      <c r="M438" s="2" t="s">
        <v>100</v>
      </c>
      <c r="N438" s="2" t="s">
        <v>237</v>
      </c>
    </row>
    <row r="439" spans="1:14" x14ac:dyDescent="0.25">
      <c r="A439" s="2">
        <v>9766</v>
      </c>
      <c r="B439" s="2">
        <v>7601</v>
      </c>
      <c r="C439" s="2" t="s">
        <v>226</v>
      </c>
      <c r="D439" s="2">
        <v>484</v>
      </c>
      <c r="E439" s="2" t="s">
        <v>70</v>
      </c>
      <c r="F439" s="2">
        <v>7586</v>
      </c>
      <c r="G439" s="2">
        <v>0.7</v>
      </c>
      <c r="H439" s="2">
        <v>2373</v>
      </c>
      <c r="I439" s="2" t="s">
        <v>227</v>
      </c>
      <c r="J439" s="2" t="s">
        <v>183</v>
      </c>
      <c r="K439" s="2" t="s">
        <v>183</v>
      </c>
      <c r="L439" s="2">
        <v>752</v>
      </c>
      <c r="M439" s="2" t="s">
        <v>100</v>
      </c>
      <c r="N439" s="2" t="s">
        <v>237</v>
      </c>
    </row>
    <row r="440" spans="1:14" x14ac:dyDescent="0.25">
      <c r="A440" s="2">
        <v>9767</v>
      </c>
      <c r="B440" s="2">
        <v>7601</v>
      </c>
      <c r="C440" s="2" t="s">
        <v>226</v>
      </c>
      <c r="D440" s="2">
        <v>642</v>
      </c>
      <c r="E440" s="2" t="s">
        <v>89</v>
      </c>
      <c r="F440" s="2">
        <v>3668</v>
      </c>
      <c r="G440" s="2">
        <v>0.3</v>
      </c>
      <c r="H440" s="2">
        <v>955</v>
      </c>
      <c r="I440" s="2" t="s">
        <v>227</v>
      </c>
      <c r="J440" s="2" t="s">
        <v>183</v>
      </c>
      <c r="K440" s="2" t="s">
        <v>183</v>
      </c>
      <c r="L440" s="2">
        <v>752</v>
      </c>
      <c r="M440" s="2" t="s">
        <v>100</v>
      </c>
      <c r="N440" s="2" t="s">
        <v>237</v>
      </c>
    </row>
    <row r="441" spans="1:14" x14ac:dyDescent="0.25">
      <c r="A441" s="2">
        <v>9768</v>
      </c>
      <c r="B441" s="2">
        <v>7601</v>
      </c>
      <c r="C441" s="2" t="s">
        <v>226</v>
      </c>
      <c r="D441" s="2">
        <v>100</v>
      </c>
      <c r="E441" s="2" t="s">
        <v>15</v>
      </c>
      <c r="F441" s="2">
        <v>3663</v>
      </c>
      <c r="G441" s="2">
        <v>0.3</v>
      </c>
      <c r="H441" s="2">
        <v>978</v>
      </c>
      <c r="I441" s="2" t="s">
        <v>227</v>
      </c>
      <c r="J441" s="2" t="s">
        <v>183</v>
      </c>
      <c r="K441" s="2" t="s">
        <v>183</v>
      </c>
      <c r="L441" s="2">
        <v>752</v>
      </c>
      <c r="M441" s="2" t="s">
        <v>100</v>
      </c>
      <c r="N441" s="2" t="s">
        <v>237</v>
      </c>
    </row>
    <row r="442" spans="1:14" x14ac:dyDescent="0.25">
      <c r="A442" s="2">
        <v>9769</v>
      </c>
      <c r="B442" s="2">
        <v>7601</v>
      </c>
      <c r="C442" s="2" t="s">
        <v>226</v>
      </c>
      <c r="D442" s="2">
        <v>724</v>
      </c>
      <c r="E442" s="2" t="s">
        <v>98</v>
      </c>
      <c r="F442" s="2">
        <v>1852</v>
      </c>
      <c r="G442" s="2">
        <v>0.2</v>
      </c>
      <c r="H442" s="2">
        <v>606</v>
      </c>
      <c r="I442" s="2" t="s">
        <v>227</v>
      </c>
      <c r="J442" s="2" t="s">
        <v>183</v>
      </c>
      <c r="K442" s="2" t="s">
        <v>183</v>
      </c>
      <c r="L442" s="2">
        <v>752</v>
      </c>
      <c r="M442" s="2" t="s">
        <v>100</v>
      </c>
      <c r="N442" s="2" t="s">
        <v>237</v>
      </c>
    </row>
    <row r="443" spans="1:14" x14ac:dyDescent="0.25">
      <c r="A443" s="2">
        <v>9770</v>
      </c>
      <c r="B443" s="2">
        <v>7601</v>
      </c>
      <c r="C443" s="2" t="s">
        <v>226</v>
      </c>
      <c r="D443" s="2">
        <v>233</v>
      </c>
      <c r="E443" s="2" t="s">
        <v>30</v>
      </c>
      <c r="F443" s="2">
        <v>1758</v>
      </c>
      <c r="G443" s="2">
        <v>0.2</v>
      </c>
      <c r="H443" s="2">
        <v>502</v>
      </c>
      <c r="I443" s="2" t="s">
        <v>227</v>
      </c>
      <c r="J443" s="2" t="s">
        <v>183</v>
      </c>
      <c r="K443" s="2" t="s">
        <v>183</v>
      </c>
      <c r="L443" s="2">
        <v>752</v>
      </c>
      <c r="M443" s="2" t="s">
        <v>100</v>
      </c>
      <c r="N443" s="2" t="s">
        <v>237</v>
      </c>
    </row>
    <row r="444" spans="1:14" x14ac:dyDescent="0.25">
      <c r="A444" s="2">
        <v>9771</v>
      </c>
      <c r="B444" s="2">
        <v>7601</v>
      </c>
      <c r="C444" s="2" t="s">
        <v>226</v>
      </c>
      <c r="D444" s="2">
        <v>705</v>
      </c>
      <c r="E444" s="2" t="s">
        <v>96</v>
      </c>
      <c r="F444" s="2">
        <v>1428</v>
      </c>
      <c r="G444" s="2">
        <v>0.1</v>
      </c>
      <c r="H444" s="2">
        <v>392</v>
      </c>
      <c r="I444" s="2" t="s">
        <v>227</v>
      </c>
      <c r="J444" s="2" t="s">
        <v>183</v>
      </c>
      <c r="K444" s="2" t="s">
        <v>183</v>
      </c>
      <c r="L444" s="2">
        <v>752</v>
      </c>
      <c r="M444" s="2" t="s">
        <v>100</v>
      </c>
      <c r="N444" s="2" t="s">
        <v>237</v>
      </c>
    </row>
    <row r="445" spans="1:14" x14ac:dyDescent="0.25">
      <c r="A445" s="2">
        <v>9772</v>
      </c>
      <c r="B445" s="2">
        <v>7601</v>
      </c>
      <c r="C445" s="2" t="s">
        <v>226</v>
      </c>
      <c r="D445" s="2">
        <v>704</v>
      </c>
      <c r="E445" s="2" t="s">
        <v>232</v>
      </c>
      <c r="F445" s="2">
        <v>667</v>
      </c>
      <c r="G445" s="2">
        <v>0.1</v>
      </c>
      <c r="H445" s="2">
        <v>290</v>
      </c>
      <c r="I445" s="2" t="s">
        <v>227</v>
      </c>
      <c r="J445" s="2" t="s">
        <v>183</v>
      </c>
      <c r="K445" s="2" t="s">
        <v>183</v>
      </c>
      <c r="L445" s="2">
        <v>752</v>
      </c>
      <c r="M445" s="2" t="s">
        <v>100</v>
      </c>
      <c r="N445" s="2" t="s">
        <v>237</v>
      </c>
    </row>
    <row r="446" spans="1:14" x14ac:dyDescent="0.25">
      <c r="A446" s="2">
        <v>9773</v>
      </c>
      <c r="B446" s="2">
        <v>7601</v>
      </c>
      <c r="C446" s="2" t="s">
        <v>226</v>
      </c>
      <c r="D446" s="2">
        <v>428</v>
      </c>
      <c r="E446" s="2" t="s">
        <v>58</v>
      </c>
      <c r="F446" s="2">
        <v>437</v>
      </c>
      <c r="G446" s="2">
        <v>0</v>
      </c>
      <c r="H446" s="2">
        <v>100</v>
      </c>
      <c r="I446" s="2" t="s">
        <v>227</v>
      </c>
      <c r="J446" s="2" t="s">
        <v>183</v>
      </c>
      <c r="K446" s="2" t="s">
        <v>183</v>
      </c>
      <c r="L446" s="2">
        <v>752</v>
      </c>
      <c r="M446" s="2" t="s">
        <v>100</v>
      </c>
      <c r="N446" s="2" t="s">
        <v>237</v>
      </c>
    </row>
    <row r="447" spans="1:14" x14ac:dyDescent="0.25">
      <c r="A447" s="2">
        <v>9774</v>
      </c>
      <c r="B447" s="2">
        <v>7601</v>
      </c>
      <c r="C447" s="2" t="s">
        <v>226</v>
      </c>
      <c r="D447" s="2">
        <v>156</v>
      </c>
      <c r="E447" s="2" t="s">
        <v>18</v>
      </c>
      <c r="F447" s="2">
        <v>375</v>
      </c>
      <c r="G447" s="2">
        <v>0</v>
      </c>
      <c r="H447" s="2">
        <v>142</v>
      </c>
      <c r="I447" s="2" t="s">
        <v>227</v>
      </c>
      <c r="J447" s="2" t="s">
        <v>183</v>
      </c>
      <c r="K447" s="2" t="s">
        <v>183</v>
      </c>
      <c r="L447" s="2">
        <v>752</v>
      </c>
      <c r="M447" s="2" t="s">
        <v>100</v>
      </c>
      <c r="N447" s="2" t="s">
        <v>237</v>
      </c>
    </row>
    <row r="448" spans="1:14" x14ac:dyDescent="0.25">
      <c r="A448" s="2">
        <v>9775</v>
      </c>
      <c r="B448" s="2">
        <v>7601</v>
      </c>
      <c r="C448" s="2" t="s">
        <v>226</v>
      </c>
      <c r="D448" s="2">
        <v>440</v>
      </c>
      <c r="E448" s="2" t="s">
        <v>61</v>
      </c>
      <c r="F448" s="2">
        <v>321</v>
      </c>
      <c r="G448" s="2">
        <v>0</v>
      </c>
      <c r="H448" s="2">
        <v>103</v>
      </c>
      <c r="I448" s="2" t="s">
        <v>227</v>
      </c>
      <c r="J448" s="2" t="s">
        <v>183</v>
      </c>
      <c r="K448" s="2" t="s">
        <v>183</v>
      </c>
      <c r="L448" s="2">
        <v>752</v>
      </c>
      <c r="M448" s="2" t="s">
        <v>100</v>
      </c>
      <c r="N448" s="2" t="s">
        <v>237</v>
      </c>
    </row>
    <row r="449" spans="1:14" x14ac:dyDescent="0.25">
      <c r="A449" s="2">
        <v>9776</v>
      </c>
      <c r="B449" s="2">
        <v>7601</v>
      </c>
      <c r="C449" s="2" t="s">
        <v>226</v>
      </c>
      <c r="D449" s="2">
        <v>528</v>
      </c>
      <c r="E449" s="2" t="s">
        <v>75</v>
      </c>
      <c r="F449" s="2">
        <v>281</v>
      </c>
      <c r="G449" s="2">
        <v>0</v>
      </c>
      <c r="H449" s="2">
        <v>66</v>
      </c>
      <c r="I449" s="2" t="s">
        <v>227</v>
      </c>
      <c r="J449" s="2" t="s">
        <v>183</v>
      </c>
      <c r="K449" s="2" t="s">
        <v>183</v>
      </c>
      <c r="L449" s="2">
        <v>752</v>
      </c>
      <c r="M449" s="2" t="s">
        <v>100</v>
      </c>
      <c r="N449" s="2" t="s">
        <v>237</v>
      </c>
    </row>
    <row r="450" spans="1:14" x14ac:dyDescent="0.25">
      <c r="A450" s="2">
        <v>9777</v>
      </c>
      <c r="B450" s="2">
        <v>7601</v>
      </c>
      <c r="C450" s="2" t="s">
        <v>226</v>
      </c>
      <c r="D450" s="2">
        <v>300</v>
      </c>
      <c r="E450" s="2" t="s">
        <v>39</v>
      </c>
      <c r="F450" s="2">
        <v>190693</v>
      </c>
      <c r="G450" s="2">
        <v>26.2</v>
      </c>
      <c r="H450" s="2">
        <v>63420</v>
      </c>
      <c r="I450" s="2" t="s">
        <v>227</v>
      </c>
      <c r="J450" s="2" t="s">
        <v>183</v>
      </c>
      <c r="K450" s="2" t="s">
        <v>183</v>
      </c>
      <c r="L450" s="2">
        <v>792</v>
      </c>
      <c r="M450" s="2" t="s">
        <v>107</v>
      </c>
      <c r="N450" s="2" t="s">
        <v>237</v>
      </c>
    </row>
    <row r="451" spans="1:14" x14ac:dyDescent="0.25">
      <c r="A451" s="2">
        <v>9778</v>
      </c>
      <c r="B451" s="2">
        <v>7601</v>
      </c>
      <c r="C451" s="2" t="s">
        <v>226</v>
      </c>
      <c r="D451" s="2">
        <v>100</v>
      </c>
      <c r="E451" s="2" t="s">
        <v>15</v>
      </c>
      <c r="F451" s="2">
        <v>118147</v>
      </c>
      <c r="G451" s="2">
        <v>16.2</v>
      </c>
      <c r="H451" s="2">
        <v>36992</v>
      </c>
      <c r="I451" s="2" t="s">
        <v>227</v>
      </c>
      <c r="J451" s="2" t="s">
        <v>183</v>
      </c>
      <c r="K451" s="2" t="s">
        <v>183</v>
      </c>
      <c r="L451" s="2">
        <v>792</v>
      </c>
      <c r="M451" s="2" t="s">
        <v>107</v>
      </c>
      <c r="N451" s="2" t="s">
        <v>237</v>
      </c>
    </row>
    <row r="452" spans="1:14" x14ac:dyDescent="0.25">
      <c r="A452" s="2">
        <v>9779</v>
      </c>
      <c r="B452" s="2">
        <v>7601</v>
      </c>
      <c r="C452" s="2" t="s">
        <v>226</v>
      </c>
      <c r="D452" s="2">
        <v>724</v>
      </c>
      <c r="E452" s="2" t="s">
        <v>98</v>
      </c>
      <c r="F452" s="2">
        <v>85964</v>
      </c>
      <c r="G452" s="2">
        <v>11.8</v>
      </c>
      <c r="H452" s="2">
        <v>21604</v>
      </c>
      <c r="I452" s="2" t="s">
        <v>227</v>
      </c>
      <c r="J452" s="2" t="s">
        <v>183</v>
      </c>
      <c r="K452" s="2" t="s">
        <v>183</v>
      </c>
      <c r="L452" s="2">
        <v>792</v>
      </c>
      <c r="M452" s="2" t="s">
        <v>107</v>
      </c>
      <c r="N452" s="2" t="s">
        <v>237</v>
      </c>
    </row>
    <row r="453" spans="1:14" x14ac:dyDescent="0.25">
      <c r="A453" s="2">
        <v>9780</v>
      </c>
      <c r="B453" s="2">
        <v>7601</v>
      </c>
      <c r="C453" s="2" t="s">
        <v>226</v>
      </c>
      <c r="D453" s="2">
        <v>381</v>
      </c>
      <c r="E453" s="2" t="s">
        <v>50</v>
      </c>
      <c r="F453" s="2">
        <v>79168</v>
      </c>
      <c r="G453" s="2">
        <v>10.9</v>
      </c>
      <c r="H453" s="2">
        <v>22500</v>
      </c>
      <c r="I453" s="2" t="s">
        <v>227</v>
      </c>
      <c r="J453" s="2" t="s">
        <v>183</v>
      </c>
      <c r="K453" s="2" t="s">
        <v>183</v>
      </c>
      <c r="L453" s="2">
        <v>792</v>
      </c>
      <c r="M453" s="2" t="s">
        <v>107</v>
      </c>
      <c r="N453" s="2" t="s">
        <v>237</v>
      </c>
    </row>
    <row r="454" spans="1:14" x14ac:dyDescent="0.25">
      <c r="A454" s="2">
        <v>9781</v>
      </c>
      <c r="B454" s="2">
        <v>7601</v>
      </c>
      <c r="C454" s="2" t="s">
        <v>226</v>
      </c>
      <c r="D454" s="2">
        <v>124</v>
      </c>
      <c r="E454" s="2" t="s">
        <v>16</v>
      </c>
      <c r="F454" s="2">
        <v>53217</v>
      </c>
      <c r="G454" s="2">
        <v>7.3</v>
      </c>
      <c r="H454" s="2">
        <v>14350</v>
      </c>
      <c r="I454" s="2" t="s">
        <v>227</v>
      </c>
      <c r="J454" s="2" t="s">
        <v>183</v>
      </c>
      <c r="K454" s="2" t="s">
        <v>183</v>
      </c>
      <c r="L454" s="2">
        <v>792</v>
      </c>
      <c r="M454" s="2" t="s">
        <v>107</v>
      </c>
      <c r="N454" s="2" t="s">
        <v>237</v>
      </c>
    </row>
    <row r="455" spans="1:14" x14ac:dyDescent="0.25">
      <c r="A455" s="2">
        <v>9782</v>
      </c>
      <c r="B455" s="2">
        <v>7601</v>
      </c>
      <c r="C455" s="2" t="s">
        <v>226</v>
      </c>
      <c r="D455" s="2">
        <v>528</v>
      </c>
      <c r="E455" s="2" t="s">
        <v>75</v>
      </c>
      <c r="F455" s="2">
        <v>45530</v>
      </c>
      <c r="G455" s="2">
        <v>6.2</v>
      </c>
      <c r="H455" s="2">
        <v>11172</v>
      </c>
      <c r="I455" s="2" t="s">
        <v>227</v>
      </c>
      <c r="J455" s="2" t="s">
        <v>183</v>
      </c>
      <c r="K455" s="2" t="s">
        <v>183</v>
      </c>
      <c r="L455" s="2">
        <v>792</v>
      </c>
      <c r="M455" s="2" t="s">
        <v>107</v>
      </c>
      <c r="N455" s="2" t="s">
        <v>237</v>
      </c>
    </row>
    <row r="456" spans="1:14" x14ac:dyDescent="0.25">
      <c r="A456" s="2">
        <v>9783</v>
      </c>
      <c r="B456" s="2">
        <v>7601</v>
      </c>
      <c r="C456" s="2" t="s">
        <v>226</v>
      </c>
      <c r="D456" s="2">
        <v>642</v>
      </c>
      <c r="E456" s="2" t="s">
        <v>89</v>
      </c>
      <c r="F456" s="2">
        <v>39307</v>
      </c>
      <c r="G456" s="2">
        <v>5.4</v>
      </c>
      <c r="H456" s="2">
        <v>11525</v>
      </c>
      <c r="I456" s="2" t="s">
        <v>227</v>
      </c>
      <c r="J456" s="2" t="s">
        <v>183</v>
      </c>
      <c r="K456" s="2" t="s">
        <v>183</v>
      </c>
      <c r="L456" s="2">
        <v>792</v>
      </c>
      <c r="M456" s="2" t="s">
        <v>107</v>
      </c>
      <c r="N456" s="2" t="s">
        <v>237</v>
      </c>
    </row>
    <row r="457" spans="1:14" x14ac:dyDescent="0.25">
      <c r="A457" s="2">
        <v>9784</v>
      </c>
      <c r="B457" s="2">
        <v>7601</v>
      </c>
      <c r="C457" s="2" t="s">
        <v>226</v>
      </c>
      <c r="D457" s="2">
        <v>70</v>
      </c>
      <c r="E457" s="2" t="s">
        <v>236</v>
      </c>
      <c r="F457" s="2">
        <v>20161</v>
      </c>
      <c r="G457" s="2">
        <v>2.8</v>
      </c>
      <c r="H457" s="2">
        <v>5489</v>
      </c>
      <c r="I457" s="2" t="s">
        <v>227</v>
      </c>
      <c r="J457" s="2" t="s">
        <v>183</v>
      </c>
      <c r="K457" s="2" t="s">
        <v>183</v>
      </c>
      <c r="L457" s="2">
        <v>792</v>
      </c>
      <c r="M457" s="2" t="s">
        <v>107</v>
      </c>
      <c r="N457" s="2" t="s">
        <v>237</v>
      </c>
    </row>
    <row r="458" spans="1:14" x14ac:dyDescent="0.25">
      <c r="A458" s="2">
        <v>9785</v>
      </c>
      <c r="B458" s="2">
        <v>7601</v>
      </c>
      <c r="C458" s="2" t="s">
        <v>226</v>
      </c>
      <c r="D458" s="2">
        <v>276</v>
      </c>
      <c r="E458" s="2" t="s">
        <v>37</v>
      </c>
      <c r="F458" s="2">
        <v>13408</v>
      </c>
      <c r="G458" s="2">
        <v>1.8</v>
      </c>
      <c r="H458" s="2">
        <v>3251</v>
      </c>
      <c r="I458" s="2" t="s">
        <v>227</v>
      </c>
      <c r="J458" s="2" t="s">
        <v>183</v>
      </c>
      <c r="K458" s="2" t="s">
        <v>183</v>
      </c>
      <c r="L458" s="2">
        <v>792</v>
      </c>
      <c r="M458" s="2" t="s">
        <v>107</v>
      </c>
      <c r="N458" s="2" t="s">
        <v>237</v>
      </c>
    </row>
    <row r="459" spans="1:14" x14ac:dyDescent="0.25">
      <c r="A459" s="2">
        <v>9786</v>
      </c>
      <c r="B459" s="2">
        <v>7601</v>
      </c>
      <c r="C459" s="2" t="s">
        <v>226</v>
      </c>
      <c r="D459" s="2">
        <v>376</v>
      </c>
      <c r="E459" s="2" t="s">
        <v>49</v>
      </c>
      <c r="F459" s="2">
        <v>13116</v>
      </c>
      <c r="G459" s="2">
        <v>1.8</v>
      </c>
      <c r="H459" s="2">
        <v>4662</v>
      </c>
      <c r="I459" s="2" t="s">
        <v>227</v>
      </c>
      <c r="J459" s="2" t="s">
        <v>183</v>
      </c>
      <c r="K459" s="2" t="s">
        <v>183</v>
      </c>
      <c r="L459" s="2">
        <v>792</v>
      </c>
      <c r="M459" s="2" t="s">
        <v>107</v>
      </c>
      <c r="N459" s="2" t="s">
        <v>237</v>
      </c>
    </row>
    <row r="460" spans="1:14" x14ac:dyDescent="0.25">
      <c r="A460" s="2">
        <v>9787</v>
      </c>
      <c r="B460" s="2">
        <v>7601</v>
      </c>
      <c r="C460" s="2" t="s">
        <v>226</v>
      </c>
      <c r="D460" s="2">
        <v>8</v>
      </c>
      <c r="E460" s="2" t="s">
        <v>114</v>
      </c>
      <c r="F460" s="2">
        <v>11320</v>
      </c>
      <c r="G460" s="2">
        <v>1.6</v>
      </c>
      <c r="H460" s="2">
        <v>3529</v>
      </c>
      <c r="I460" s="2" t="s">
        <v>227</v>
      </c>
      <c r="J460" s="2" t="s">
        <v>183</v>
      </c>
      <c r="K460" s="2" t="s">
        <v>183</v>
      </c>
      <c r="L460" s="2">
        <v>792</v>
      </c>
      <c r="M460" s="2" t="s">
        <v>107</v>
      </c>
      <c r="N460" s="2" t="s">
        <v>237</v>
      </c>
    </row>
    <row r="461" spans="1:14" x14ac:dyDescent="0.25">
      <c r="A461" s="2">
        <v>9788</v>
      </c>
      <c r="B461" s="2">
        <v>7601</v>
      </c>
      <c r="C461" s="2" t="s">
        <v>226</v>
      </c>
      <c r="D461" s="2">
        <v>688</v>
      </c>
      <c r="E461" s="2" t="s">
        <v>92</v>
      </c>
      <c r="F461" s="2">
        <v>7236</v>
      </c>
      <c r="G461" s="2">
        <v>1</v>
      </c>
      <c r="H461" s="2">
        <v>2097</v>
      </c>
      <c r="I461" s="2" t="s">
        <v>227</v>
      </c>
      <c r="J461" s="2" t="s">
        <v>183</v>
      </c>
      <c r="K461" s="2" t="s">
        <v>183</v>
      </c>
      <c r="L461" s="2">
        <v>792</v>
      </c>
      <c r="M461" s="2" t="s">
        <v>107</v>
      </c>
      <c r="N461" s="2" t="s">
        <v>237</v>
      </c>
    </row>
    <row r="462" spans="1:14" x14ac:dyDescent="0.25">
      <c r="A462" s="2">
        <v>9790</v>
      </c>
      <c r="B462" s="2">
        <v>7601</v>
      </c>
      <c r="C462" s="2" t="s">
        <v>226</v>
      </c>
      <c r="D462" s="2">
        <v>156</v>
      </c>
      <c r="E462" s="2" t="s">
        <v>18</v>
      </c>
      <c r="F462" s="2">
        <v>7065</v>
      </c>
      <c r="G462" s="2">
        <v>1</v>
      </c>
      <c r="H462" s="2">
        <v>4365</v>
      </c>
      <c r="I462" s="2" t="s">
        <v>227</v>
      </c>
      <c r="J462" s="2" t="s">
        <v>183</v>
      </c>
      <c r="K462" s="2" t="s">
        <v>183</v>
      </c>
      <c r="L462" s="2">
        <v>792</v>
      </c>
      <c r="M462" s="2" t="s">
        <v>107</v>
      </c>
      <c r="N462" s="2" t="s">
        <v>237</v>
      </c>
    </row>
    <row r="463" spans="1:14" x14ac:dyDescent="0.25">
      <c r="A463" s="2">
        <v>9791</v>
      </c>
      <c r="B463" s="2">
        <v>7601</v>
      </c>
      <c r="C463" s="2" t="s">
        <v>226</v>
      </c>
      <c r="D463" s="2">
        <v>196</v>
      </c>
      <c r="E463" s="2" t="s">
        <v>22</v>
      </c>
      <c r="F463" s="2">
        <v>5980</v>
      </c>
      <c r="G463" s="2">
        <v>0.8</v>
      </c>
      <c r="H463" s="2">
        <v>1677</v>
      </c>
      <c r="I463" s="2" t="s">
        <v>227</v>
      </c>
      <c r="J463" s="2" t="s">
        <v>183</v>
      </c>
      <c r="K463" s="2" t="s">
        <v>183</v>
      </c>
      <c r="L463" s="2">
        <v>792</v>
      </c>
      <c r="M463" s="2" t="s">
        <v>107</v>
      </c>
      <c r="N463" s="2" t="s">
        <v>237</v>
      </c>
    </row>
    <row r="464" spans="1:14" x14ac:dyDescent="0.25">
      <c r="A464" s="2">
        <v>9792</v>
      </c>
      <c r="B464" s="2">
        <v>7601</v>
      </c>
      <c r="C464" s="2" t="s">
        <v>226</v>
      </c>
      <c r="D464" s="2">
        <v>76</v>
      </c>
      <c r="E464" s="2" t="s">
        <v>14</v>
      </c>
      <c r="F464" s="2">
        <v>5706</v>
      </c>
      <c r="G464" s="2">
        <v>0.8</v>
      </c>
      <c r="H464" s="2">
        <v>1801</v>
      </c>
      <c r="I464" s="2" t="s">
        <v>227</v>
      </c>
      <c r="J464" s="2" t="s">
        <v>183</v>
      </c>
      <c r="K464" s="2" t="s">
        <v>183</v>
      </c>
      <c r="L464" s="2">
        <v>792</v>
      </c>
      <c r="M464" s="2" t="s">
        <v>107</v>
      </c>
      <c r="N464" s="2" t="s">
        <v>237</v>
      </c>
    </row>
    <row r="465" spans="1:14" x14ac:dyDescent="0.25">
      <c r="A465" s="2">
        <v>9793</v>
      </c>
      <c r="B465" s="2">
        <v>7601</v>
      </c>
      <c r="C465" s="2" t="s">
        <v>226</v>
      </c>
      <c r="D465" s="2">
        <v>705</v>
      </c>
      <c r="E465" s="2" t="s">
        <v>96</v>
      </c>
      <c r="F465" s="2">
        <v>3405</v>
      </c>
      <c r="G465" s="2">
        <v>0.5</v>
      </c>
      <c r="H465" s="2">
        <v>1019</v>
      </c>
      <c r="I465" s="2" t="s">
        <v>227</v>
      </c>
      <c r="J465" s="2" t="s">
        <v>183</v>
      </c>
      <c r="K465" s="2" t="s">
        <v>183</v>
      </c>
      <c r="L465" s="2">
        <v>792</v>
      </c>
      <c r="M465" s="2" t="s">
        <v>107</v>
      </c>
      <c r="N465" s="2" t="s">
        <v>237</v>
      </c>
    </row>
    <row r="466" spans="1:14" x14ac:dyDescent="0.25">
      <c r="A466" s="2">
        <v>9794</v>
      </c>
      <c r="B466" s="2">
        <v>7601</v>
      </c>
      <c r="C466" s="2" t="s">
        <v>226</v>
      </c>
      <c r="D466" s="2">
        <v>504</v>
      </c>
      <c r="E466" s="2" t="s">
        <v>73</v>
      </c>
      <c r="F466" s="2">
        <v>3040</v>
      </c>
      <c r="G466" s="2">
        <v>0.4</v>
      </c>
      <c r="H466" s="2">
        <v>821</v>
      </c>
      <c r="I466" s="2" t="s">
        <v>227</v>
      </c>
      <c r="J466" s="2" t="s">
        <v>183</v>
      </c>
      <c r="K466" s="2" t="s">
        <v>183</v>
      </c>
      <c r="L466" s="2">
        <v>792</v>
      </c>
      <c r="M466" s="2" t="s">
        <v>107</v>
      </c>
      <c r="N466" s="2" t="s">
        <v>237</v>
      </c>
    </row>
    <row r="467" spans="1:14" x14ac:dyDescent="0.25">
      <c r="A467" s="2">
        <v>9795</v>
      </c>
      <c r="B467" s="2">
        <v>7601</v>
      </c>
      <c r="C467" s="2" t="s">
        <v>226</v>
      </c>
      <c r="D467" s="2">
        <v>620</v>
      </c>
      <c r="E467" s="2" t="s">
        <v>87</v>
      </c>
      <c r="F467" s="2">
        <v>2761</v>
      </c>
      <c r="G467" s="2">
        <v>0.4</v>
      </c>
      <c r="H467" s="2">
        <v>802</v>
      </c>
      <c r="I467" s="2" t="s">
        <v>227</v>
      </c>
      <c r="J467" s="2" t="s">
        <v>183</v>
      </c>
      <c r="K467" s="2" t="s">
        <v>183</v>
      </c>
      <c r="L467" s="2">
        <v>792</v>
      </c>
      <c r="M467" s="2" t="s">
        <v>107</v>
      </c>
      <c r="N467" s="2" t="s">
        <v>237</v>
      </c>
    </row>
    <row r="468" spans="1:14" x14ac:dyDescent="0.25">
      <c r="A468" s="2">
        <v>9796</v>
      </c>
      <c r="B468" s="2">
        <v>7601</v>
      </c>
      <c r="C468" s="2" t="s">
        <v>226</v>
      </c>
      <c r="D468" s="2">
        <v>826</v>
      </c>
      <c r="E468" s="2" t="s">
        <v>110</v>
      </c>
      <c r="F468" s="2">
        <v>2652</v>
      </c>
      <c r="G468" s="2">
        <v>0.4</v>
      </c>
      <c r="H468" s="2">
        <v>635</v>
      </c>
      <c r="I468" s="2" t="s">
        <v>227</v>
      </c>
      <c r="J468" s="2" t="s">
        <v>183</v>
      </c>
      <c r="K468" s="2" t="s">
        <v>183</v>
      </c>
      <c r="L468" s="2">
        <v>792</v>
      </c>
      <c r="M468" s="2" t="s">
        <v>107</v>
      </c>
      <c r="N468" s="2" t="s">
        <v>237</v>
      </c>
    </row>
    <row r="469" spans="1:14" x14ac:dyDescent="0.25">
      <c r="A469" s="2">
        <v>9797</v>
      </c>
      <c r="B469" s="2">
        <v>7601</v>
      </c>
      <c r="C469" s="2" t="s">
        <v>226</v>
      </c>
      <c r="D469" s="2">
        <v>788</v>
      </c>
      <c r="E469" s="2" t="s">
        <v>106</v>
      </c>
      <c r="F469" s="2">
        <v>2337</v>
      </c>
      <c r="G469" s="2">
        <v>0.3</v>
      </c>
      <c r="H469" s="2">
        <v>778</v>
      </c>
      <c r="I469" s="2" t="s">
        <v>227</v>
      </c>
      <c r="J469" s="2" t="s">
        <v>183</v>
      </c>
      <c r="K469" s="2" t="s">
        <v>183</v>
      </c>
      <c r="L469" s="2">
        <v>792</v>
      </c>
      <c r="M469" s="2" t="s">
        <v>107</v>
      </c>
      <c r="N469" s="2" t="s">
        <v>237</v>
      </c>
    </row>
    <row r="470" spans="1:14" x14ac:dyDescent="0.25">
      <c r="A470" s="2">
        <v>9798</v>
      </c>
      <c r="B470" s="2">
        <v>7601</v>
      </c>
      <c r="C470" s="2" t="s">
        <v>226</v>
      </c>
      <c r="D470" s="2">
        <v>616</v>
      </c>
      <c r="E470" s="2" t="s">
        <v>86</v>
      </c>
      <c r="F470" s="2">
        <v>2098</v>
      </c>
      <c r="G470" s="2">
        <v>0.3</v>
      </c>
      <c r="H470" s="2">
        <v>598</v>
      </c>
      <c r="I470" s="2" t="s">
        <v>227</v>
      </c>
      <c r="J470" s="2" t="s">
        <v>183</v>
      </c>
      <c r="K470" s="2" t="s">
        <v>183</v>
      </c>
      <c r="L470" s="2">
        <v>792</v>
      </c>
      <c r="M470" s="2" t="s">
        <v>107</v>
      </c>
      <c r="N470" s="2" t="s">
        <v>237</v>
      </c>
    </row>
    <row r="471" spans="1:14" x14ac:dyDescent="0.25">
      <c r="A471" s="2">
        <v>9799</v>
      </c>
      <c r="B471" s="2">
        <v>7601</v>
      </c>
      <c r="C471" s="2" t="s">
        <v>226</v>
      </c>
      <c r="D471" s="2">
        <v>566</v>
      </c>
      <c r="E471" s="2" t="s">
        <v>78</v>
      </c>
      <c r="F471" s="2">
        <v>1915</v>
      </c>
      <c r="G471" s="2">
        <v>0.3</v>
      </c>
      <c r="H471" s="2">
        <v>503</v>
      </c>
      <c r="I471" s="2" t="s">
        <v>227</v>
      </c>
      <c r="J471" s="2" t="s">
        <v>183</v>
      </c>
      <c r="K471" s="2" t="s">
        <v>183</v>
      </c>
      <c r="L471" s="2">
        <v>792</v>
      </c>
      <c r="M471" s="2" t="s">
        <v>107</v>
      </c>
      <c r="N471" s="2" t="s">
        <v>237</v>
      </c>
    </row>
    <row r="472" spans="1:14" x14ac:dyDescent="0.25">
      <c r="A472" s="2">
        <v>9800</v>
      </c>
      <c r="B472" s="2">
        <v>7601</v>
      </c>
      <c r="C472" s="2" t="s">
        <v>226</v>
      </c>
      <c r="D472" s="2">
        <v>699</v>
      </c>
      <c r="E472" s="2" t="s">
        <v>45</v>
      </c>
      <c r="F472" s="2">
        <v>1518</v>
      </c>
      <c r="G472" s="2">
        <v>0.2</v>
      </c>
      <c r="H472" s="2">
        <v>400</v>
      </c>
      <c r="I472" s="2" t="s">
        <v>227</v>
      </c>
      <c r="J472" s="2" t="s">
        <v>183</v>
      </c>
      <c r="K472" s="2" t="s">
        <v>183</v>
      </c>
      <c r="L472" s="2">
        <v>792</v>
      </c>
      <c r="M472" s="2" t="s">
        <v>107</v>
      </c>
      <c r="N472" s="2" t="s">
        <v>237</v>
      </c>
    </row>
    <row r="473" spans="1:14" x14ac:dyDescent="0.25">
      <c r="A473" s="2">
        <v>9801</v>
      </c>
      <c r="B473" s="2">
        <v>7601</v>
      </c>
      <c r="C473" s="2" t="s">
        <v>226</v>
      </c>
      <c r="D473" s="2">
        <v>276</v>
      </c>
      <c r="E473" s="2" t="s">
        <v>37</v>
      </c>
      <c r="F473" s="2">
        <v>634304</v>
      </c>
      <c r="G473" s="2">
        <v>73.5</v>
      </c>
      <c r="H473" s="2">
        <v>191546</v>
      </c>
      <c r="I473" s="2" t="s">
        <v>227</v>
      </c>
      <c r="J473" s="2" t="s">
        <v>183</v>
      </c>
      <c r="K473" s="2" t="s">
        <v>183</v>
      </c>
      <c r="L473" s="2">
        <v>826</v>
      </c>
      <c r="M473" s="2" t="s">
        <v>110</v>
      </c>
      <c r="N473" s="2" t="s">
        <v>237</v>
      </c>
    </row>
    <row r="474" spans="1:14" x14ac:dyDescent="0.25">
      <c r="A474" s="2">
        <v>9802</v>
      </c>
      <c r="B474" s="2">
        <v>7601</v>
      </c>
      <c r="C474" s="2" t="s">
        <v>226</v>
      </c>
      <c r="D474" s="2">
        <v>756</v>
      </c>
      <c r="E474" s="2" t="s">
        <v>101</v>
      </c>
      <c r="F474" s="2">
        <v>83740</v>
      </c>
      <c r="G474" s="2">
        <v>9.6999999999999993</v>
      </c>
      <c r="H474" s="2">
        <v>24989</v>
      </c>
      <c r="I474" s="2" t="s">
        <v>227</v>
      </c>
      <c r="J474" s="2" t="s">
        <v>183</v>
      </c>
      <c r="K474" s="2" t="s">
        <v>183</v>
      </c>
      <c r="L474" s="2">
        <v>826</v>
      </c>
      <c r="M474" s="2" t="s">
        <v>110</v>
      </c>
      <c r="N474" s="2" t="s">
        <v>237</v>
      </c>
    </row>
    <row r="475" spans="1:14" x14ac:dyDescent="0.25">
      <c r="A475" s="2">
        <v>9803</v>
      </c>
      <c r="B475" s="2">
        <v>7601</v>
      </c>
      <c r="C475" s="2" t="s">
        <v>226</v>
      </c>
      <c r="D475" s="2">
        <v>300</v>
      </c>
      <c r="E475" s="2" t="s">
        <v>39</v>
      </c>
      <c r="F475" s="2">
        <v>37951</v>
      </c>
      <c r="G475" s="2">
        <v>4.4000000000000004</v>
      </c>
      <c r="H475" s="2">
        <v>17717</v>
      </c>
      <c r="I475" s="2" t="s">
        <v>227</v>
      </c>
      <c r="J475" s="2" t="s">
        <v>183</v>
      </c>
      <c r="K475" s="2" t="s">
        <v>183</v>
      </c>
      <c r="L475" s="2">
        <v>826</v>
      </c>
      <c r="M475" s="2" t="s">
        <v>110</v>
      </c>
      <c r="N475" s="2" t="s">
        <v>237</v>
      </c>
    </row>
    <row r="476" spans="1:14" x14ac:dyDescent="0.25">
      <c r="A476" s="2">
        <v>9804</v>
      </c>
      <c r="B476" s="2">
        <v>7601</v>
      </c>
      <c r="C476" s="2" t="s">
        <v>226</v>
      </c>
      <c r="D476" s="2">
        <v>372</v>
      </c>
      <c r="E476" s="2" t="s">
        <v>48</v>
      </c>
      <c r="F476" s="2">
        <v>32978</v>
      </c>
      <c r="G476" s="2">
        <v>3.8</v>
      </c>
      <c r="H476" s="2">
        <v>7785</v>
      </c>
      <c r="I476" s="2" t="s">
        <v>227</v>
      </c>
      <c r="J476" s="2" t="s">
        <v>183</v>
      </c>
      <c r="K476" s="2" t="s">
        <v>183</v>
      </c>
      <c r="L476" s="2">
        <v>826</v>
      </c>
      <c r="M476" s="2" t="s">
        <v>110</v>
      </c>
      <c r="N476" s="2" t="s">
        <v>237</v>
      </c>
    </row>
    <row r="477" spans="1:14" x14ac:dyDescent="0.25">
      <c r="A477" s="2">
        <v>9806</v>
      </c>
      <c r="B477" s="2">
        <v>7601</v>
      </c>
      <c r="C477" s="2" t="s">
        <v>226</v>
      </c>
      <c r="D477" s="2">
        <v>528</v>
      </c>
      <c r="E477" s="2" t="s">
        <v>75</v>
      </c>
      <c r="F477" s="2">
        <v>12050</v>
      </c>
      <c r="G477" s="2">
        <v>1.4</v>
      </c>
      <c r="H477" s="2">
        <v>3520</v>
      </c>
      <c r="I477" s="2" t="s">
        <v>227</v>
      </c>
      <c r="J477" s="2" t="s">
        <v>183</v>
      </c>
      <c r="K477" s="2" t="s">
        <v>183</v>
      </c>
      <c r="L477" s="2">
        <v>826</v>
      </c>
      <c r="M477" s="2" t="s">
        <v>110</v>
      </c>
      <c r="N477" s="2" t="s">
        <v>237</v>
      </c>
    </row>
    <row r="478" spans="1:14" x14ac:dyDescent="0.25">
      <c r="A478" s="2">
        <v>9807</v>
      </c>
      <c r="B478" s="2">
        <v>7601</v>
      </c>
      <c r="C478" s="2" t="s">
        <v>226</v>
      </c>
      <c r="D478" s="2">
        <v>752</v>
      </c>
      <c r="E478" s="2" t="s">
        <v>100</v>
      </c>
      <c r="F478" s="2">
        <v>11444</v>
      </c>
      <c r="G478" s="2">
        <v>1.3</v>
      </c>
      <c r="H478" s="2">
        <v>2736</v>
      </c>
      <c r="I478" s="2" t="s">
        <v>227</v>
      </c>
      <c r="J478" s="2" t="s">
        <v>183</v>
      </c>
      <c r="K478" s="2" t="s">
        <v>183</v>
      </c>
      <c r="L478" s="2">
        <v>826</v>
      </c>
      <c r="M478" s="2" t="s">
        <v>110</v>
      </c>
      <c r="N478" s="2" t="s">
        <v>237</v>
      </c>
    </row>
    <row r="479" spans="1:14" x14ac:dyDescent="0.25">
      <c r="A479" s="2">
        <v>9808</v>
      </c>
      <c r="B479" s="2">
        <v>7601</v>
      </c>
      <c r="C479" s="2" t="s">
        <v>226</v>
      </c>
      <c r="D479" s="2">
        <v>579</v>
      </c>
      <c r="E479" s="2" t="s">
        <v>79</v>
      </c>
      <c r="F479" s="2">
        <v>5503</v>
      </c>
      <c r="G479" s="2">
        <v>0.6</v>
      </c>
      <c r="H479" s="2">
        <v>1259</v>
      </c>
      <c r="I479" s="2" t="s">
        <v>227</v>
      </c>
      <c r="J479" s="2" t="s">
        <v>183</v>
      </c>
      <c r="K479" s="2" t="s">
        <v>183</v>
      </c>
      <c r="L479" s="2">
        <v>826</v>
      </c>
      <c r="M479" s="2" t="s">
        <v>110</v>
      </c>
      <c r="N479" s="2" t="s">
        <v>237</v>
      </c>
    </row>
    <row r="480" spans="1:14" x14ac:dyDescent="0.25">
      <c r="A480" s="2">
        <v>9809</v>
      </c>
      <c r="B480" s="2">
        <v>7601</v>
      </c>
      <c r="C480" s="2" t="s">
        <v>226</v>
      </c>
      <c r="D480" s="2">
        <v>40</v>
      </c>
      <c r="E480" s="2" t="s">
        <v>5</v>
      </c>
      <c r="F480" s="2">
        <v>4193</v>
      </c>
      <c r="G480" s="2">
        <v>0.5</v>
      </c>
      <c r="H480" s="2">
        <v>1344</v>
      </c>
      <c r="I480" s="2" t="s">
        <v>227</v>
      </c>
      <c r="J480" s="2" t="s">
        <v>183</v>
      </c>
      <c r="K480" s="2" t="s">
        <v>183</v>
      </c>
      <c r="L480" s="2">
        <v>826</v>
      </c>
      <c r="M480" s="2" t="s">
        <v>110</v>
      </c>
      <c r="N480" s="2" t="s">
        <v>237</v>
      </c>
    </row>
    <row r="481" spans="1:14" x14ac:dyDescent="0.25">
      <c r="A481" s="2">
        <v>9810</v>
      </c>
      <c r="B481" s="2">
        <v>7601</v>
      </c>
      <c r="C481" s="2" t="s">
        <v>226</v>
      </c>
      <c r="D481" s="2">
        <v>724</v>
      </c>
      <c r="E481" s="2" t="s">
        <v>98</v>
      </c>
      <c r="F481" s="2">
        <v>3473</v>
      </c>
      <c r="G481" s="2">
        <v>0.4</v>
      </c>
      <c r="H481" s="2">
        <v>869</v>
      </c>
      <c r="I481" s="2" t="s">
        <v>227</v>
      </c>
      <c r="J481" s="2" t="s">
        <v>183</v>
      </c>
      <c r="K481" s="2" t="s">
        <v>183</v>
      </c>
      <c r="L481" s="2">
        <v>826</v>
      </c>
      <c r="M481" s="2" t="s">
        <v>110</v>
      </c>
      <c r="N481" s="2" t="s">
        <v>237</v>
      </c>
    </row>
    <row r="482" spans="1:14" x14ac:dyDescent="0.25">
      <c r="A482" s="2">
        <v>9811</v>
      </c>
      <c r="B482" s="2">
        <v>7601</v>
      </c>
      <c r="C482" s="2" t="s">
        <v>226</v>
      </c>
      <c r="D482" s="2">
        <v>376</v>
      </c>
      <c r="E482" s="2" t="s">
        <v>49</v>
      </c>
      <c r="F482" s="2">
        <v>3124</v>
      </c>
      <c r="G482" s="2">
        <v>0.4</v>
      </c>
      <c r="H482" s="2">
        <v>665</v>
      </c>
      <c r="I482" s="2" t="s">
        <v>227</v>
      </c>
      <c r="J482" s="2" t="s">
        <v>183</v>
      </c>
      <c r="K482" s="2" t="s">
        <v>183</v>
      </c>
      <c r="L482" s="2">
        <v>826</v>
      </c>
      <c r="M482" s="2" t="s">
        <v>110</v>
      </c>
      <c r="N482" s="2" t="s">
        <v>237</v>
      </c>
    </row>
    <row r="483" spans="1:14" x14ac:dyDescent="0.25">
      <c r="A483" s="2">
        <v>9812</v>
      </c>
      <c r="B483" s="2">
        <v>7601</v>
      </c>
      <c r="C483" s="2" t="s">
        <v>226</v>
      </c>
      <c r="D483" s="2">
        <v>458</v>
      </c>
      <c r="E483" s="2" t="s">
        <v>66</v>
      </c>
      <c r="F483" s="2">
        <v>2172</v>
      </c>
      <c r="G483" s="2">
        <v>0.3</v>
      </c>
      <c r="H483" s="2">
        <v>1302</v>
      </c>
      <c r="I483" s="2" t="s">
        <v>227</v>
      </c>
      <c r="J483" s="2" t="s">
        <v>183</v>
      </c>
      <c r="K483" s="2" t="s">
        <v>183</v>
      </c>
      <c r="L483" s="2">
        <v>826</v>
      </c>
      <c r="M483" s="2" t="s">
        <v>110</v>
      </c>
      <c r="N483" s="2" t="s">
        <v>237</v>
      </c>
    </row>
    <row r="484" spans="1:14" x14ac:dyDescent="0.25">
      <c r="A484" s="2">
        <v>9813</v>
      </c>
      <c r="B484" s="2">
        <v>7601</v>
      </c>
      <c r="C484" s="2" t="s">
        <v>226</v>
      </c>
      <c r="D484" s="2">
        <v>381</v>
      </c>
      <c r="E484" s="2" t="s">
        <v>50</v>
      </c>
      <c r="F484" s="2">
        <v>1923</v>
      </c>
      <c r="G484" s="2">
        <v>0.2</v>
      </c>
      <c r="H484" s="2">
        <v>490</v>
      </c>
      <c r="I484" s="2" t="s">
        <v>227</v>
      </c>
      <c r="J484" s="2" t="s">
        <v>183</v>
      </c>
      <c r="K484" s="2" t="s">
        <v>183</v>
      </c>
      <c r="L484" s="2">
        <v>826</v>
      </c>
      <c r="M484" s="2" t="s">
        <v>110</v>
      </c>
      <c r="N484" s="2" t="s">
        <v>237</v>
      </c>
    </row>
    <row r="485" spans="1:14" x14ac:dyDescent="0.25">
      <c r="A485" s="2">
        <v>9814</v>
      </c>
      <c r="B485" s="2">
        <v>7601</v>
      </c>
      <c r="C485" s="2" t="s">
        <v>226</v>
      </c>
      <c r="D485" s="2">
        <v>642</v>
      </c>
      <c r="E485" s="2" t="s">
        <v>89</v>
      </c>
      <c r="F485" s="2">
        <v>1733</v>
      </c>
      <c r="G485" s="2">
        <v>0.2</v>
      </c>
      <c r="H485" s="2">
        <v>290</v>
      </c>
      <c r="I485" s="2" t="s">
        <v>227</v>
      </c>
      <c r="J485" s="2" t="s">
        <v>183</v>
      </c>
      <c r="K485" s="2" t="s">
        <v>183</v>
      </c>
      <c r="L485" s="2">
        <v>826</v>
      </c>
      <c r="M485" s="2" t="s">
        <v>110</v>
      </c>
      <c r="N485" s="2" t="s">
        <v>237</v>
      </c>
    </row>
    <row r="486" spans="1:14" x14ac:dyDescent="0.25">
      <c r="A486" s="2">
        <v>9815</v>
      </c>
      <c r="B486" s="2">
        <v>7601</v>
      </c>
      <c r="C486" s="2" t="s">
        <v>226</v>
      </c>
      <c r="D486" s="2">
        <v>703</v>
      </c>
      <c r="E486" s="2" t="s">
        <v>95</v>
      </c>
      <c r="F486" s="2">
        <v>1664</v>
      </c>
      <c r="G486" s="2">
        <v>0.2</v>
      </c>
      <c r="H486" s="2">
        <v>594</v>
      </c>
      <c r="I486" s="2" t="s">
        <v>227</v>
      </c>
      <c r="J486" s="2" t="s">
        <v>183</v>
      </c>
      <c r="K486" s="2" t="s">
        <v>183</v>
      </c>
      <c r="L486" s="2">
        <v>826</v>
      </c>
      <c r="M486" s="2" t="s">
        <v>110</v>
      </c>
      <c r="N486" s="2" t="s">
        <v>237</v>
      </c>
    </row>
    <row r="487" spans="1:14" x14ac:dyDescent="0.25">
      <c r="A487" s="2">
        <v>9816</v>
      </c>
      <c r="B487" s="2">
        <v>7601</v>
      </c>
      <c r="C487" s="2" t="s">
        <v>226</v>
      </c>
      <c r="D487" s="2">
        <v>616</v>
      </c>
      <c r="E487" s="2" t="s">
        <v>86</v>
      </c>
      <c r="F487" s="2">
        <v>1654</v>
      </c>
      <c r="G487" s="2">
        <v>0.2</v>
      </c>
      <c r="H487" s="2">
        <v>619</v>
      </c>
      <c r="I487" s="2" t="s">
        <v>227</v>
      </c>
      <c r="J487" s="2" t="s">
        <v>183</v>
      </c>
      <c r="K487" s="2" t="s">
        <v>183</v>
      </c>
      <c r="L487" s="2">
        <v>826</v>
      </c>
      <c r="M487" s="2" t="s">
        <v>110</v>
      </c>
      <c r="N487" s="2" t="s">
        <v>237</v>
      </c>
    </row>
    <row r="488" spans="1:14" x14ac:dyDescent="0.25">
      <c r="A488" s="2">
        <v>9817</v>
      </c>
      <c r="B488" s="2">
        <v>7601</v>
      </c>
      <c r="C488" s="2" t="s">
        <v>226</v>
      </c>
      <c r="D488" s="2">
        <v>208</v>
      </c>
      <c r="E488" s="2" t="s">
        <v>24</v>
      </c>
      <c r="F488" s="2">
        <v>1647</v>
      </c>
      <c r="G488" s="2">
        <v>0.2</v>
      </c>
      <c r="H488" s="2">
        <v>426</v>
      </c>
      <c r="I488" s="2" t="s">
        <v>227</v>
      </c>
      <c r="J488" s="2" t="s">
        <v>183</v>
      </c>
      <c r="K488" s="2" t="s">
        <v>183</v>
      </c>
      <c r="L488" s="2">
        <v>826</v>
      </c>
      <c r="M488" s="2" t="s">
        <v>110</v>
      </c>
      <c r="N488" s="2" t="s">
        <v>237</v>
      </c>
    </row>
    <row r="489" spans="1:14" x14ac:dyDescent="0.25">
      <c r="A489" s="2">
        <v>9818</v>
      </c>
      <c r="B489" s="2">
        <v>7601</v>
      </c>
      <c r="C489" s="2" t="s">
        <v>226</v>
      </c>
      <c r="D489" s="2">
        <v>792</v>
      </c>
      <c r="E489" s="2" t="s">
        <v>107</v>
      </c>
      <c r="F489" s="2">
        <v>1610</v>
      </c>
      <c r="G489" s="2">
        <v>0.2</v>
      </c>
      <c r="H489" s="2">
        <v>223</v>
      </c>
      <c r="I489" s="2" t="s">
        <v>227</v>
      </c>
      <c r="J489" s="2" t="s">
        <v>183</v>
      </c>
      <c r="K489" s="2" t="s">
        <v>183</v>
      </c>
      <c r="L489" s="2">
        <v>826</v>
      </c>
      <c r="M489" s="2" t="s">
        <v>110</v>
      </c>
      <c r="N489" s="2" t="s">
        <v>237</v>
      </c>
    </row>
    <row r="490" spans="1:14" x14ac:dyDescent="0.25">
      <c r="A490" s="2">
        <v>9819</v>
      </c>
      <c r="B490" s="2">
        <v>7601</v>
      </c>
      <c r="C490" s="2" t="s">
        <v>226</v>
      </c>
      <c r="D490" s="2">
        <v>699</v>
      </c>
      <c r="E490" s="2" t="s">
        <v>45</v>
      </c>
      <c r="F490" s="2">
        <v>1409</v>
      </c>
      <c r="G490" s="2">
        <v>0.2</v>
      </c>
      <c r="H490" s="2">
        <v>268</v>
      </c>
      <c r="I490" s="2" t="s">
        <v>227</v>
      </c>
      <c r="J490" s="2" t="s">
        <v>183</v>
      </c>
      <c r="K490" s="2" t="s">
        <v>183</v>
      </c>
      <c r="L490" s="2">
        <v>826</v>
      </c>
      <c r="M490" s="2" t="s">
        <v>110</v>
      </c>
      <c r="N490" s="2" t="s">
        <v>237</v>
      </c>
    </row>
    <row r="491" spans="1:14" x14ac:dyDescent="0.25">
      <c r="A491" s="2">
        <v>9820</v>
      </c>
      <c r="B491" s="2">
        <v>7601</v>
      </c>
      <c r="C491" s="2" t="s">
        <v>226</v>
      </c>
      <c r="D491" s="2">
        <v>842</v>
      </c>
      <c r="E491" s="2" t="s">
        <v>229</v>
      </c>
      <c r="F491" s="2">
        <v>1121</v>
      </c>
      <c r="G491" s="2">
        <v>0.1</v>
      </c>
      <c r="H491" s="2">
        <v>81</v>
      </c>
      <c r="I491" s="2" t="s">
        <v>227</v>
      </c>
      <c r="J491" s="2" t="s">
        <v>183</v>
      </c>
      <c r="K491" s="2" t="s">
        <v>183</v>
      </c>
      <c r="L491" s="2">
        <v>826</v>
      </c>
      <c r="M491" s="2" t="s">
        <v>110</v>
      </c>
      <c r="N491" s="2" t="s">
        <v>237</v>
      </c>
    </row>
    <row r="492" spans="1:14" x14ac:dyDescent="0.25">
      <c r="A492" s="2">
        <v>9821</v>
      </c>
      <c r="B492" s="2">
        <v>7601</v>
      </c>
      <c r="C492" s="2" t="s">
        <v>226</v>
      </c>
      <c r="D492" s="2">
        <v>392</v>
      </c>
      <c r="E492" s="2" t="s">
        <v>51</v>
      </c>
      <c r="F492" s="2">
        <v>994</v>
      </c>
      <c r="G492" s="2">
        <v>0.1</v>
      </c>
      <c r="H492" s="2">
        <v>210</v>
      </c>
      <c r="I492" s="2" t="s">
        <v>227</v>
      </c>
      <c r="J492" s="2" t="s">
        <v>183</v>
      </c>
      <c r="K492" s="2" t="s">
        <v>183</v>
      </c>
      <c r="L492" s="2">
        <v>826</v>
      </c>
      <c r="M492" s="2" t="s">
        <v>110</v>
      </c>
      <c r="N492" s="2" t="s">
        <v>237</v>
      </c>
    </row>
    <row r="493" spans="1:14" x14ac:dyDescent="0.25">
      <c r="A493" s="2">
        <v>9822</v>
      </c>
      <c r="B493" s="2">
        <v>7601</v>
      </c>
      <c r="C493" s="2" t="s">
        <v>226</v>
      </c>
      <c r="D493" s="2">
        <v>764</v>
      </c>
      <c r="E493" s="2" t="s">
        <v>103</v>
      </c>
      <c r="F493" s="2">
        <v>669</v>
      </c>
      <c r="G493" s="2">
        <v>0.1</v>
      </c>
      <c r="H493" s="2">
        <v>225</v>
      </c>
      <c r="I493" s="2" t="s">
        <v>227</v>
      </c>
      <c r="J493" s="2" t="s">
        <v>183</v>
      </c>
      <c r="K493" s="2" t="s">
        <v>183</v>
      </c>
      <c r="L493" s="2">
        <v>826</v>
      </c>
      <c r="M493" s="2" t="s">
        <v>110</v>
      </c>
      <c r="N493" s="2" t="s">
        <v>237</v>
      </c>
    </row>
    <row r="494" spans="1:14" x14ac:dyDescent="0.25">
      <c r="A494" s="2">
        <v>9823</v>
      </c>
      <c r="B494" s="2">
        <v>7601</v>
      </c>
      <c r="C494" s="2" t="s">
        <v>226</v>
      </c>
      <c r="D494" s="2">
        <v>484</v>
      </c>
      <c r="E494" s="2" t="s">
        <v>70</v>
      </c>
      <c r="F494" s="2">
        <v>543</v>
      </c>
      <c r="G494" s="2">
        <v>0.1</v>
      </c>
      <c r="H494" s="2">
        <v>77</v>
      </c>
      <c r="I494" s="2" t="s">
        <v>227</v>
      </c>
      <c r="J494" s="2" t="s">
        <v>183</v>
      </c>
      <c r="K494" s="2" t="s">
        <v>183</v>
      </c>
      <c r="L494" s="2">
        <v>826</v>
      </c>
      <c r="M494" s="2" t="s">
        <v>110</v>
      </c>
      <c r="N494" s="2" t="s">
        <v>237</v>
      </c>
    </row>
    <row r="495" spans="1:14" x14ac:dyDescent="0.25">
      <c r="A495" s="2">
        <v>9824</v>
      </c>
      <c r="B495" s="2">
        <v>7601</v>
      </c>
      <c r="C495" s="2" t="s">
        <v>226</v>
      </c>
      <c r="D495" s="2">
        <v>76</v>
      </c>
      <c r="E495" s="2" t="s">
        <v>14</v>
      </c>
      <c r="F495" s="2">
        <v>516</v>
      </c>
      <c r="G495" s="2">
        <v>0.1</v>
      </c>
      <c r="H495" s="2">
        <v>60</v>
      </c>
      <c r="I495" s="2" t="s">
        <v>227</v>
      </c>
      <c r="J495" s="2" t="s">
        <v>183</v>
      </c>
      <c r="K495" s="2" t="s">
        <v>183</v>
      </c>
      <c r="L495" s="2">
        <v>826</v>
      </c>
      <c r="M495" s="2" t="s">
        <v>110</v>
      </c>
      <c r="N495" s="2" t="s">
        <v>237</v>
      </c>
    </row>
    <row r="496" spans="1:14" x14ac:dyDescent="0.25">
      <c r="A496" s="2">
        <v>9825</v>
      </c>
      <c r="B496" s="2">
        <v>7601</v>
      </c>
      <c r="C496" s="2" t="s">
        <v>226</v>
      </c>
      <c r="D496" s="2">
        <v>484</v>
      </c>
      <c r="E496" s="2" t="s">
        <v>70</v>
      </c>
      <c r="F496" s="2">
        <v>1250759</v>
      </c>
      <c r="G496" s="2">
        <v>68.400000000000006</v>
      </c>
      <c r="H496" s="2">
        <v>360739</v>
      </c>
      <c r="I496" s="2" t="s">
        <v>227</v>
      </c>
      <c r="J496" s="2" t="s">
        <v>183</v>
      </c>
      <c r="K496" s="2" t="s">
        <v>183</v>
      </c>
      <c r="L496" s="2">
        <v>842</v>
      </c>
      <c r="M496" s="2" t="s">
        <v>229</v>
      </c>
      <c r="N496" s="2" t="s">
        <v>237</v>
      </c>
    </row>
    <row r="497" spans="1:14" x14ac:dyDescent="0.25">
      <c r="A497" s="2">
        <v>9826</v>
      </c>
      <c r="B497" s="2">
        <v>7601</v>
      </c>
      <c r="C497" s="2" t="s">
        <v>226</v>
      </c>
      <c r="D497" s="2">
        <v>124</v>
      </c>
      <c r="E497" s="2" t="s">
        <v>16</v>
      </c>
      <c r="F497" s="2">
        <v>382693</v>
      </c>
      <c r="G497" s="2">
        <v>20.9</v>
      </c>
      <c r="H497" s="2">
        <v>105137</v>
      </c>
      <c r="I497" s="2" t="s">
        <v>227</v>
      </c>
      <c r="J497" s="2" t="s">
        <v>183</v>
      </c>
      <c r="K497" s="2" t="s">
        <v>183</v>
      </c>
      <c r="L497" s="2">
        <v>842</v>
      </c>
      <c r="M497" s="2" t="s">
        <v>229</v>
      </c>
      <c r="N497" s="2" t="s">
        <v>237</v>
      </c>
    </row>
    <row r="498" spans="1:14" x14ac:dyDescent="0.25">
      <c r="A498" s="2">
        <v>9827</v>
      </c>
      <c r="B498" s="2">
        <v>7601</v>
      </c>
      <c r="C498" s="2" t="s">
        <v>226</v>
      </c>
      <c r="D498" s="2">
        <v>458</v>
      </c>
      <c r="E498" s="2" t="s">
        <v>66</v>
      </c>
      <c r="F498" s="2">
        <v>92327</v>
      </c>
      <c r="G498" s="2">
        <v>5.0999999999999996</v>
      </c>
      <c r="H498" s="2">
        <v>52206</v>
      </c>
      <c r="I498" s="2" t="s">
        <v>227</v>
      </c>
      <c r="J498" s="2" t="s">
        <v>183</v>
      </c>
      <c r="K498" s="2" t="s">
        <v>183</v>
      </c>
      <c r="L498" s="2">
        <v>842</v>
      </c>
      <c r="M498" s="2" t="s">
        <v>229</v>
      </c>
      <c r="N498" s="2" t="s">
        <v>237</v>
      </c>
    </row>
    <row r="499" spans="1:14" x14ac:dyDescent="0.25">
      <c r="A499" s="2">
        <v>9683</v>
      </c>
      <c r="B499" s="2">
        <v>7601</v>
      </c>
      <c r="C499" s="2" t="s">
        <v>226</v>
      </c>
      <c r="D499" s="2">
        <v>251</v>
      </c>
      <c r="E499" s="2" t="s">
        <v>33</v>
      </c>
      <c r="F499" s="2">
        <v>73</v>
      </c>
      <c r="G499" s="2">
        <v>0</v>
      </c>
      <c r="H499" s="2">
        <v>24</v>
      </c>
      <c r="I499" s="2" t="s">
        <v>227</v>
      </c>
      <c r="J499" s="2" t="s">
        <v>183</v>
      </c>
      <c r="K499" s="2" t="s">
        <v>183</v>
      </c>
      <c r="L499" s="2">
        <v>703</v>
      </c>
      <c r="M499" s="2" t="s">
        <v>95</v>
      </c>
      <c r="N499" s="2" t="s">
        <v>237</v>
      </c>
    </row>
    <row r="500" spans="1:14" x14ac:dyDescent="0.25">
      <c r="A500" s="2">
        <v>9829</v>
      </c>
      <c r="B500" s="2">
        <v>7601</v>
      </c>
      <c r="C500" s="2" t="s">
        <v>226</v>
      </c>
      <c r="D500" s="2">
        <v>276</v>
      </c>
      <c r="E500" s="2" t="s">
        <v>37</v>
      </c>
      <c r="F500" s="2">
        <v>19336</v>
      </c>
      <c r="G500" s="2">
        <v>1.1000000000000001</v>
      </c>
      <c r="H500" s="2">
        <v>4898</v>
      </c>
      <c r="I500" s="2" t="s">
        <v>227</v>
      </c>
      <c r="J500" s="2" t="s">
        <v>183</v>
      </c>
      <c r="K500" s="2" t="s">
        <v>183</v>
      </c>
      <c r="L500" s="2">
        <v>842</v>
      </c>
      <c r="M500" s="2" t="s">
        <v>229</v>
      </c>
      <c r="N500" s="2" t="s">
        <v>237</v>
      </c>
    </row>
    <row r="501" spans="1:14" x14ac:dyDescent="0.25">
      <c r="A501" s="2">
        <v>9830</v>
      </c>
      <c r="B501" s="2">
        <v>7601</v>
      </c>
      <c r="C501" s="2" t="s">
        <v>226</v>
      </c>
      <c r="D501" s="2">
        <v>410</v>
      </c>
      <c r="E501" s="2" t="s">
        <v>230</v>
      </c>
      <c r="F501" s="2">
        <v>10077</v>
      </c>
      <c r="G501" s="2">
        <v>0.6</v>
      </c>
      <c r="H501" s="2">
        <v>3490</v>
      </c>
      <c r="I501" s="2" t="s">
        <v>227</v>
      </c>
      <c r="J501" s="2" t="s">
        <v>183</v>
      </c>
      <c r="K501" s="2" t="s">
        <v>183</v>
      </c>
      <c r="L501" s="2">
        <v>842</v>
      </c>
      <c r="M501" s="2" t="s">
        <v>229</v>
      </c>
      <c r="N501" s="2" t="s">
        <v>237</v>
      </c>
    </row>
    <row r="502" spans="1:14" x14ac:dyDescent="0.25">
      <c r="A502" s="2">
        <v>9831</v>
      </c>
      <c r="B502" s="2">
        <v>7601</v>
      </c>
      <c r="C502" s="2" t="s">
        <v>226</v>
      </c>
      <c r="D502" s="2">
        <v>156</v>
      </c>
      <c r="E502" s="2" t="s">
        <v>18</v>
      </c>
      <c r="F502" s="2">
        <v>8455</v>
      </c>
      <c r="G502" s="2">
        <v>0.5</v>
      </c>
      <c r="H502" s="2">
        <v>2570</v>
      </c>
      <c r="I502" s="2" t="s">
        <v>227</v>
      </c>
      <c r="J502" s="2" t="s">
        <v>183</v>
      </c>
      <c r="K502" s="2" t="s">
        <v>183</v>
      </c>
      <c r="L502" s="2">
        <v>842</v>
      </c>
      <c r="M502" s="2" t="s">
        <v>229</v>
      </c>
      <c r="N502" s="2" t="s">
        <v>237</v>
      </c>
    </row>
    <row r="503" spans="1:14" x14ac:dyDescent="0.25">
      <c r="A503" s="2">
        <v>9832</v>
      </c>
      <c r="B503" s="2">
        <v>7601</v>
      </c>
      <c r="C503" s="2" t="s">
        <v>226</v>
      </c>
      <c r="D503" s="2">
        <v>158</v>
      </c>
      <c r="E503" s="2" t="s">
        <v>233</v>
      </c>
      <c r="F503" s="2">
        <v>6041</v>
      </c>
      <c r="G503" s="2">
        <v>0.3</v>
      </c>
      <c r="H503" s="2">
        <v>1577</v>
      </c>
      <c r="I503" s="2" t="s">
        <v>227</v>
      </c>
      <c r="J503" s="2" t="s">
        <v>183</v>
      </c>
      <c r="K503" s="2" t="s">
        <v>183</v>
      </c>
      <c r="L503" s="2">
        <v>842</v>
      </c>
      <c r="M503" s="2" t="s">
        <v>229</v>
      </c>
      <c r="N503" s="2" t="s">
        <v>237</v>
      </c>
    </row>
    <row r="504" spans="1:14" x14ac:dyDescent="0.25">
      <c r="A504" s="2">
        <v>9833</v>
      </c>
      <c r="B504" s="2">
        <v>7601</v>
      </c>
      <c r="C504" s="2" t="s">
        <v>226</v>
      </c>
      <c r="D504" s="2">
        <v>392</v>
      </c>
      <c r="E504" s="2" t="s">
        <v>51</v>
      </c>
      <c r="F504" s="2">
        <v>5745</v>
      </c>
      <c r="G504" s="2">
        <v>0.3</v>
      </c>
      <c r="H504" s="2">
        <v>1226</v>
      </c>
      <c r="I504" s="2" t="s">
        <v>227</v>
      </c>
      <c r="J504" s="2" t="s">
        <v>183</v>
      </c>
      <c r="K504" s="2" t="s">
        <v>183</v>
      </c>
      <c r="L504" s="2">
        <v>842</v>
      </c>
      <c r="M504" s="2" t="s">
        <v>229</v>
      </c>
      <c r="N504" s="2" t="s">
        <v>237</v>
      </c>
    </row>
    <row r="505" spans="1:14" x14ac:dyDescent="0.25">
      <c r="A505" s="2">
        <v>9834</v>
      </c>
      <c r="B505" s="2">
        <v>7601</v>
      </c>
      <c r="C505" s="2" t="s">
        <v>226</v>
      </c>
      <c r="D505" s="2">
        <v>702</v>
      </c>
      <c r="E505" s="2" t="s">
        <v>93</v>
      </c>
      <c r="F505" s="2">
        <v>4803</v>
      </c>
      <c r="G505" s="2">
        <v>0.3</v>
      </c>
      <c r="H505" s="2">
        <v>621</v>
      </c>
      <c r="I505" s="2" t="s">
        <v>227</v>
      </c>
      <c r="J505" s="2" t="s">
        <v>183</v>
      </c>
      <c r="K505" s="2" t="s">
        <v>183</v>
      </c>
      <c r="L505" s="2">
        <v>842</v>
      </c>
      <c r="M505" s="2" t="s">
        <v>229</v>
      </c>
      <c r="N505" s="2" t="s">
        <v>237</v>
      </c>
    </row>
    <row r="506" spans="1:14" x14ac:dyDescent="0.25">
      <c r="A506" s="2">
        <v>9835</v>
      </c>
      <c r="B506" s="2">
        <v>7601</v>
      </c>
      <c r="C506" s="2" t="s">
        <v>226</v>
      </c>
      <c r="D506" s="2">
        <v>36</v>
      </c>
      <c r="E506" s="2" t="s">
        <v>4</v>
      </c>
      <c r="F506" s="2">
        <v>4170</v>
      </c>
      <c r="G506" s="2">
        <v>0.2</v>
      </c>
      <c r="H506" s="2">
        <v>970</v>
      </c>
      <c r="I506" s="2" t="s">
        <v>227</v>
      </c>
      <c r="J506" s="2" t="s">
        <v>183</v>
      </c>
      <c r="K506" s="2" t="s">
        <v>183</v>
      </c>
      <c r="L506" s="2">
        <v>842</v>
      </c>
      <c r="M506" s="2" t="s">
        <v>229</v>
      </c>
      <c r="N506" s="2" t="s">
        <v>237</v>
      </c>
    </row>
    <row r="507" spans="1:14" x14ac:dyDescent="0.25">
      <c r="A507" s="2">
        <v>9836</v>
      </c>
      <c r="B507" s="2">
        <v>7601</v>
      </c>
      <c r="C507" s="2" t="s">
        <v>226</v>
      </c>
      <c r="D507" s="2">
        <v>699</v>
      </c>
      <c r="E507" s="2" t="s">
        <v>45</v>
      </c>
      <c r="F507" s="2">
        <v>3551</v>
      </c>
      <c r="G507" s="2">
        <v>0.2</v>
      </c>
      <c r="H507" s="2">
        <v>722</v>
      </c>
      <c r="I507" s="2" t="s">
        <v>227</v>
      </c>
      <c r="J507" s="2" t="s">
        <v>183</v>
      </c>
      <c r="K507" s="2" t="s">
        <v>183</v>
      </c>
      <c r="L507" s="2">
        <v>842</v>
      </c>
      <c r="M507" s="2" t="s">
        <v>229</v>
      </c>
      <c r="N507" s="2" t="s">
        <v>237</v>
      </c>
    </row>
    <row r="508" spans="1:14" x14ac:dyDescent="0.25">
      <c r="A508" s="2">
        <v>9837</v>
      </c>
      <c r="B508" s="2">
        <v>7601</v>
      </c>
      <c r="C508" s="2" t="s">
        <v>226</v>
      </c>
      <c r="D508" s="2">
        <v>344</v>
      </c>
      <c r="E508" s="2" t="s">
        <v>42</v>
      </c>
      <c r="F508" s="2">
        <v>1978</v>
      </c>
      <c r="G508" s="2">
        <v>0.1</v>
      </c>
      <c r="H508" s="2">
        <v>1180</v>
      </c>
      <c r="I508" s="2" t="s">
        <v>227</v>
      </c>
      <c r="J508" s="2" t="s">
        <v>183</v>
      </c>
      <c r="K508" s="2" t="s">
        <v>183</v>
      </c>
      <c r="L508" s="2">
        <v>842</v>
      </c>
      <c r="M508" s="2" t="s">
        <v>229</v>
      </c>
      <c r="N508" s="2" t="s">
        <v>237</v>
      </c>
    </row>
    <row r="509" spans="1:14" x14ac:dyDescent="0.25">
      <c r="A509" s="2">
        <v>9838</v>
      </c>
      <c r="B509" s="2">
        <v>7601</v>
      </c>
      <c r="C509" s="2" t="s">
        <v>226</v>
      </c>
      <c r="D509" s="2">
        <v>826</v>
      </c>
      <c r="E509" s="2" t="s">
        <v>110</v>
      </c>
      <c r="F509" s="2">
        <v>1950</v>
      </c>
      <c r="G509" s="2">
        <v>0.1</v>
      </c>
      <c r="H509" s="2">
        <v>584</v>
      </c>
      <c r="I509" s="2" t="s">
        <v>227</v>
      </c>
      <c r="J509" s="2" t="s">
        <v>183</v>
      </c>
      <c r="K509" s="2" t="s">
        <v>183</v>
      </c>
      <c r="L509" s="2">
        <v>842</v>
      </c>
      <c r="M509" s="2" t="s">
        <v>229</v>
      </c>
      <c r="N509" s="2" t="s">
        <v>237</v>
      </c>
    </row>
    <row r="510" spans="1:14" x14ac:dyDescent="0.25">
      <c r="A510" s="2">
        <v>9839</v>
      </c>
      <c r="B510" s="2">
        <v>7601</v>
      </c>
      <c r="C510" s="2" t="s">
        <v>226</v>
      </c>
      <c r="D510" s="2">
        <v>188</v>
      </c>
      <c r="E510" s="2" t="s">
        <v>20</v>
      </c>
      <c r="F510" s="2">
        <v>975</v>
      </c>
      <c r="G510" s="2">
        <v>0.1</v>
      </c>
      <c r="H510" s="2">
        <v>219</v>
      </c>
      <c r="I510" s="2" t="s">
        <v>227</v>
      </c>
      <c r="J510" s="2" t="s">
        <v>183</v>
      </c>
      <c r="K510" s="2" t="s">
        <v>183</v>
      </c>
      <c r="L510" s="2">
        <v>842</v>
      </c>
      <c r="M510" s="2" t="s">
        <v>229</v>
      </c>
      <c r="N510" s="2" t="s">
        <v>237</v>
      </c>
    </row>
    <row r="511" spans="1:14" x14ac:dyDescent="0.25">
      <c r="A511" s="2">
        <v>9840</v>
      </c>
      <c r="B511" s="2">
        <v>7601</v>
      </c>
      <c r="C511" s="2" t="s">
        <v>226</v>
      </c>
      <c r="D511" s="2">
        <v>76</v>
      </c>
      <c r="E511" s="2" t="s">
        <v>14</v>
      </c>
      <c r="F511" s="2">
        <v>793</v>
      </c>
      <c r="G511" s="2">
        <v>0</v>
      </c>
      <c r="H511" s="2">
        <v>50</v>
      </c>
      <c r="I511" s="2" t="s">
        <v>227</v>
      </c>
      <c r="J511" s="2" t="s">
        <v>183</v>
      </c>
      <c r="K511" s="2" t="s">
        <v>183</v>
      </c>
      <c r="L511" s="2">
        <v>842</v>
      </c>
      <c r="M511" s="2" t="s">
        <v>229</v>
      </c>
      <c r="N511" s="2" t="s">
        <v>237</v>
      </c>
    </row>
    <row r="512" spans="1:14" x14ac:dyDescent="0.25">
      <c r="A512" s="2">
        <v>9841</v>
      </c>
      <c r="B512" s="2">
        <v>7601</v>
      </c>
      <c r="C512" s="2" t="s">
        <v>226</v>
      </c>
      <c r="D512" s="2">
        <v>470</v>
      </c>
      <c r="E512" s="2" t="s">
        <v>68</v>
      </c>
      <c r="F512" s="2">
        <v>766</v>
      </c>
      <c r="G512" s="2">
        <v>0</v>
      </c>
      <c r="H512" s="2">
        <v>177</v>
      </c>
      <c r="I512" s="2" t="s">
        <v>227</v>
      </c>
      <c r="J512" s="2" t="s">
        <v>183</v>
      </c>
      <c r="K512" s="2" t="s">
        <v>183</v>
      </c>
      <c r="L512" s="2">
        <v>842</v>
      </c>
      <c r="M512" s="2" t="s">
        <v>229</v>
      </c>
      <c r="N512" s="2" t="s">
        <v>237</v>
      </c>
    </row>
    <row r="513" spans="1:14" x14ac:dyDescent="0.25">
      <c r="A513" s="2">
        <v>9842</v>
      </c>
      <c r="B513" s="2">
        <v>7601</v>
      </c>
      <c r="C513" s="2" t="s">
        <v>226</v>
      </c>
      <c r="D513" s="2">
        <v>300</v>
      </c>
      <c r="E513" s="2" t="s">
        <v>39</v>
      </c>
      <c r="F513" s="2">
        <v>724</v>
      </c>
      <c r="G513" s="2">
        <v>0</v>
      </c>
      <c r="H513" s="2">
        <v>225</v>
      </c>
      <c r="I513" s="2" t="s">
        <v>227</v>
      </c>
      <c r="J513" s="2" t="s">
        <v>183</v>
      </c>
      <c r="K513" s="2" t="s">
        <v>183</v>
      </c>
      <c r="L513" s="2">
        <v>842</v>
      </c>
      <c r="M513" s="2" t="s">
        <v>229</v>
      </c>
      <c r="N513" s="2" t="s">
        <v>237</v>
      </c>
    </row>
    <row r="514" spans="1:14" x14ac:dyDescent="0.25">
      <c r="A514" s="2">
        <v>9843</v>
      </c>
      <c r="B514" s="2">
        <v>7601</v>
      </c>
      <c r="C514" s="2" t="s">
        <v>226</v>
      </c>
      <c r="D514" s="2">
        <v>764</v>
      </c>
      <c r="E514" s="2" t="s">
        <v>103</v>
      </c>
      <c r="F514" s="2">
        <v>599</v>
      </c>
      <c r="G514" s="2">
        <v>0</v>
      </c>
      <c r="H514" s="2">
        <v>280</v>
      </c>
      <c r="I514" s="2" t="s">
        <v>227</v>
      </c>
      <c r="J514" s="2" t="s">
        <v>183</v>
      </c>
      <c r="K514" s="2" t="s">
        <v>183</v>
      </c>
      <c r="L514" s="2">
        <v>842</v>
      </c>
      <c r="M514" s="2" t="s">
        <v>229</v>
      </c>
      <c r="N514" s="2" t="s">
        <v>237</v>
      </c>
    </row>
    <row r="515" spans="1:14" x14ac:dyDescent="0.25">
      <c r="A515" s="2">
        <v>9844</v>
      </c>
      <c r="B515" s="2">
        <v>7601</v>
      </c>
      <c r="C515" s="2" t="s">
        <v>226</v>
      </c>
      <c r="D515" s="2">
        <v>381</v>
      </c>
      <c r="E515" s="2" t="s">
        <v>50</v>
      </c>
      <c r="F515" s="2">
        <v>540</v>
      </c>
      <c r="G515" s="2">
        <v>0</v>
      </c>
      <c r="H515" s="2">
        <v>130</v>
      </c>
      <c r="I515" s="2" t="s">
        <v>227</v>
      </c>
      <c r="J515" s="2" t="s">
        <v>183</v>
      </c>
      <c r="K515" s="2" t="s">
        <v>183</v>
      </c>
      <c r="L515" s="2">
        <v>842</v>
      </c>
      <c r="M515" s="2" t="s">
        <v>229</v>
      </c>
      <c r="N515" s="2" t="s">
        <v>237</v>
      </c>
    </row>
    <row r="516" spans="1:14" x14ac:dyDescent="0.25">
      <c r="A516" s="2">
        <v>9845</v>
      </c>
      <c r="B516" s="2">
        <v>7601</v>
      </c>
      <c r="C516" s="2" t="s">
        <v>226</v>
      </c>
      <c r="D516" s="2">
        <v>44</v>
      </c>
      <c r="E516" s="2" t="s">
        <v>147</v>
      </c>
      <c r="F516" s="2">
        <v>476</v>
      </c>
      <c r="G516" s="2">
        <v>0</v>
      </c>
      <c r="H516" s="2">
        <v>68</v>
      </c>
      <c r="I516" s="2" t="s">
        <v>227</v>
      </c>
      <c r="J516" s="2" t="s">
        <v>183</v>
      </c>
      <c r="K516" s="2" t="s">
        <v>183</v>
      </c>
      <c r="L516" s="2">
        <v>842</v>
      </c>
      <c r="M516" s="2" t="s">
        <v>229</v>
      </c>
      <c r="N516" s="2" t="s">
        <v>237</v>
      </c>
    </row>
    <row r="517" spans="1:14" x14ac:dyDescent="0.25">
      <c r="A517" s="2">
        <v>9846</v>
      </c>
      <c r="B517" s="2">
        <v>7601</v>
      </c>
      <c r="C517" s="2" t="s">
        <v>226</v>
      </c>
      <c r="D517" s="2">
        <v>170</v>
      </c>
      <c r="E517" s="2" t="s">
        <v>19</v>
      </c>
      <c r="F517" s="2">
        <v>386</v>
      </c>
      <c r="G517" s="2">
        <v>0</v>
      </c>
      <c r="H517" s="2">
        <v>92</v>
      </c>
      <c r="I517" s="2" t="s">
        <v>227</v>
      </c>
      <c r="J517" s="2" t="s">
        <v>183</v>
      </c>
      <c r="K517" s="2" t="s">
        <v>183</v>
      </c>
      <c r="L517" s="2">
        <v>842</v>
      </c>
      <c r="M517" s="2" t="s">
        <v>229</v>
      </c>
      <c r="N517" s="2" t="s">
        <v>237</v>
      </c>
    </row>
    <row r="518" spans="1:14" x14ac:dyDescent="0.25">
      <c r="A518" s="2">
        <v>9847</v>
      </c>
      <c r="B518" s="2">
        <v>7601</v>
      </c>
      <c r="C518" s="2" t="s">
        <v>226</v>
      </c>
      <c r="D518" s="2">
        <v>528</v>
      </c>
      <c r="E518" s="2" t="s">
        <v>75</v>
      </c>
      <c r="F518" s="2">
        <v>331</v>
      </c>
      <c r="G518" s="2">
        <v>0</v>
      </c>
      <c r="H518" s="2">
        <v>78</v>
      </c>
      <c r="I518" s="2" t="s">
        <v>227</v>
      </c>
      <c r="J518" s="2" t="s">
        <v>183</v>
      </c>
      <c r="K518" s="2" t="s">
        <v>183</v>
      </c>
      <c r="L518" s="2">
        <v>842</v>
      </c>
      <c r="M518" s="2" t="s">
        <v>229</v>
      </c>
      <c r="N518" s="2" t="s">
        <v>237</v>
      </c>
    </row>
    <row r="519" spans="1:14" x14ac:dyDescent="0.25">
      <c r="A519" s="2">
        <v>9848</v>
      </c>
      <c r="B519" s="2">
        <v>7601</v>
      </c>
      <c r="C519" s="2" t="s">
        <v>226</v>
      </c>
      <c r="D519" s="2">
        <v>604</v>
      </c>
      <c r="E519" s="2" t="s">
        <v>84</v>
      </c>
      <c r="F519" s="2">
        <v>326</v>
      </c>
      <c r="G519" s="2">
        <v>0</v>
      </c>
      <c r="H519" s="2">
        <v>84</v>
      </c>
      <c r="I519" s="2" t="s">
        <v>227</v>
      </c>
      <c r="J519" s="2" t="s">
        <v>183</v>
      </c>
      <c r="K519" s="2" t="s">
        <v>183</v>
      </c>
      <c r="L519" s="2">
        <v>842</v>
      </c>
      <c r="M519" s="2" t="s">
        <v>229</v>
      </c>
      <c r="N519" s="2" t="s">
        <v>237</v>
      </c>
    </row>
    <row r="520" spans="1:14" x14ac:dyDescent="0.25">
      <c r="A520" s="2">
        <v>9849</v>
      </c>
      <c r="B520" s="2">
        <v>7601</v>
      </c>
      <c r="C520" s="2" t="s">
        <v>226</v>
      </c>
      <c r="D520" s="2">
        <v>156</v>
      </c>
      <c r="E520" s="2" t="s">
        <v>18</v>
      </c>
      <c r="F520" s="2">
        <v>220809</v>
      </c>
      <c r="G520" s="2">
        <v>26.9</v>
      </c>
      <c r="H520" s="2">
        <v>71495</v>
      </c>
      <c r="I520" s="2" t="s">
        <v>227</v>
      </c>
      <c r="J520" s="2" t="s">
        <v>183</v>
      </c>
      <c r="K520" s="2" t="s">
        <v>183</v>
      </c>
      <c r="L520" s="2">
        <v>704</v>
      </c>
      <c r="M520" s="2" t="s">
        <v>232</v>
      </c>
      <c r="N520" s="2" t="s">
        <v>237</v>
      </c>
    </row>
    <row r="521" spans="1:14" x14ac:dyDescent="0.25">
      <c r="A521" s="2">
        <v>9850</v>
      </c>
      <c r="B521" s="2">
        <v>7601</v>
      </c>
      <c r="C521" s="2" t="s">
        <v>226</v>
      </c>
      <c r="D521" s="2">
        <v>484</v>
      </c>
      <c r="E521" s="2" t="s">
        <v>70</v>
      </c>
      <c r="F521" s="2">
        <v>112709</v>
      </c>
      <c r="G521" s="2">
        <v>13.7</v>
      </c>
      <c r="H521" s="2">
        <v>36494</v>
      </c>
      <c r="I521" s="2" t="s">
        <v>227</v>
      </c>
      <c r="J521" s="2" t="s">
        <v>183</v>
      </c>
      <c r="K521" s="2" t="s">
        <v>183</v>
      </c>
      <c r="L521" s="2">
        <v>704</v>
      </c>
      <c r="M521" s="2" t="s">
        <v>232</v>
      </c>
      <c r="N521" s="2" t="s">
        <v>237</v>
      </c>
    </row>
    <row r="522" spans="1:14" x14ac:dyDescent="0.25">
      <c r="A522" s="2">
        <v>9851</v>
      </c>
      <c r="B522" s="2">
        <v>7601</v>
      </c>
      <c r="C522" s="2" t="s">
        <v>226</v>
      </c>
      <c r="D522" s="2">
        <v>724</v>
      </c>
      <c r="E522" s="2" t="s">
        <v>98</v>
      </c>
      <c r="F522" s="2">
        <v>95405</v>
      </c>
      <c r="G522" s="2">
        <v>11.6</v>
      </c>
      <c r="H522" s="2">
        <v>30891</v>
      </c>
      <c r="I522" s="2" t="s">
        <v>227</v>
      </c>
      <c r="J522" s="2" t="s">
        <v>183</v>
      </c>
      <c r="K522" s="2" t="s">
        <v>183</v>
      </c>
      <c r="L522" s="2">
        <v>704</v>
      </c>
      <c r="M522" s="2" t="s">
        <v>232</v>
      </c>
      <c r="N522" s="2" t="s">
        <v>237</v>
      </c>
    </row>
    <row r="523" spans="1:14" x14ac:dyDescent="0.25">
      <c r="A523" s="2">
        <v>9852</v>
      </c>
      <c r="B523" s="2">
        <v>7601</v>
      </c>
      <c r="C523" s="2" t="s">
        <v>226</v>
      </c>
      <c r="D523" s="2">
        <v>792</v>
      </c>
      <c r="E523" s="2" t="s">
        <v>107</v>
      </c>
      <c r="F523" s="2">
        <v>70062</v>
      </c>
      <c r="G523" s="2">
        <v>8.5</v>
      </c>
      <c r="H523" s="2">
        <v>22685</v>
      </c>
      <c r="I523" s="2" t="s">
        <v>227</v>
      </c>
      <c r="J523" s="2" t="s">
        <v>183</v>
      </c>
      <c r="K523" s="2" t="s">
        <v>183</v>
      </c>
      <c r="L523" s="2">
        <v>704</v>
      </c>
      <c r="M523" s="2" t="s">
        <v>232</v>
      </c>
      <c r="N523" s="2" t="s">
        <v>237</v>
      </c>
    </row>
    <row r="524" spans="1:14" x14ac:dyDescent="0.25">
      <c r="A524" s="2">
        <v>9853</v>
      </c>
      <c r="B524" s="2">
        <v>7601</v>
      </c>
      <c r="C524" s="2" t="s">
        <v>226</v>
      </c>
      <c r="D524" s="2">
        <v>764</v>
      </c>
      <c r="E524" s="2" t="s">
        <v>103</v>
      </c>
      <c r="F524" s="2">
        <v>60609</v>
      </c>
      <c r="G524" s="2">
        <v>7.4</v>
      </c>
      <c r="H524" s="2">
        <v>19625</v>
      </c>
      <c r="I524" s="2" t="s">
        <v>227</v>
      </c>
      <c r="J524" s="2" t="s">
        <v>183</v>
      </c>
      <c r="K524" s="2" t="s">
        <v>183</v>
      </c>
      <c r="L524" s="2">
        <v>704</v>
      </c>
      <c r="M524" s="2" t="s">
        <v>232</v>
      </c>
      <c r="N524" s="2" t="s">
        <v>237</v>
      </c>
    </row>
    <row r="525" spans="1:14" x14ac:dyDescent="0.25">
      <c r="A525" s="2">
        <v>9854</v>
      </c>
      <c r="B525" s="2">
        <v>7601</v>
      </c>
      <c r="C525" s="2" t="s">
        <v>226</v>
      </c>
      <c r="D525" s="2">
        <v>158</v>
      </c>
      <c r="E525" s="2" t="s">
        <v>233</v>
      </c>
      <c r="F525" s="2">
        <v>51261</v>
      </c>
      <c r="G525" s="2">
        <v>6.2</v>
      </c>
      <c r="H525" s="2">
        <v>16598</v>
      </c>
      <c r="I525" s="2" t="s">
        <v>227</v>
      </c>
      <c r="J525" s="2" t="s">
        <v>183</v>
      </c>
      <c r="K525" s="2" t="s">
        <v>183</v>
      </c>
      <c r="L525" s="2">
        <v>704</v>
      </c>
      <c r="M525" s="2" t="s">
        <v>232</v>
      </c>
      <c r="N525" s="2" t="s">
        <v>237</v>
      </c>
    </row>
    <row r="526" spans="1:14" x14ac:dyDescent="0.25">
      <c r="A526" s="2">
        <v>9855</v>
      </c>
      <c r="B526" s="2">
        <v>7601</v>
      </c>
      <c r="C526" s="2" t="s">
        <v>226</v>
      </c>
      <c r="D526" s="2">
        <v>124</v>
      </c>
      <c r="E526" s="2" t="s">
        <v>16</v>
      </c>
      <c r="F526" s="2">
        <v>29229</v>
      </c>
      <c r="G526" s="2">
        <v>3.6</v>
      </c>
      <c r="H526" s="2">
        <v>9464</v>
      </c>
      <c r="I526" s="2" t="s">
        <v>227</v>
      </c>
      <c r="J526" s="2" t="s">
        <v>183</v>
      </c>
      <c r="K526" s="2" t="s">
        <v>183</v>
      </c>
      <c r="L526" s="2">
        <v>704</v>
      </c>
      <c r="M526" s="2" t="s">
        <v>232</v>
      </c>
      <c r="N526" s="2" t="s">
        <v>237</v>
      </c>
    </row>
    <row r="527" spans="1:14" x14ac:dyDescent="0.25">
      <c r="A527" s="2">
        <v>9856</v>
      </c>
      <c r="B527" s="2">
        <v>7601</v>
      </c>
      <c r="C527" s="2" t="s">
        <v>226</v>
      </c>
      <c r="D527" s="2">
        <v>381</v>
      </c>
      <c r="E527" s="2" t="s">
        <v>50</v>
      </c>
      <c r="F527" s="2">
        <v>27984</v>
      </c>
      <c r="G527" s="2">
        <v>3.4</v>
      </c>
      <c r="H527" s="2">
        <v>9061</v>
      </c>
      <c r="I527" s="2" t="s">
        <v>227</v>
      </c>
      <c r="J527" s="2" t="s">
        <v>183</v>
      </c>
      <c r="K527" s="2" t="s">
        <v>183</v>
      </c>
      <c r="L527" s="2">
        <v>704</v>
      </c>
      <c r="M527" s="2" t="s">
        <v>232</v>
      </c>
      <c r="N527" s="2" t="s">
        <v>237</v>
      </c>
    </row>
    <row r="528" spans="1:14" x14ac:dyDescent="0.25">
      <c r="A528" s="2">
        <v>9857</v>
      </c>
      <c r="B528" s="2">
        <v>7601</v>
      </c>
      <c r="C528" s="2" t="s">
        <v>226</v>
      </c>
      <c r="D528" s="2">
        <v>818</v>
      </c>
      <c r="E528" s="2" t="s">
        <v>28</v>
      </c>
      <c r="F528" s="2">
        <v>22822</v>
      </c>
      <c r="G528" s="2">
        <v>2.8</v>
      </c>
      <c r="H528" s="2">
        <v>7389</v>
      </c>
      <c r="I528" s="2" t="s">
        <v>227</v>
      </c>
      <c r="J528" s="2" t="s">
        <v>183</v>
      </c>
      <c r="K528" s="2" t="s">
        <v>183</v>
      </c>
      <c r="L528" s="2">
        <v>704</v>
      </c>
      <c r="M528" s="2" t="s">
        <v>232</v>
      </c>
      <c r="N528" s="2" t="s">
        <v>237</v>
      </c>
    </row>
    <row r="529" spans="1:14" x14ac:dyDescent="0.25">
      <c r="A529" s="2">
        <v>9858</v>
      </c>
      <c r="B529" s="2">
        <v>7601</v>
      </c>
      <c r="C529" s="2" t="s">
        <v>226</v>
      </c>
      <c r="D529" s="2">
        <v>100</v>
      </c>
      <c r="E529" s="2" t="s">
        <v>15</v>
      </c>
      <c r="F529" s="2">
        <v>18928</v>
      </c>
      <c r="G529" s="2">
        <v>2.2999999999999998</v>
      </c>
      <c r="H529" s="2">
        <v>6129</v>
      </c>
      <c r="I529" s="2" t="s">
        <v>227</v>
      </c>
      <c r="J529" s="2" t="s">
        <v>183</v>
      </c>
      <c r="K529" s="2" t="s">
        <v>183</v>
      </c>
      <c r="L529" s="2">
        <v>704</v>
      </c>
      <c r="M529" s="2" t="s">
        <v>232</v>
      </c>
      <c r="N529" s="2" t="s">
        <v>237</v>
      </c>
    </row>
    <row r="530" spans="1:14" x14ac:dyDescent="0.25">
      <c r="A530" s="2">
        <v>9859</v>
      </c>
      <c r="B530" s="2">
        <v>7601</v>
      </c>
      <c r="C530" s="2" t="s">
        <v>226</v>
      </c>
      <c r="D530" s="2">
        <v>188</v>
      </c>
      <c r="E530" s="2" t="s">
        <v>20</v>
      </c>
      <c r="F530" s="2">
        <v>18560</v>
      </c>
      <c r="G530" s="2">
        <v>2.2999999999999998</v>
      </c>
      <c r="H530" s="2">
        <v>6010</v>
      </c>
      <c r="I530" s="2" t="s">
        <v>227</v>
      </c>
      <c r="J530" s="2" t="s">
        <v>183</v>
      </c>
      <c r="K530" s="2" t="s">
        <v>183</v>
      </c>
      <c r="L530" s="2">
        <v>704</v>
      </c>
      <c r="M530" s="2" t="s">
        <v>232</v>
      </c>
      <c r="N530" s="2" t="s">
        <v>237</v>
      </c>
    </row>
    <row r="531" spans="1:14" x14ac:dyDescent="0.25">
      <c r="A531" s="2">
        <v>9860</v>
      </c>
      <c r="B531" s="2">
        <v>7601</v>
      </c>
      <c r="C531" s="2" t="s">
        <v>226</v>
      </c>
      <c r="D531" s="2">
        <v>616</v>
      </c>
      <c r="E531" s="2" t="s">
        <v>86</v>
      </c>
      <c r="F531" s="2">
        <v>17221</v>
      </c>
      <c r="G531" s="2">
        <v>2.1</v>
      </c>
      <c r="H531" s="2">
        <v>5576</v>
      </c>
      <c r="I531" s="2" t="s">
        <v>227</v>
      </c>
      <c r="J531" s="2" t="s">
        <v>183</v>
      </c>
      <c r="K531" s="2" t="s">
        <v>183</v>
      </c>
      <c r="L531" s="2">
        <v>704</v>
      </c>
      <c r="M531" s="2" t="s">
        <v>232</v>
      </c>
      <c r="N531" s="2" t="s">
        <v>237</v>
      </c>
    </row>
    <row r="532" spans="1:14" x14ac:dyDescent="0.25">
      <c r="A532" s="2">
        <v>9861</v>
      </c>
      <c r="B532" s="2">
        <v>7601</v>
      </c>
      <c r="C532" s="2" t="s">
        <v>226</v>
      </c>
      <c r="D532" s="2">
        <v>458</v>
      </c>
      <c r="E532" s="2" t="s">
        <v>66</v>
      </c>
      <c r="F532" s="2">
        <v>12448</v>
      </c>
      <c r="G532" s="2">
        <v>1.5</v>
      </c>
      <c r="H532" s="2">
        <v>4031</v>
      </c>
      <c r="I532" s="2" t="s">
        <v>227</v>
      </c>
      <c r="J532" s="2" t="s">
        <v>183</v>
      </c>
      <c r="K532" s="2" t="s">
        <v>183</v>
      </c>
      <c r="L532" s="2">
        <v>704</v>
      </c>
      <c r="M532" s="2" t="s">
        <v>232</v>
      </c>
      <c r="N532" s="2" t="s">
        <v>237</v>
      </c>
    </row>
    <row r="533" spans="1:14" x14ac:dyDescent="0.25">
      <c r="A533" s="2">
        <v>9862</v>
      </c>
      <c r="B533" s="2">
        <v>7601</v>
      </c>
      <c r="C533" s="2" t="s">
        <v>226</v>
      </c>
      <c r="D533" s="2">
        <v>410</v>
      </c>
      <c r="E533" s="2" t="s">
        <v>230</v>
      </c>
      <c r="F533" s="2">
        <v>11312</v>
      </c>
      <c r="G533" s="2">
        <v>1.4</v>
      </c>
      <c r="H533" s="2">
        <v>3663</v>
      </c>
      <c r="I533" s="2" t="s">
        <v>227</v>
      </c>
      <c r="J533" s="2" t="s">
        <v>183</v>
      </c>
      <c r="K533" s="2" t="s">
        <v>183</v>
      </c>
      <c r="L533" s="2">
        <v>704</v>
      </c>
      <c r="M533" s="2" t="s">
        <v>232</v>
      </c>
      <c r="N533" s="2" t="s">
        <v>237</v>
      </c>
    </row>
    <row r="534" spans="1:14" x14ac:dyDescent="0.25">
      <c r="A534" s="2">
        <v>9863</v>
      </c>
      <c r="B534" s="2">
        <v>7601</v>
      </c>
      <c r="C534" s="2" t="s">
        <v>226</v>
      </c>
      <c r="D534" s="2">
        <v>392</v>
      </c>
      <c r="E534" s="2" t="s">
        <v>51</v>
      </c>
      <c r="F534" s="2">
        <v>11100</v>
      </c>
      <c r="G534" s="2">
        <v>1.4</v>
      </c>
      <c r="H534" s="2">
        <v>3594</v>
      </c>
      <c r="I534" s="2" t="s">
        <v>227</v>
      </c>
      <c r="J534" s="2" t="s">
        <v>183</v>
      </c>
      <c r="K534" s="2" t="s">
        <v>183</v>
      </c>
      <c r="L534" s="2">
        <v>704</v>
      </c>
      <c r="M534" s="2" t="s">
        <v>232</v>
      </c>
      <c r="N534" s="2" t="s">
        <v>237</v>
      </c>
    </row>
    <row r="535" spans="1:14" x14ac:dyDescent="0.25">
      <c r="A535" s="2">
        <v>9864</v>
      </c>
      <c r="B535" s="2">
        <v>7601</v>
      </c>
      <c r="C535" s="2" t="s">
        <v>226</v>
      </c>
      <c r="D535" s="2">
        <v>116</v>
      </c>
      <c r="E535" s="2" t="s">
        <v>126</v>
      </c>
      <c r="F535" s="2">
        <v>6996</v>
      </c>
      <c r="G535" s="2">
        <v>0.9</v>
      </c>
      <c r="H535" s="2">
        <v>2265</v>
      </c>
      <c r="I535" s="2" t="s">
        <v>227</v>
      </c>
      <c r="J535" s="2" t="s">
        <v>183</v>
      </c>
      <c r="K535" s="2" t="s">
        <v>183</v>
      </c>
      <c r="L535" s="2">
        <v>704</v>
      </c>
      <c r="M535" s="2" t="s">
        <v>232</v>
      </c>
      <c r="N535" s="2" t="s">
        <v>237</v>
      </c>
    </row>
    <row r="536" spans="1:14" x14ac:dyDescent="0.25">
      <c r="A536" s="2">
        <v>9865</v>
      </c>
      <c r="B536" s="2">
        <v>7601</v>
      </c>
      <c r="C536" s="2" t="s">
        <v>226</v>
      </c>
      <c r="D536" s="2">
        <v>710</v>
      </c>
      <c r="E536" s="2" t="s">
        <v>97</v>
      </c>
      <c r="F536" s="2">
        <v>5167</v>
      </c>
      <c r="G536" s="2">
        <v>0.6</v>
      </c>
      <c r="H536" s="2">
        <v>1673</v>
      </c>
      <c r="I536" s="2" t="s">
        <v>227</v>
      </c>
      <c r="J536" s="2" t="s">
        <v>183</v>
      </c>
      <c r="K536" s="2" t="s">
        <v>183</v>
      </c>
      <c r="L536" s="2">
        <v>704</v>
      </c>
      <c r="M536" s="2" t="s">
        <v>232</v>
      </c>
      <c r="N536" s="2" t="s">
        <v>237</v>
      </c>
    </row>
    <row r="537" spans="1:14" x14ac:dyDescent="0.25">
      <c r="A537" s="2">
        <v>9866</v>
      </c>
      <c r="B537" s="2">
        <v>7601</v>
      </c>
      <c r="C537" s="2" t="s">
        <v>226</v>
      </c>
      <c r="D537" s="2">
        <v>12</v>
      </c>
      <c r="E537" s="2" t="s">
        <v>0</v>
      </c>
      <c r="F537" s="2">
        <v>4539</v>
      </c>
      <c r="G537" s="2">
        <v>0.6</v>
      </c>
      <c r="H537" s="2">
        <v>1470</v>
      </c>
      <c r="I537" s="2" t="s">
        <v>227</v>
      </c>
      <c r="J537" s="2" t="s">
        <v>183</v>
      </c>
      <c r="K537" s="2" t="s">
        <v>183</v>
      </c>
      <c r="L537" s="2">
        <v>704</v>
      </c>
      <c r="M537" s="2" t="s">
        <v>232</v>
      </c>
      <c r="N537" s="2" t="s">
        <v>237</v>
      </c>
    </row>
    <row r="538" spans="1:14" x14ac:dyDescent="0.25">
      <c r="A538" s="2">
        <v>9867</v>
      </c>
      <c r="B538" s="2">
        <v>7601</v>
      </c>
      <c r="C538" s="2" t="s">
        <v>226</v>
      </c>
      <c r="D538" s="2">
        <v>50</v>
      </c>
      <c r="E538" s="2" t="s">
        <v>8</v>
      </c>
      <c r="F538" s="2">
        <v>4086</v>
      </c>
      <c r="G538" s="2">
        <v>0.5</v>
      </c>
      <c r="H538" s="2">
        <v>1323</v>
      </c>
      <c r="I538" s="2" t="s">
        <v>227</v>
      </c>
      <c r="J538" s="2" t="s">
        <v>183</v>
      </c>
      <c r="K538" s="2" t="s">
        <v>183</v>
      </c>
      <c r="L538" s="2">
        <v>704</v>
      </c>
      <c r="M538" s="2" t="s">
        <v>232</v>
      </c>
      <c r="N538" s="2" t="s">
        <v>237</v>
      </c>
    </row>
    <row r="539" spans="1:14" x14ac:dyDescent="0.25">
      <c r="A539" s="2">
        <v>9868</v>
      </c>
      <c r="B539" s="2">
        <v>7601</v>
      </c>
      <c r="C539" s="2" t="s">
        <v>226</v>
      </c>
      <c r="D539" s="2">
        <v>144</v>
      </c>
      <c r="E539" s="2" t="s">
        <v>99</v>
      </c>
      <c r="F539" s="2">
        <v>2742</v>
      </c>
      <c r="G539" s="2">
        <v>0.3</v>
      </c>
      <c r="H539" s="2">
        <v>888</v>
      </c>
      <c r="I539" s="2" t="s">
        <v>227</v>
      </c>
      <c r="J539" s="2" t="s">
        <v>183</v>
      </c>
      <c r="K539" s="2" t="s">
        <v>183</v>
      </c>
      <c r="L539" s="2">
        <v>704</v>
      </c>
      <c r="M539" s="2" t="s">
        <v>232</v>
      </c>
      <c r="N539" s="2" t="s">
        <v>237</v>
      </c>
    </row>
    <row r="540" spans="1:14" x14ac:dyDescent="0.25">
      <c r="A540" s="2">
        <v>9869</v>
      </c>
      <c r="B540" s="2">
        <v>7601</v>
      </c>
      <c r="C540" s="2" t="s">
        <v>226</v>
      </c>
      <c r="D540" s="2">
        <v>218</v>
      </c>
      <c r="E540" s="2" t="s">
        <v>27</v>
      </c>
      <c r="F540" s="2">
        <v>2479</v>
      </c>
      <c r="G540" s="2">
        <v>0.3</v>
      </c>
      <c r="H540" s="2">
        <v>803</v>
      </c>
      <c r="I540" s="2" t="s">
        <v>227</v>
      </c>
      <c r="J540" s="2" t="s">
        <v>183</v>
      </c>
      <c r="K540" s="2" t="s">
        <v>183</v>
      </c>
      <c r="L540" s="2">
        <v>704</v>
      </c>
      <c r="M540" s="2" t="s">
        <v>232</v>
      </c>
      <c r="N540" s="2" t="s">
        <v>237</v>
      </c>
    </row>
    <row r="541" spans="1:14" x14ac:dyDescent="0.25">
      <c r="A541" s="2">
        <v>9870</v>
      </c>
      <c r="B541" s="2">
        <v>7601</v>
      </c>
      <c r="C541" s="2" t="s">
        <v>226</v>
      </c>
      <c r="D541" s="2">
        <v>376</v>
      </c>
      <c r="E541" s="2" t="s">
        <v>49</v>
      </c>
      <c r="F541" s="2">
        <v>2398</v>
      </c>
      <c r="G541" s="2">
        <v>0.3</v>
      </c>
      <c r="H541" s="2">
        <v>776</v>
      </c>
      <c r="I541" s="2" t="s">
        <v>227</v>
      </c>
      <c r="J541" s="2" t="s">
        <v>183</v>
      </c>
      <c r="K541" s="2" t="s">
        <v>183</v>
      </c>
      <c r="L541" s="2">
        <v>704</v>
      </c>
      <c r="M541" s="2" t="s">
        <v>232</v>
      </c>
      <c r="N541" s="2" t="s">
        <v>237</v>
      </c>
    </row>
    <row r="542" spans="1:14" x14ac:dyDescent="0.25">
      <c r="A542" s="2">
        <v>9871</v>
      </c>
      <c r="B542" s="2">
        <v>7601</v>
      </c>
      <c r="C542" s="2" t="s">
        <v>226</v>
      </c>
      <c r="D542" s="2">
        <v>360</v>
      </c>
      <c r="E542" s="2" t="s">
        <v>46</v>
      </c>
      <c r="F542" s="2">
        <v>2380</v>
      </c>
      <c r="G542" s="2">
        <v>0.3</v>
      </c>
      <c r="H542" s="2">
        <v>771</v>
      </c>
      <c r="I542" s="2" t="s">
        <v>227</v>
      </c>
      <c r="J542" s="2" t="s">
        <v>183</v>
      </c>
      <c r="K542" s="2" t="s">
        <v>183</v>
      </c>
      <c r="L542" s="2">
        <v>704</v>
      </c>
      <c r="M542" s="2" t="s">
        <v>232</v>
      </c>
      <c r="N542" s="2" t="s">
        <v>237</v>
      </c>
    </row>
    <row r="543" spans="1:14" x14ac:dyDescent="0.25">
      <c r="A543" s="2">
        <v>9872</v>
      </c>
      <c r="B543" s="2">
        <v>7601</v>
      </c>
      <c r="C543" s="2" t="s">
        <v>226</v>
      </c>
      <c r="D543" s="2">
        <v>504</v>
      </c>
      <c r="E543" s="2" t="s">
        <v>73</v>
      </c>
      <c r="F543" s="2">
        <v>1813</v>
      </c>
      <c r="G543" s="2">
        <v>0.2</v>
      </c>
      <c r="H543" s="2">
        <v>587</v>
      </c>
      <c r="I543" s="2" t="s">
        <v>227</v>
      </c>
      <c r="J543" s="2" t="s">
        <v>183</v>
      </c>
      <c r="K543" s="2" t="s">
        <v>183</v>
      </c>
      <c r="L543" s="2">
        <v>704</v>
      </c>
      <c r="M543" s="2" t="s">
        <v>232</v>
      </c>
      <c r="N543" s="2" t="s">
        <v>237</v>
      </c>
    </row>
    <row r="544" spans="1:14" x14ac:dyDescent="0.25">
      <c r="A544" s="2">
        <v>9873</v>
      </c>
      <c r="B544" s="2">
        <v>7601</v>
      </c>
      <c r="C544" s="2" t="s">
        <v>226</v>
      </c>
      <c r="D544" s="2">
        <v>276</v>
      </c>
      <c r="E544" s="2" t="s">
        <v>37</v>
      </c>
      <c r="F544" s="2">
        <v>1046073</v>
      </c>
      <c r="G544" s="2">
        <v>20.6</v>
      </c>
      <c r="H544" s="2">
        <v>297501</v>
      </c>
      <c r="I544" s="2" t="s">
        <v>227</v>
      </c>
      <c r="J544" s="2" t="s">
        <v>183</v>
      </c>
      <c r="K544" s="2" t="s">
        <v>183</v>
      </c>
      <c r="L544" s="2">
        <v>579</v>
      </c>
      <c r="M544" s="2" t="s">
        <v>79</v>
      </c>
      <c r="N544" s="2" t="s">
        <v>237</v>
      </c>
    </row>
    <row r="545" spans="1:14" x14ac:dyDescent="0.25">
      <c r="A545" s="2">
        <v>9874</v>
      </c>
      <c r="B545" s="2">
        <v>7601</v>
      </c>
      <c r="C545" s="2" t="s">
        <v>226</v>
      </c>
      <c r="D545" s="2">
        <v>528</v>
      </c>
      <c r="E545" s="2" t="s">
        <v>75</v>
      </c>
      <c r="F545" s="2">
        <v>955480</v>
      </c>
      <c r="G545" s="2">
        <v>18.8</v>
      </c>
      <c r="H545" s="2">
        <v>268300</v>
      </c>
      <c r="I545" s="2" t="s">
        <v>227</v>
      </c>
      <c r="J545" s="2" t="s">
        <v>183</v>
      </c>
      <c r="K545" s="2" t="s">
        <v>183</v>
      </c>
      <c r="L545" s="2">
        <v>579</v>
      </c>
      <c r="M545" s="2" t="s">
        <v>79</v>
      </c>
      <c r="N545" s="2" t="s">
        <v>237</v>
      </c>
    </row>
    <row r="546" spans="1:14" x14ac:dyDescent="0.25">
      <c r="A546" s="2">
        <v>9875</v>
      </c>
      <c r="B546" s="2">
        <v>7601</v>
      </c>
      <c r="C546" s="2" t="s">
        <v>226</v>
      </c>
      <c r="D546" s="2">
        <v>724</v>
      </c>
      <c r="E546" s="2" t="s">
        <v>98</v>
      </c>
      <c r="F546" s="2">
        <v>525885</v>
      </c>
      <c r="G546" s="2">
        <v>10.4</v>
      </c>
      <c r="H546" s="2">
        <v>143699</v>
      </c>
      <c r="I546" s="2" t="s">
        <v>227</v>
      </c>
      <c r="J546" s="2" t="s">
        <v>183</v>
      </c>
      <c r="K546" s="2" t="s">
        <v>183</v>
      </c>
      <c r="L546" s="2">
        <v>579</v>
      </c>
      <c r="M546" s="2" t="s">
        <v>79</v>
      </c>
      <c r="N546" s="2" t="s">
        <v>237</v>
      </c>
    </row>
    <row r="547" spans="1:14" x14ac:dyDescent="0.25">
      <c r="A547" s="2">
        <v>9876</v>
      </c>
      <c r="B547" s="2">
        <v>7601</v>
      </c>
      <c r="C547" s="2" t="s">
        <v>226</v>
      </c>
      <c r="D547" s="2">
        <v>616</v>
      </c>
      <c r="E547" s="2" t="s">
        <v>86</v>
      </c>
      <c r="F547" s="2">
        <v>513735</v>
      </c>
      <c r="G547" s="2">
        <v>10.1</v>
      </c>
      <c r="H547" s="2">
        <v>136659</v>
      </c>
      <c r="I547" s="2" t="s">
        <v>227</v>
      </c>
      <c r="J547" s="2" t="s">
        <v>183</v>
      </c>
      <c r="K547" s="2" t="s">
        <v>183</v>
      </c>
      <c r="L547" s="2">
        <v>579</v>
      </c>
      <c r="M547" s="2" t="s">
        <v>79</v>
      </c>
      <c r="N547" s="2" t="s">
        <v>237</v>
      </c>
    </row>
    <row r="548" spans="1:14" x14ac:dyDescent="0.25">
      <c r="A548" s="2">
        <v>9877</v>
      </c>
      <c r="B548" s="2">
        <v>7601</v>
      </c>
      <c r="C548" s="2" t="s">
        <v>226</v>
      </c>
      <c r="D548" s="2">
        <v>40</v>
      </c>
      <c r="E548" s="2" t="s">
        <v>5</v>
      </c>
      <c r="F548" s="2">
        <v>348274</v>
      </c>
      <c r="G548" s="2">
        <v>6.9</v>
      </c>
      <c r="H548" s="2">
        <v>96270</v>
      </c>
      <c r="I548" s="2" t="s">
        <v>227</v>
      </c>
      <c r="J548" s="2" t="s">
        <v>183</v>
      </c>
      <c r="K548" s="2" t="s">
        <v>183</v>
      </c>
      <c r="L548" s="2">
        <v>579</v>
      </c>
      <c r="M548" s="2" t="s">
        <v>79</v>
      </c>
      <c r="N548" s="2" t="s">
        <v>237</v>
      </c>
    </row>
    <row r="549" spans="1:14" x14ac:dyDescent="0.25">
      <c r="A549" s="2">
        <v>9878</v>
      </c>
      <c r="B549" s="2">
        <v>7601</v>
      </c>
      <c r="C549" s="2" t="s">
        <v>226</v>
      </c>
      <c r="D549" s="2">
        <v>381</v>
      </c>
      <c r="E549" s="2" t="s">
        <v>50</v>
      </c>
      <c r="F549" s="2">
        <v>304758</v>
      </c>
      <c r="G549" s="2">
        <v>6</v>
      </c>
      <c r="H549" s="2">
        <v>78570</v>
      </c>
      <c r="I549" s="2" t="s">
        <v>227</v>
      </c>
      <c r="J549" s="2" t="s">
        <v>183</v>
      </c>
      <c r="K549" s="2" t="s">
        <v>183</v>
      </c>
      <c r="L549" s="2">
        <v>579</v>
      </c>
      <c r="M549" s="2" t="s">
        <v>79</v>
      </c>
      <c r="N549" s="2" t="s">
        <v>237</v>
      </c>
    </row>
    <row r="550" spans="1:14" x14ac:dyDescent="0.25">
      <c r="A550" s="2">
        <v>9880</v>
      </c>
      <c r="B550" s="2">
        <v>7601</v>
      </c>
      <c r="C550" s="2" t="s">
        <v>226</v>
      </c>
      <c r="D550" s="2">
        <v>752</v>
      </c>
      <c r="E550" s="2" t="s">
        <v>100</v>
      </c>
      <c r="F550" s="2">
        <v>231569</v>
      </c>
      <c r="G550" s="2">
        <v>4.5999999999999996</v>
      </c>
      <c r="H550" s="2">
        <v>68252</v>
      </c>
      <c r="I550" s="2" t="s">
        <v>227</v>
      </c>
      <c r="J550" s="2" t="s">
        <v>183</v>
      </c>
      <c r="K550" s="2" t="s">
        <v>183</v>
      </c>
      <c r="L550" s="2">
        <v>579</v>
      </c>
      <c r="M550" s="2" t="s">
        <v>79</v>
      </c>
      <c r="N550" s="2" t="s">
        <v>237</v>
      </c>
    </row>
    <row r="551" spans="1:14" x14ac:dyDescent="0.25">
      <c r="A551" s="2">
        <v>9881</v>
      </c>
      <c r="B551" s="2">
        <v>7601</v>
      </c>
      <c r="C551" s="2" t="s">
        <v>226</v>
      </c>
      <c r="D551" s="2">
        <v>208</v>
      </c>
      <c r="E551" s="2" t="s">
        <v>24</v>
      </c>
      <c r="F551" s="2">
        <v>190630</v>
      </c>
      <c r="G551" s="2">
        <v>3.8</v>
      </c>
      <c r="H551" s="2">
        <v>48159</v>
      </c>
      <c r="I551" s="2" t="s">
        <v>227</v>
      </c>
      <c r="J551" s="2" t="s">
        <v>183</v>
      </c>
      <c r="K551" s="2" t="s">
        <v>183</v>
      </c>
      <c r="L551" s="2">
        <v>579</v>
      </c>
      <c r="M551" s="2" t="s">
        <v>79</v>
      </c>
      <c r="N551" s="2" t="s">
        <v>237</v>
      </c>
    </row>
    <row r="552" spans="1:14" x14ac:dyDescent="0.25">
      <c r="A552" s="2">
        <v>9882</v>
      </c>
      <c r="B552" s="2">
        <v>7601</v>
      </c>
      <c r="C552" s="2" t="s">
        <v>226</v>
      </c>
      <c r="D552" s="2">
        <v>620</v>
      </c>
      <c r="E552" s="2" t="s">
        <v>87</v>
      </c>
      <c r="F552" s="2">
        <v>133935</v>
      </c>
      <c r="G552" s="2">
        <v>2.6</v>
      </c>
      <c r="H552" s="2">
        <v>33752</v>
      </c>
      <c r="I552" s="2" t="s">
        <v>227</v>
      </c>
      <c r="J552" s="2" t="s">
        <v>183</v>
      </c>
      <c r="K552" s="2" t="s">
        <v>183</v>
      </c>
      <c r="L552" s="2">
        <v>579</v>
      </c>
      <c r="M552" s="2" t="s">
        <v>79</v>
      </c>
      <c r="N552" s="2" t="s">
        <v>237</v>
      </c>
    </row>
    <row r="553" spans="1:14" x14ac:dyDescent="0.25">
      <c r="A553" s="2">
        <v>9883</v>
      </c>
      <c r="B553" s="2">
        <v>7601</v>
      </c>
      <c r="C553" s="2" t="s">
        <v>226</v>
      </c>
      <c r="D553" s="2">
        <v>246</v>
      </c>
      <c r="E553" s="2" t="s">
        <v>32</v>
      </c>
      <c r="F553" s="2">
        <v>104812</v>
      </c>
      <c r="G553" s="2">
        <v>2.1</v>
      </c>
      <c r="H553" s="2">
        <v>26059</v>
      </c>
      <c r="I553" s="2" t="s">
        <v>227</v>
      </c>
      <c r="J553" s="2" t="s">
        <v>183</v>
      </c>
      <c r="K553" s="2" t="s">
        <v>183</v>
      </c>
      <c r="L553" s="2">
        <v>579</v>
      </c>
      <c r="M553" s="2" t="s">
        <v>79</v>
      </c>
      <c r="N553" s="2" t="s">
        <v>237</v>
      </c>
    </row>
    <row r="554" spans="1:14" x14ac:dyDescent="0.25">
      <c r="A554" s="2">
        <v>9884</v>
      </c>
      <c r="B554" s="2">
        <v>7601</v>
      </c>
      <c r="C554" s="2" t="s">
        <v>226</v>
      </c>
      <c r="D554" s="2">
        <v>56</v>
      </c>
      <c r="E554" s="2" t="s">
        <v>11</v>
      </c>
      <c r="F554" s="2">
        <v>89368</v>
      </c>
      <c r="G554" s="2">
        <v>1.8</v>
      </c>
      <c r="H554" s="2">
        <v>25057</v>
      </c>
      <c r="I554" s="2" t="s">
        <v>227</v>
      </c>
      <c r="J554" s="2" t="s">
        <v>183</v>
      </c>
      <c r="K554" s="2" t="s">
        <v>183</v>
      </c>
      <c r="L554" s="2">
        <v>579</v>
      </c>
      <c r="M554" s="2" t="s">
        <v>79</v>
      </c>
      <c r="N554" s="2" t="s">
        <v>237</v>
      </c>
    </row>
    <row r="555" spans="1:14" x14ac:dyDescent="0.25">
      <c r="A555" s="2">
        <v>9885</v>
      </c>
      <c r="B555" s="2">
        <v>7601</v>
      </c>
      <c r="C555" s="2" t="s">
        <v>226</v>
      </c>
      <c r="D555" s="2">
        <v>348</v>
      </c>
      <c r="E555" s="2" t="s">
        <v>43</v>
      </c>
      <c r="F555" s="2">
        <v>78485</v>
      </c>
      <c r="G555" s="2">
        <v>1.5</v>
      </c>
      <c r="H555" s="2">
        <v>21310</v>
      </c>
      <c r="I555" s="2" t="s">
        <v>227</v>
      </c>
      <c r="J555" s="2" t="s">
        <v>183</v>
      </c>
      <c r="K555" s="2" t="s">
        <v>183</v>
      </c>
      <c r="L555" s="2">
        <v>579</v>
      </c>
      <c r="M555" s="2" t="s">
        <v>79</v>
      </c>
      <c r="N555" s="2" t="s">
        <v>237</v>
      </c>
    </row>
    <row r="556" spans="1:14" x14ac:dyDescent="0.25">
      <c r="A556" s="2">
        <v>9886</v>
      </c>
      <c r="B556" s="2">
        <v>7601</v>
      </c>
      <c r="C556" s="2" t="s">
        <v>226</v>
      </c>
      <c r="D556" s="2">
        <v>203</v>
      </c>
      <c r="E556" s="2" t="s">
        <v>211</v>
      </c>
      <c r="F556" s="2">
        <v>73985</v>
      </c>
      <c r="G556" s="2">
        <v>1.5</v>
      </c>
      <c r="H556" s="2">
        <v>21214</v>
      </c>
      <c r="I556" s="2" t="s">
        <v>227</v>
      </c>
      <c r="J556" s="2" t="s">
        <v>183</v>
      </c>
      <c r="K556" s="2" t="s">
        <v>183</v>
      </c>
      <c r="L556" s="2">
        <v>579</v>
      </c>
      <c r="M556" s="2" t="s">
        <v>79</v>
      </c>
      <c r="N556" s="2" t="s">
        <v>237</v>
      </c>
    </row>
    <row r="557" spans="1:14" x14ac:dyDescent="0.25">
      <c r="A557" s="2">
        <v>9887</v>
      </c>
      <c r="B557" s="2">
        <v>7601</v>
      </c>
      <c r="C557" s="2" t="s">
        <v>226</v>
      </c>
      <c r="D557" s="2">
        <v>703</v>
      </c>
      <c r="E557" s="2" t="s">
        <v>95</v>
      </c>
      <c r="F557" s="2">
        <v>49239</v>
      </c>
      <c r="G557" s="2">
        <v>1</v>
      </c>
      <c r="H557" s="2">
        <v>14720</v>
      </c>
      <c r="I557" s="2" t="s">
        <v>227</v>
      </c>
      <c r="J557" s="2" t="s">
        <v>183</v>
      </c>
      <c r="K557" s="2" t="s">
        <v>183</v>
      </c>
      <c r="L557" s="2">
        <v>579</v>
      </c>
      <c r="M557" s="2" t="s">
        <v>79</v>
      </c>
      <c r="N557" s="2" t="s">
        <v>237</v>
      </c>
    </row>
    <row r="558" spans="1:14" x14ac:dyDescent="0.25">
      <c r="A558" s="2">
        <v>9888</v>
      </c>
      <c r="B558" s="2">
        <v>7601</v>
      </c>
      <c r="C558" s="2" t="s">
        <v>226</v>
      </c>
      <c r="D558" s="2">
        <v>191</v>
      </c>
      <c r="E558" s="2" t="s">
        <v>21</v>
      </c>
      <c r="F558" s="2">
        <v>43244</v>
      </c>
      <c r="G558" s="2">
        <v>0.9</v>
      </c>
      <c r="H558" s="2">
        <v>14451</v>
      </c>
      <c r="I558" s="2" t="s">
        <v>227</v>
      </c>
      <c r="J558" s="2" t="s">
        <v>183</v>
      </c>
      <c r="K558" s="2" t="s">
        <v>183</v>
      </c>
      <c r="L558" s="2">
        <v>579</v>
      </c>
      <c r="M558" s="2" t="s">
        <v>79</v>
      </c>
      <c r="N558" s="2" t="s">
        <v>237</v>
      </c>
    </row>
    <row r="559" spans="1:14" x14ac:dyDescent="0.25">
      <c r="A559" s="2">
        <v>9889</v>
      </c>
      <c r="B559" s="2">
        <v>7601</v>
      </c>
      <c r="C559" s="2" t="s">
        <v>226</v>
      </c>
      <c r="D559" s="2">
        <v>826</v>
      </c>
      <c r="E559" s="2" t="s">
        <v>110</v>
      </c>
      <c r="F559" s="2">
        <v>41577</v>
      </c>
      <c r="G559" s="2">
        <v>0.8</v>
      </c>
      <c r="H559" s="2">
        <v>10332</v>
      </c>
      <c r="I559" s="2" t="s">
        <v>227</v>
      </c>
      <c r="J559" s="2" t="s">
        <v>183</v>
      </c>
      <c r="K559" s="2" t="s">
        <v>183</v>
      </c>
      <c r="L559" s="2">
        <v>579</v>
      </c>
      <c r="M559" s="2" t="s">
        <v>79</v>
      </c>
      <c r="N559" s="2" t="s">
        <v>237</v>
      </c>
    </row>
    <row r="560" spans="1:14" x14ac:dyDescent="0.25">
      <c r="A560" s="2">
        <v>9890</v>
      </c>
      <c r="B560" s="2">
        <v>7601</v>
      </c>
      <c r="C560" s="2" t="s">
        <v>226</v>
      </c>
      <c r="D560" s="2">
        <v>756</v>
      </c>
      <c r="E560" s="2" t="s">
        <v>101</v>
      </c>
      <c r="F560" s="2">
        <v>29818</v>
      </c>
      <c r="G560" s="2">
        <v>0.6</v>
      </c>
      <c r="H560" s="2">
        <v>9298</v>
      </c>
      <c r="I560" s="2" t="s">
        <v>227</v>
      </c>
      <c r="J560" s="2" t="s">
        <v>183</v>
      </c>
      <c r="K560" s="2" t="s">
        <v>183</v>
      </c>
      <c r="L560" s="2">
        <v>579</v>
      </c>
      <c r="M560" s="2" t="s">
        <v>79</v>
      </c>
      <c r="N560" s="2" t="s">
        <v>237</v>
      </c>
    </row>
    <row r="561" spans="1:14" x14ac:dyDescent="0.25">
      <c r="A561" s="2">
        <v>9891</v>
      </c>
      <c r="B561" s="2">
        <v>7601</v>
      </c>
      <c r="C561" s="2" t="s">
        <v>226</v>
      </c>
      <c r="D561" s="2">
        <v>842</v>
      </c>
      <c r="E561" s="2" t="s">
        <v>229</v>
      </c>
      <c r="F561" s="2">
        <v>21791</v>
      </c>
      <c r="G561" s="2">
        <v>0.4</v>
      </c>
      <c r="H561" s="2">
        <v>5974</v>
      </c>
      <c r="I561" s="2" t="s">
        <v>227</v>
      </c>
      <c r="J561" s="2" t="s">
        <v>183</v>
      </c>
      <c r="K561" s="2" t="s">
        <v>183</v>
      </c>
      <c r="L561" s="2">
        <v>579</v>
      </c>
      <c r="M561" s="2" t="s">
        <v>79</v>
      </c>
      <c r="N561" s="2" t="s">
        <v>237</v>
      </c>
    </row>
    <row r="562" spans="1:14" x14ac:dyDescent="0.25">
      <c r="A562" s="2">
        <v>9892</v>
      </c>
      <c r="B562" s="2">
        <v>7601</v>
      </c>
      <c r="C562" s="2" t="s">
        <v>226</v>
      </c>
      <c r="D562" s="2">
        <v>100</v>
      </c>
      <c r="E562" s="2" t="s">
        <v>15</v>
      </c>
      <c r="F562" s="2">
        <v>9028</v>
      </c>
      <c r="G562" s="2">
        <v>0.2</v>
      </c>
      <c r="H562" s="2">
        <v>2537</v>
      </c>
      <c r="I562" s="2" t="s">
        <v>227</v>
      </c>
      <c r="J562" s="2" t="s">
        <v>183</v>
      </c>
      <c r="K562" s="2" t="s">
        <v>183</v>
      </c>
      <c r="L562" s="2">
        <v>579</v>
      </c>
      <c r="M562" s="2" t="s">
        <v>79</v>
      </c>
      <c r="N562" s="2" t="s">
        <v>237</v>
      </c>
    </row>
    <row r="563" spans="1:14" x14ac:dyDescent="0.25">
      <c r="A563" s="2">
        <v>9893</v>
      </c>
      <c r="B563" s="2">
        <v>7601</v>
      </c>
      <c r="C563" s="2" t="s">
        <v>226</v>
      </c>
      <c r="D563" s="2">
        <v>392</v>
      </c>
      <c r="E563" s="2" t="s">
        <v>51</v>
      </c>
      <c r="F563" s="2">
        <v>7226</v>
      </c>
      <c r="G563" s="2">
        <v>0.1</v>
      </c>
      <c r="H563" s="2">
        <v>1222</v>
      </c>
      <c r="I563" s="2" t="s">
        <v>227</v>
      </c>
      <c r="J563" s="2" t="s">
        <v>183</v>
      </c>
      <c r="K563" s="2" t="s">
        <v>183</v>
      </c>
      <c r="L563" s="2">
        <v>579</v>
      </c>
      <c r="M563" s="2" t="s">
        <v>79</v>
      </c>
      <c r="N563" s="2" t="s">
        <v>237</v>
      </c>
    </row>
    <row r="564" spans="1:14" x14ac:dyDescent="0.25">
      <c r="A564" s="2">
        <v>9894</v>
      </c>
      <c r="B564" s="2">
        <v>7601</v>
      </c>
      <c r="C564" s="2" t="s">
        <v>226</v>
      </c>
      <c r="D564" s="2">
        <v>642</v>
      </c>
      <c r="E564" s="2" t="s">
        <v>89</v>
      </c>
      <c r="F564" s="2">
        <v>5102</v>
      </c>
      <c r="G564" s="2">
        <v>0.1</v>
      </c>
      <c r="H564" s="2">
        <v>1507</v>
      </c>
      <c r="I564" s="2" t="s">
        <v>227</v>
      </c>
      <c r="J564" s="2" t="s">
        <v>183</v>
      </c>
      <c r="K564" s="2" t="s">
        <v>183</v>
      </c>
      <c r="L564" s="2">
        <v>579</v>
      </c>
      <c r="M564" s="2" t="s">
        <v>79</v>
      </c>
      <c r="N564" s="2" t="s">
        <v>237</v>
      </c>
    </row>
    <row r="565" spans="1:14" x14ac:dyDescent="0.25">
      <c r="A565" s="2">
        <v>9895</v>
      </c>
      <c r="B565" s="2">
        <v>7601</v>
      </c>
      <c r="C565" s="2" t="s">
        <v>226</v>
      </c>
      <c r="D565" s="2">
        <v>70</v>
      </c>
      <c r="E565" s="2" t="s">
        <v>236</v>
      </c>
      <c r="F565" s="2">
        <v>3756</v>
      </c>
      <c r="G565" s="2">
        <v>0.1</v>
      </c>
      <c r="H565" s="2">
        <v>967</v>
      </c>
      <c r="I565" s="2" t="s">
        <v>227</v>
      </c>
      <c r="J565" s="2" t="s">
        <v>183</v>
      </c>
      <c r="K565" s="2" t="s">
        <v>183</v>
      </c>
      <c r="L565" s="2">
        <v>579</v>
      </c>
      <c r="M565" s="2" t="s">
        <v>79</v>
      </c>
      <c r="N565" s="2" t="s">
        <v>237</v>
      </c>
    </row>
    <row r="566" spans="1:14" x14ac:dyDescent="0.25">
      <c r="A566" s="2">
        <v>9896</v>
      </c>
      <c r="B566" s="2">
        <v>7601</v>
      </c>
      <c r="C566" s="2" t="s">
        <v>226</v>
      </c>
      <c r="D566" s="2">
        <v>705</v>
      </c>
      <c r="E566" s="2" t="s">
        <v>96</v>
      </c>
      <c r="F566" s="2">
        <v>2783</v>
      </c>
      <c r="G566" s="2">
        <v>0.1</v>
      </c>
      <c r="H566" s="2">
        <v>794</v>
      </c>
      <c r="I566" s="2" t="s">
        <v>227</v>
      </c>
      <c r="J566" s="2" t="s">
        <v>183</v>
      </c>
      <c r="K566" s="2" t="s">
        <v>183</v>
      </c>
      <c r="L566" s="2">
        <v>579</v>
      </c>
      <c r="M566" s="2" t="s">
        <v>79</v>
      </c>
      <c r="N566" s="2" t="s">
        <v>237</v>
      </c>
    </row>
    <row r="567" spans="1:14" x14ac:dyDescent="0.25">
      <c r="A567" s="2">
        <v>191</v>
      </c>
      <c r="B567" s="2">
        <v>7601</v>
      </c>
      <c r="C567" s="2" t="s">
        <v>226</v>
      </c>
      <c r="D567" s="2">
        <v>484</v>
      </c>
      <c r="E567" s="2" t="s">
        <v>70</v>
      </c>
      <c r="F567" s="2">
        <v>209664</v>
      </c>
      <c r="G567" s="2">
        <v>2.5</v>
      </c>
      <c r="H567" s="2">
        <v>70552</v>
      </c>
      <c r="I567" s="2" t="s">
        <v>227</v>
      </c>
      <c r="J567" s="2"/>
      <c r="K567" s="2"/>
      <c r="L567" s="2">
        <v>124</v>
      </c>
      <c r="M567" s="2" t="s">
        <v>16</v>
      </c>
      <c r="N567" s="2" t="s">
        <v>237</v>
      </c>
    </row>
    <row r="568" spans="1:14" x14ac:dyDescent="0.25">
      <c r="A568" s="2">
        <v>192</v>
      </c>
      <c r="B568" s="2">
        <v>7601</v>
      </c>
      <c r="C568" s="2" t="s">
        <v>226</v>
      </c>
      <c r="D568" s="2">
        <v>528</v>
      </c>
      <c r="E568" s="2" t="s">
        <v>75</v>
      </c>
      <c r="F568" s="2">
        <v>153576</v>
      </c>
      <c r="G568" s="2">
        <v>1.9</v>
      </c>
      <c r="H568" s="2">
        <v>64804</v>
      </c>
      <c r="I568" s="2" t="s">
        <v>227</v>
      </c>
      <c r="J568" s="2"/>
      <c r="K568" s="2"/>
      <c r="L568" s="2">
        <v>124</v>
      </c>
      <c r="M568" s="2" t="s">
        <v>16</v>
      </c>
      <c r="N568" s="2" t="s">
        <v>237</v>
      </c>
    </row>
    <row r="569" spans="1:14" x14ac:dyDescent="0.25">
      <c r="A569" s="2">
        <v>193</v>
      </c>
      <c r="B569" s="2">
        <v>7601</v>
      </c>
      <c r="C569" s="2" t="s">
        <v>226</v>
      </c>
      <c r="D569" s="2">
        <v>380</v>
      </c>
      <c r="E569" s="2" t="s">
        <v>50</v>
      </c>
      <c r="F569" s="2">
        <v>79045</v>
      </c>
      <c r="G569" s="2">
        <v>1</v>
      </c>
      <c r="H569" s="2">
        <v>29855</v>
      </c>
      <c r="I569" s="2" t="s">
        <v>227</v>
      </c>
      <c r="J569" s="2"/>
      <c r="K569" s="2"/>
      <c r="L569" s="2">
        <v>124</v>
      </c>
      <c r="M569" s="2" t="s">
        <v>16</v>
      </c>
      <c r="N569" s="2" t="s">
        <v>237</v>
      </c>
    </row>
    <row r="570" spans="1:14" x14ac:dyDescent="0.25">
      <c r="A570" s="2">
        <v>194</v>
      </c>
      <c r="B570" s="2">
        <v>7601</v>
      </c>
      <c r="C570" s="2" t="s">
        <v>226</v>
      </c>
      <c r="D570" s="2">
        <v>458</v>
      </c>
      <c r="E570" s="2" t="s">
        <v>66</v>
      </c>
      <c r="F570" s="2">
        <v>27884</v>
      </c>
      <c r="G570" s="2">
        <v>0.3</v>
      </c>
      <c r="H570" s="2">
        <v>14153</v>
      </c>
      <c r="I570" s="2" t="s">
        <v>227</v>
      </c>
      <c r="J570" s="2"/>
      <c r="K570" s="2"/>
      <c r="L570" s="2">
        <v>124</v>
      </c>
      <c r="M570" s="2" t="s">
        <v>16</v>
      </c>
      <c r="N570" s="2" t="s">
        <v>237</v>
      </c>
    </row>
    <row r="571" spans="1:14" x14ac:dyDescent="0.25">
      <c r="A571" s="2">
        <v>195</v>
      </c>
      <c r="B571" s="2">
        <v>7601</v>
      </c>
      <c r="C571" s="2" t="s">
        <v>226</v>
      </c>
      <c r="D571" s="2">
        <v>616</v>
      </c>
      <c r="E571" s="2" t="s">
        <v>86</v>
      </c>
      <c r="F571" s="2">
        <v>8467</v>
      </c>
      <c r="G571" s="2">
        <v>0.1</v>
      </c>
      <c r="H571" s="2">
        <v>2647</v>
      </c>
      <c r="I571" s="2" t="s">
        <v>227</v>
      </c>
      <c r="J571" s="2"/>
      <c r="K571" s="2"/>
      <c r="L571" s="2">
        <v>124</v>
      </c>
      <c r="M571" s="2" t="s">
        <v>16</v>
      </c>
      <c r="N571" s="2" t="s">
        <v>237</v>
      </c>
    </row>
    <row r="572" spans="1:14" x14ac:dyDescent="0.25">
      <c r="A572" s="2">
        <v>196</v>
      </c>
      <c r="B572" s="2">
        <v>7601</v>
      </c>
      <c r="C572" s="2" t="s">
        <v>226</v>
      </c>
      <c r="D572" s="2">
        <v>826</v>
      </c>
      <c r="E572" s="2" t="s">
        <v>110</v>
      </c>
      <c r="F572" s="2">
        <v>6272</v>
      </c>
      <c r="G572" s="2">
        <v>0.1</v>
      </c>
      <c r="H572" s="2">
        <v>1795</v>
      </c>
      <c r="I572" s="2" t="s">
        <v>227</v>
      </c>
      <c r="J572" s="2"/>
      <c r="K572" s="2"/>
      <c r="L572" s="2">
        <v>124</v>
      </c>
      <c r="M572" s="2" t="s">
        <v>16</v>
      </c>
      <c r="N572" s="2" t="s">
        <v>237</v>
      </c>
    </row>
    <row r="573" spans="1:14" x14ac:dyDescent="0.25">
      <c r="A573" s="2">
        <v>197</v>
      </c>
      <c r="B573" s="2">
        <v>7601</v>
      </c>
      <c r="C573" s="2" t="s">
        <v>226</v>
      </c>
      <c r="D573" s="2">
        <v>356</v>
      </c>
      <c r="E573" s="2" t="s">
        <v>45</v>
      </c>
      <c r="F573" s="2">
        <v>1408</v>
      </c>
      <c r="G573" s="2">
        <v>0</v>
      </c>
      <c r="H573" s="2">
        <v>406</v>
      </c>
      <c r="I573" s="2" t="s">
        <v>227</v>
      </c>
      <c r="J573" s="2"/>
      <c r="K573" s="2"/>
      <c r="L573" s="2">
        <v>124</v>
      </c>
      <c r="M573" s="2" t="s">
        <v>16</v>
      </c>
      <c r="N573" s="2" t="s">
        <v>237</v>
      </c>
    </row>
    <row r="574" spans="1:14" x14ac:dyDescent="0.25">
      <c r="A574" s="2">
        <v>198</v>
      </c>
      <c r="B574" s="2">
        <v>7601</v>
      </c>
      <c r="C574" s="2" t="s">
        <v>226</v>
      </c>
      <c r="D574" s="2">
        <v>352</v>
      </c>
      <c r="E574" s="2" t="s">
        <v>44</v>
      </c>
      <c r="F574" s="2">
        <v>1253</v>
      </c>
      <c r="G574" s="2">
        <v>0</v>
      </c>
      <c r="H574" s="2">
        <v>606</v>
      </c>
      <c r="I574" s="2" t="s">
        <v>227</v>
      </c>
      <c r="J574" s="2"/>
      <c r="K574" s="2"/>
      <c r="L574" s="2">
        <v>124</v>
      </c>
      <c r="M574" s="2" t="s">
        <v>16</v>
      </c>
      <c r="N574" s="2" t="s">
        <v>237</v>
      </c>
    </row>
    <row r="575" spans="1:14" x14ac:dyDescent="0.25">
      <c r="A575" s="2">
        <v>199</v>
      </c>
      <c r="B575" s="2">
        <v>7601</v>
      </c>
      <c r="C575" s="2" t="s">
        <v>226</v>
      </c>
      <c r="D575" s="2">
        <v>156</v>
      </c>
      <c r="E575" s="2" t="s">
        <v>18</v>
      </c>
      <c r="F575" s="2">
        <v>1141</v>
      </c>
      <c r="G575" s="2">
        <v>0</v>
      </c>
      <c r="H575" s="2">
        <v>500</v>
      </c>
      <c r="I575" s="2" t="s">
        <v>227</v>
      </c>
      <c r="J575" s="2"/>
      <c r="K575" s="2"/>
      <c r="L575" s="2">
        <v>124</v>
      </c>
      <c r="M575" s="2" t="s">
        <v>16</v>
      </c>
      <c r="N575" s="2" t="s">
        <v>237</v>
      </c>
    </row>
    <row r="576" spans="1:14" x14ac:dyDescent="0.25">
      <c r="A576" s="2">
        <v>200</v>
      </c>
      <c r="B576" s="2">
        <v>7601</v>
      </c>
      <c r="C576" s="2" t="s">
        <v>226</v>
      </c>
      <c r="D576" s="2">
        <v>340</v>
      </c>
      <c r="E576" s="2" t="s">
        <v>41</v>
      </c>
      <c r="F576" s="2">
        <v>669</v>
      </c>
      <c r="G576" s="2">
        <v>0</v>
      </c>
      <c r="H576" s="2">
        <v>188</v>
      </c>
      <c r="I576" s="2" t="s">
        <v>227</v>
      </c>
      <c r="J576" s="2"/>
      <c r="K576" s="2"/>
      <c r="L576" s="2">
        <v>124</v>
      </c>
      <c r="M576" s="2" t="s">
        <v>16</v>
      </c>
      <c r="N576" s="2" t="s">
        <v>237</v>
      </c>
    </row>
    <row r="577" spans="1:14" x14ac:dyDescent="0.25">
      <c r="A577" s="2">
        <v>201</v>
      </c>
      <c r="B577" s="2">
        <v>7601</v>
      </c>
      <c r="C577" s="2" t="s">
        <v>226</v>
      </c>
      <c r="D577" s="2">
        <v>276</v>
      </c>
      <c r="E577" s="2" t="s">
        <v>37</v>
      </c>
      <c r="F577" s="2">
        <v>571</v>
      </c>
      <c r="G577" s="2">
        <v>0</v>
      </c>
      <c r="H577" s="2">
        <v>174</v>
      </c>
      <c r="I577" s="2" t="s">
        <v>227</v>
      </c>
      <c r="J577" s="2"/>
      <c r="K577" s="2"/>
      <c r="L577" s="2">
        <v>124</v>
      </c>
      <c r="M577" s="2" t="s">
        <v>16</v>
      </c>
      <c r="N577" s="2" t="s">
        <v>237</v>
      </c>
    </row>
    <row r="578" spans="1:14" x14ac:dyDescent="0.25">
      <c r="A578" s="2">
        <v>202</v>
      </c>
      <c r="B578" s="2">
        <v>7601</v>
      </c>
      <c r="C578" s="2" t="s">
        <v>226</v>
      </c>
      <c r="D578" s="2">
        <v>344</v>
      </c>
      <c r="E578" s="2" t="s">
        <v>252</v>
      </c>
      <c r="F578" s="2">
        <v>346</v>
      </c>
      <c r="G578" s="2">
        <v>0</v>
      </c>
      <c r="H578" s="2">
        <v>176</v>
      </c>
      <c r="I578" s="2" t="s">
        <v>227</v>
      </c>
      <c r="J578" s="2"/>
      <c r="K578" s="2"/>
      <c r="L578" s="2">
        <v>124</v>
      </c>
      <c r="M578" s="2" t="s">
        <v>16</v>
      </c>
      <c r="N578" s="2" t="s">
        <v>237</v>
      </c>
    </row>
    <row r="579" spans="1:14" x14ac:dyDescent="0.25">
      <c r="A579" s="2">
        <v>203</v>
      </c>
      <c r="B579" s="2">
        <v>7601</v>
      </c>
      <c r="C579" s="2" t="s">
        <v>226</v>
      </c>
      <c r="D579" s="2">
        <v>764</v>
      </c>
      <c r="E579" s="2" t="s">
        <v>103</v>
      </c>
      <c r="F579" s="2">
        <v>298</v>
      </c>
      <c r="G579" s="2">
        <v>0</v>
      </c>
      <c r="H579" s="2">
        <v>166</v>
      </c>
      <c r="I579" s="2" t="s">
        <v>227</v>
      </c>
      <c r="J579" s="2"/>
      <c r="K579" s="2"/>
      <c r="L579" s="2">
        <v>124</v>
      </c>
      <c r="M579" s="2" t="s">
        <v>16</v>
      </c>
      <c r="N579" s="2" t="s">
        <v>237</v>
      </c>
    </row>
    <row r="580" spans="1:14" x14ac:dyDescent="0.25">
      <c r="A580" s="2">
        <v>204</v>
      </c>
      <c r="B580" s="2">
        <v>7601</v>
      </c>
      <c r="C580" s="2" t="s">
        <v>226</v>
      </c>
      <c r="D580" s="2">
        <v>392</v>
      </c>
      <c r="E580" s="2" t="s">
        <v>51</v>
      </c>
      <c r="F580" s="2">
        <v>120</v>
      </c>
      <c r="G580" s="2">
        <v>0</v>
      </c>
      <c r="H580" s="2">
        <v>45</v>
      </c>
      <c r="I580" s="2" t="s">
        <v>227</v>
      </c>
      <c r="J580" s="2"/>
      <c r="K580" s="2"/>
      <c r="L580" s="2">
        <v>124</v>
      </c>
      <c r="M580" s="2" t="s">
        <v>16</v>
      </c>
      <c r="N580" s="2" t="s">
        <v>237</v>
      </c>
    </row>
    <row r="581" spans="1:14" x14ac:dyDescent="0.25">
      <c r="A581" s="2">
        <v>205</v>
      </c>
      <c r="B581" s="2">
        <v>7601</v>
      </c>
      <c r="C581" s="2" t="s">
        <v>226</v>
      </c>
      <c r="D581" s="2">
        <v>704</v>
      </c>
      <c r="E581" s="2" t="s">
        <v>232</v>
      </c>
      <c r="F581" s="2">
        <v>107</v>
      </c>
      <c r="G581" s="2">
        <v>0</v>
      </c>
      <c r="H581" s="2">
        <v>43</v>
      </c>
      <c r="I581" s="2" t="s">
        <v>227</v>
      </c>
      <c r="J581" s="2"/>
      <c r="K581" s="2"/>
      <c r="L581" s="2">
        <v>124</v>
      </c>
      <c r="M581" s="2" t="s">
        <v>16</v>
      </c>
      <c r="N581" s="2" t="s">
        <v>237</v>
      </c>
    </row>
    <row r="582" spans="1:14" x14ac:dyDescent="0.25">
      <c r="A582" s="2">
        <v>206</v>
      </c>
      <c r="B582" s="2">
        <v>7601</v>
      </c>
      <c r="C582" s="2" t="s">
        <v>226</v>
      </c>
      <c r="D582" s="2">
        <v>56</v>
      </c>
      <c r="E582" s="2" t="s">
        <v>11</v>
      </c>
      <c r="F582" s="2">
        <v>49</v>
      </c>
      <c r="G582" s="2">
        <v>0</v>
      </c>
      <c r="H582" s="2">
        <v>23</v>
      </c>
      <c r="I582" s="2" t="s">
        <v>227</v>
      </c>
      <c r="J582" s="2"/>
      <c r="K582" s="2"/>
      <c r="L582" s="2">
        <v>124</v>
      </c>
      <c r="M582" s="2" t="s">
        <v>16</v>
      </c>
      <c r="N582" s="2" t="s">
        <v>237</v>
      </c>
    </row>
    <row r="583" spans="1:14" x14ac:dyDescent="0.25">
      <c r="A583" s="2">
        <v>207</v>
      </c>
      <c r="B583" s="2">
        <v>7601</v>
      </c>
      <c r="C583" s="2" t="s">
        <v>226</v>
      </c>
      <c r="D583" s="2">
        <v>410</v>
      </c>
      <c r="E583" s="2" t="s">
        <v>253</v>
      </c>
      <c r="F583" s="2">
        <v>45</v>
      </c>
      <c r="G583" s="2">
        <v>0</v>
      </c>
      <c r="H583" s="2">
        <v>16</v>
      </c>
      <c r="I583" s="2" t="s">
        <v>227</v>
      </c>
      <c r="J583" s="2"/>
      <c r="K583" s="2"/>
      <c r="L583" s="2">
        <v>124</v>
      </c>
      <c r="M583" s="2" t="s">
        <v>16</v>
      </c>
      <c r="N583" s="2" t="s">
        <v>237</v>
      </c>
    </row>
    <row r="584" spans="1:14" x14ac:dyDescent="0.25">
      <c r="A584" s="2">
        <v>208</v>
      </c>
      <c r="B584" s="2">
        <v>7601</v>
      </c>
      <c r="C584" s="2" t="s">
        <v>226</v>
      </c>
      <c r="D584" s="2">
        <v>376</v>
      </c>
      <c r="E584" s="2" t="s">
        <v>49</v>
      </c>
      <c r="F584" s="2">
        <v>29</v>
      </c>
      <c r="G584" s="2">
        <v>0</v>
      </c>
      <c r="H584" s="2">
        <v>11</v>
      </c>
      <c r="I584" s="2" t="s">
        <v>227</v>
      </c>
      <c r="J584" s="2"/>
      <c r="K584" s="2"/>
      <c r="L584" s="2">
        <v>124</v>
      </c>
      <c r="M584" s="2" t="s">
        <v>16</v>
      </c>
      <c r="N584" s="2" t="s">
        <v>237</v>
      </c>
    </row>
    <row r="585" spans="1:14" x14ac:dyDescent="0.25">
      <c r="A585" s="2">
        <v>209</v>
      </c>
      <c r="B585" s="2">
        <v>7601</v>
      </c>
      <c r="C585" s="2" t="s">
        <v>226</v>
      </c>
      <c r="D585" s="2">
        <v>36</v>
      </c>
      <c r="E585" s="2" t="s">
        <v>4</v>
      </c>
      <c r="F585" s="2">
        <v>9</v>
      </c>
      <c r="G585" s="2">
        <v>0</v>
      </c>
      <c r="H585" s="2">
        <v>3</v>
      </c>
      <c r="I585" s="2" t="s">
        <v>227</v>
      </c>
      <c r="J585" s="2"/>
      <c r="K585" s="2"/>
      <c r="L585" s="2">
        <v>124</v>
      </c>
      <c r="M585" s="2" t="s">
        <v>16</v>
      </c>
      <c r="N585" s="2" t="s">
        <v>237</v>
      </c>
    </row>
    <row r="586" spans="1:14" x14ac:dyDescent="0.25">
      <c r="A586" s="2">
        <v>210</v>
      </c>
      <c r="B586" s="2">
        <v>7601</v>
      </c>
      <c r="C586" s="2" t="s">
        <v>226</v>
      </c>
      <c r="D586" s="2">
        <v>796</v>
      </c>
      <c r="E586" s="2" t="s">
        <v>254</v>
      </c>
      <c r="F586" s="2">
        <v>6</v>
      </c>
      <c r="G586" s="2">
        <v>0</v>
      </c>
      <c r="H586" s="2">
        <v>1</v>
      </c>
      <c r="I586" s="2" t="s">
        <v>227</v>
      </c>
      <c r="J586" s="2"/>
      <c r="K586" s="2"/>
      <c r="L586" s="2">
        <v>124</v>
      </c>
      <c r="M586" s="2" t="s">
        <v>16</v>
      </c>
      <c r="N586" s="2" t="s">
        <v>237</v>
      </c>
    </row>
    <row r="587" spans="1:14" x14ac:dyDescent="0.25">
      <c r="A587" s="2">
        <v>211</v>
      </c>
      <c r="B587" s="2">
        <v>7601</v>
      </c>
      <c r="C587" s="2" t="s">
        <v>226</v>
      </c>
      <c r="D587" s="2">
        <v>250</v>
      </c>
      <c r="E587" s="2" t="s">
        <v>33</v>
      </c>
      <c r="F587" s="2">
        <v>6</v>
      </c>
      <c r="G587" s="2">
        <v>0</v>
      </c>
      <c r="H587" s="2">
        <v>2</v>
      </c>
      <c r="I587" s="2" t="s">
        <v>227</v>
      </c>
      <c r="J587" s="2"/>
      <c r="K587" s="2"/>
      <c r="L587" s="2">
        <v>124</v>
      </c>
      <c r="M587" s="2" t="s">
        <v>16</v>
      </c>
      <c r="N587" s="2" t="s">
        <v>237</v>
      </c>
    </row>
    <row r="588" spans="1:14" x14ac:dyDescent="0.25">
      <c r="A588" s="2">
        <v>212</v>
      </c>
      <c r="B588" s="2">
        <v>7601</v>
      </c>
      <c r="C588" s="2" t="s">
        <v>226</v>
      </c>
      <c r="D588" s="2">
        <v>246</v>
      </c>
      <c r="E588" s="2" t="s">
        <v>32</v>
      </c>
      <c r="F588" s="2">
        <v>2</v>
      </c>
      <c r="G588" s="2">
        <v>0</v>
      </c>
      <c r="H588" s="2">
        <v>1</v>
      </c>
      <c r="I588" s="2" t="s">
        <v>227</v>
      </c>
      <c r="J588" s="2"/>
      <c r="K588" s="2"/>
      <c r="L588" s="2">
        <v>124</v>
      </c>
      <c r="M588" s="2" t="s">
        <v>16</v>
      </c>
      <c r="N588" s="2" t="s">
        <v>237</v>
      </c>
    </row>
    <row r="589" spans="1:14" x14ac:dyDescent="0.25">
      <c r="A589" s="2">
        <v>213</v>
      </c>
      <c r="B589" s="2">
        <v>7601</v>
      </c>
      <c r="C589" s="2" t="s">
        <v>226</v>
      </c>
      <c r="D589" s="2">
        <v>702</v>
      </c>
      <c r="E589" s="2" t="s">
        <v>93</v>
      </c>
      <c r="F589" s="2">
        <v>1</v>
      </c>
      <c r="G589" s="2">
        <v>0</v>
      </c>
      <c r="H589" s="2">
        <v>0</v>
      </c>
      <c r="I589" s="2" t="s">
        <v>227</v>
      </c>
      <c r="J589" s="2"/>
      <c r="K589" s="2"/>
      <c r="L589" s="2">
        <v>124</v>
      </c>
      <c r="M589" s="2" t="s">
        <v>16</v>
      </c>
      <c r="N589" s="2" t="s">
        <v>237</v>
      </c>
    </row>
    <row r="590" spans="1:14" x14ac:dyDescent="0.25">
      <c r="A590" s="2">
        <v>214</v>
      </c>
      <c r="B590" s="2">
        <v>7601</v>
      </c>
      <c r="C590" s="2" t="s">
        <v>226</v>
      </c>
      <c r="D590" s="2">
        <v>56</v>
      </c>
      <c r="E590" s="2" t="s">
        <v>11</v>
      </c>
      <c r="F590" s="2">
        <v>286998</v>
      </c>
      <c r="G590" s="2">
        <v>11.3</v>
      </c>
      <c r="H590" s="2">
        <v>109629</v>
      </c>
      <c r="I590" s="2" t="s">
        <v>227</v>
      </c>
      <c r="J590" s="2"/>
      <c r="K590" s="2"/>
      <c r="L590" s="2">
        <v>528</v>
      </c>
      <c r="M590" s="2" t="s">
        <v>75</v>
      </c>
      <c r="N590" s="2" t="s">
        <v>237</v>
      </c>
    </row>
    <row r="591" spans="1:14" x14ac:dyDescent="0.25">
      <c r="A591" s="2">
        <v>215</v>
      </c>
      <c r="B591" s="2">
        <v>7601</v>
      </c>
      <c r="C591" s="2" t="s">
        <v>226</v>
      </c>
      <c r="D591" s="2">
        <v>616</v>
      </c>
      <c r="E591" s="2" t="s">
        <v>86</v>
      </c>
      <c r="F591" s="2">
        <v>245980</v>
      </c>
      <c r="G591" s="2">
        <v>9.6999999999999993</v>
      </c>
      <c r="H591" s="2">
        <v>87620</v>
      </c>
      <c r="I591" s="2" t="s">
        <v>227</v>
      </c>
      <c r="J591" s="2"/>
      <c r="K591" s="2"/>
      <c r="L591" s="2">
        <v>528</v>
      </c>
      <c r="M591" s="2" t="s">
        <v>75</v>
      </c>
      <c r="N591" s="2" t="s">
        <v>237</v>
      </c>
    </row>
    <row r="592" spans="1:14" x14ac:dyDescent="0.25">
      <c r="A592" s="2">
        <v>216</v>
      </c>
      <c r="B592" s="2">
        <v>7601</v>
      </c>
      <c r="C592" s="2" t="s">
        <v>226</v>
      </c>
      <c r="D592" s="2">
        <v>642</v>
      </c>
      <c r="E592" s="2" t="s">
        <v>89</v>
      </c>
      <c r="F592" s="2">
        <v>134770</v>
      </c>
      <c r="G592" s="2">
        <v>5.3</v>
      </c>
      <c r="H592" s="2">
        <v>57031</v>
      </c>
      <c r="I592" s="2" t="s">
        <v>227</v>
      </c>
      <c r="J592" s="2"/>
      <c r="K592" s="2"/>
      <c r="L592" s="2">
        <v>528</v>
      </c>
      <c r="M592" s="2" t="s">
        <v>75</v>
      </c>
      <c r="N592" s="2" t="s">
        <v>237</v>
      </c>
    </row>
    <row r="593" spans="1:14" x14ac:dyDescent="0.25">
      <c r="A593" s="2">
        <v>217</v>
      </c>
      <c r="B593" s="2">
        <v>7601</v>
      </c>
      <c r="C593" s="2" t="s">
        <v>226</v>
      </c>
      <c r="D593" s="2">
        <v>203</v>
      </c>
      <c r="E593" s="2" t="s">
        <v>23</v>
      </c>
      <c r="F593" s="2">
        <v>83328</v>
      </c>
      <c r="G593" s="2">
        <v>3.3</v>
      </c>
      <c r="H593" s="2">
        <v>26716</v>
      </c>
      <c r="I593" s="2" t="s">
        <v>227</v>
      </c>
      <c r="J593" s="2"/>
      <c r="K593" s="2"/>
      <c r="L593" s="2">
        <v>528</v>
      </c>
      <c r="M593" s="2" t="s">
        <v>75</v>
      </c>
      <c r="N593" s="2" t="s">
        <v>237</v>
      </c>
    </row>
    <row r="594" spans="1:14" x14ac:dyDescent="0.25">
      <c r="A594" s="2">
        <v>218</v>
      </c>
      <c r="B594" s="2">
        <v>7601</v>
      </c>
      <c r="C594" s="2" t="s">
        <v>226</v>
      </c>
      <c r="D594" s="2">
        <v>40</v>
      </c>
      <c r="E594" s="2" t="s">
        <v>5</v>
      </c>
      <c r="F594" s="2">
        <v>81179</v>
      </c>
      <c r="G594" s="2">
        <v>3.2</v>
      </c>
      <c r="H594" s="2">
        <v>29688</v>
      </c>
      <c r="I594" s="2" t="s">
        <v>227</v>
      </c>
      <c r="J594" s="2"/>
      <c r="K594" s="2"/>
      <c r="L594" s="2">
        <v>528</v>
      </c>
      <c r="M594" s="2" t="s">
        <v>75</v>
      </c>
      <c r="N594" s="2" t="s">
        <v>237</v>
      </c>
    </row>
    <row r="595" spans="1:14" x14ac:dyDescent="0.25">
      <c r="A595" s="2">
        <v>219</v>
      </c>
      <c r="B595" s="2">
        <v>7601</v>
      </c>
      <c r="C595" s="2" t="s">
        <v>226</v>
      </c>
      <c r="D595" s="2">
        <v>348</v>
      </c>
      <c r="E595" s="2" t="s">
        <v>43</v>
      </c>
      <c r="F595" s="2">
        <v>67325</v>
      </c>
      <c r="G595" s="2">
        <v>2.7</v>
      </c>
      <c r="H595" s="2">
        <v>23782</v>
      </c>
      <c r="I595" s="2" t="s">
        <v>227</v>
      </c>
      <c r="J595" s="2"/>
      <c r="K595" s="2"/>
      <c r="L595" s="2">
        <v>528</v>
      </c>
      <c r="M595" s="2" t="s">
        <v>75</v>
      </c>
      <c r="N595" s="2" t="s">
        <v>237</v>
      </c>
    </row>
    <row r="596" spans="1:14" x14ac:dyDescent="0.25">
      <c r="A596" s="2">
        <v>220</v>
      </c>
      <c r="B596" s="2">
        <v>7601</v>
      </c>
      <c r="C596" s="2" t="s">
        <v>226</v>
      </c>
      <c r="D596" s="2">
        <v>250</v>
      </c>
      <c r="E596" s="2" t="s">
        <v>33</v>
      </c>
      <c r="F596" s="2">
        <v>50271</v>
      </c>
      <c r="G596" s="2">
        <v>2</v>
      </c>
      <c r="H596" s="2">
        <v>20359</v>
      </c>
      <c r="I596" s="2" t="s">
        <v>227</v>
      </c>
      <c r="J596" s="2"/>
      <c r="K596" s="2"/>
      <c r="L596" s="2">
        <v>528</v>
      </c>
      <c r="M596" s="2" t="s">
        <v>75</v>
      </c>
      <c r="N596" s="2" t="s">
        <v>237</v>
      </c>
    </row>
    <row r="597" spans="1:14" x14ac:dyDescent="0.25">
      <c r="A597" s="2">
        <v>221</v>
      </c>
      <c r="B597" s="2">
        <v>7601</v>
      </c>
      <c r="C597" s="2" t="s">
        <v>226</v>
      </c>
      <c r="D597" s="2">
        <v>380</v>
      </c>
      <c r="E597" s="2" t="s">
        <v>50</v>
      </c>
      <c r="F597" s="2">
        <v>48360</v>
      </c>
      <c r="G597" s="2">
        <v>1.9</v>
      </c>
      <c r="H597" s="2">
        <v>16011</v>
      </c>
      <c r="I597" s="2" t="s">
        <v>227</v>
      </c>
      <c r="J597" s="2"/>
      <c r="K597" s="2"/>
      <c r="L597" s="2">
        <v>528</v>
      </c>
      <c r="M597" s="2" t="s">
        <v>75</v>
      </c>
      <c r="N597" s="2" t="s">
        <v>237</v>
      </c>
    </row>
    <row r="598" spans="1:14" x14ac:dyDescent="0.25">
      <c r="A598" s="2">
        <v>222</v>
      </c>
      <c r="B598" s="2">
        <v>7601</v>
      </c>
      <c r="C598" s="2" t="s">
        <v>226</v>
      </c>
      <c r="D598" s="2">
        <v>705</v>
      </c>
      <c r="E598" s="2" t="s">
        <v>96</v>
      </c>
      <c r="F598" s="2">
        <v>38709</v>
      </c>
      <c r="G598" s="2">
        <v>1.5</v>
      </c>
      <c r="H598" s="2">
        <v>14780</v>
      </c>
      <c r="I598" s="2" t="s">
        <v>227</v>
      </c>
      <c r="J598" s="2"/>
      <c r="K598" s="2"/>
      <c r="L598" s="2">
        <v>528</v>
      </c>
      <c r="M598" s="2" t="s">
        <v>75</v>
      </c>
      <c r="N598" s="2" t="s">
        <v>237</v>
      </c>
    </row>
    <row r="599" spans="1:14" x14ac:dyDescent="0.25">
      <c r="A599" s="2">
        <v>223</v>
      </c>
      <c r="B599" s="2">
        <v>7601</v>
      </c>
      <c r="C599" s="2" t="s">
        <v>226</v>
      </c>
      <c r="D599" s="2">
        <v>756</v>
      </c>
      <c r="E599" s="2" t="s">
        <v>101</v>
      </c>
      <c r="F599" s="2">
        <v>27290</v>
      </c>
      <c r="G599" s="2">
        <v>1.1000000000000001</v>
      </c>
      <c r="H599" s="2">
        <v>9072</v>
      </c>
      <c r="I599" s="2" t="s">
        <v>227</v>
      </c>
      <c r="J599" s="2"/>
      <c r="K599" s="2"/>
      <c r="L599" s="2">
        <v>528</v>
      </c>
      <c r="M599" s="2" t="s">
        <v>75</v>
      </c>
      <c r="N599" s="2" t="s">
        <v>237</v>
      </c>
    </row>
    <row r="600" spans="1:14" x14ac:dyDescent="0.25">
      <c r="A600" s="2">
        <v>224</v>
      </c>
      <c r="B600" s="2">
        <v>7601</v>
      </c>
      <c r="C600" s="2" t="s">
        <v>226</v>
      </c>
      <c r="D600" s="2">
        <v>724</v>
      </c>
      <c r="E600" s="2" t="s">
        <v>98</v>
      </c>
      <c r="F600" s="2">
        <v>26711</v>
      </c>
      <c r="G600" s="2">
        <v>1.1000000000000001</v>
      </c>
      <c r="H600" s="2">
        <v>9031</v>
      </c>
      <c r="I600" s="2" t="s">
        <v>227</v>
      </c>
      <c r="J600" s="2"/>
      <c r="K600" s="2"/>
      <c r="L600" s="2">
        <v>528</v>
      </c>
      <c r="M600" s="2" t="s">
        <v>75</v>
      </c>
      <c r="N600" s="2" t="s">
        <v>237</v>
      </c>
    </row>
    <row r="601" spans="1:14" x14ac:dyDescent="0.25">
      <c r="A601" s="2">
        <v>225</v>
      </c>
      <c r="B601" s="2">
        <v>7601</v>
      </c>
      <c r="C601" s="2" t="s">
        <v>226</v>
      </c>
      <c r="D601" s="2">
        <v>792</v>
      </c>
      <c r="E601" s="2" t="s">
        <v>255</v>
      </c>
      <c r="F601" s="2">
        <v>24487</v>
      </c>
      <c r="G601" s="2">
        <v>1</v>
      </c>
      <c r="H601" s="2">
        <v>8591</v>
      </c>
      <c r="I601" s="2" t="s">
        <v>227</v>
      </c>
      <c r="J601" s="2"/>
      <c r="K601" s="2"/>
      <c r="L601" s="2">
        <v>528</v>
      </c>
      <c r="M601" s="2" t="s">
        <v>75</v>
      </c>
      <c r="N601" s="2" t="s">
        <v>237</v>
      </c>
    </row>
    <row r="602" spans="1:14" x14ac:dyDescent="0.25">
      <c r="A602" s="2">
        <v>226</v>
      </c>
      <c r="B602" s="2">
        <v>7601</v>
      </c>
      <c r="C602" s="2" t="s">
        <v>226</v>
      </c>
      <c r="D602" s="2">
        <v>752</v>
      </c>
      <c r="E602" s="2" t="s">
        <v>100</v>
      </c>
      <c r="F602" s="2">
        <v>18240</v>
      </c>
      <c r="G602" s="2">
        <v>0.7</v>
      </c>
      <c r="H602" s="2">
        <v>6597</v>
      </c>
      <c r="I602" s="2" t="s">
        <v>227</v>
      </c>
      <c r="J602" s="2"/>
      <c r="K602" s="2"/>
      <c r="L602" s="2">
        <v>528</v>
      </c>
      <c r="M602" s="2" t="s">
        <v>75</v>
      </c>
      <c r="N602" s="2" t="s">
        <v>237</v>
      </c>
    </row>
    <row r="603" spans="1:14" x14ac:dyDescent="0.25">
      <c r="A603" s="2">
        <v>227</v>
      </c>
      <c r="B603" s="2">
        <v>7601</v>
      </c>
      <c r="C603" s="2" t="s">
        <v>226</v>
      </c>
      <c r="D603" s="2">
        <v>442</v>
      </c>
      <c r="E603" s="2" t="s">
        <v>62</v>
      </c>
      <c r="F603" s="2">
        <v>16516</v>
      </c>
      <c r="G603" s="2">
        <v>0.7</v>
      </c>
      <c r="H603" s="2">
        <v>7117</v>
      </c>
      <c r="I603" s="2" t="s">
        <v>227</v>
      </c>
      <c r="J603" s="2"/>
      <c r="K603" s="2"/>
      <c r="L603" s="2">
        <v>528</v>
      </c>
      <c r="M603" s="2" t="s">
        <v>75</v>
      </c>
      <c r="N603" s="2" t="s">
        <v>237</v>
      </c>
    </row>
    <row r="604" spans="1:14" x14ac:dyDescent="0.25">
      <c r="A604" s="2">
        <v>228</v>
      </c>
      <c r="B604" s="2">
        <v>7601</v>
      </c>
      <c r="C604" s="2" t="s">
        <v>226</v>
      </c>
      <c r="D604" s="2">
        <v>300</v>
      </c>
      <c r="E604" s="2" t="s">
        <v>39</v>
      </c>
      <c r="F604" s="2">
        <v>12576</v>
      </c>
      <c r="G604" s="2">
        <v>0.5</v>
      </c>
      <c r="H604" s="2">
        <v>4544</v>
      </c>
      <c r="I604" s="2" t="s">
        <v>227</v>
      </c>
      <c r="J604" s="2"/>
      <c r="K604" s="2"/>
      <c r="L604" s="2">
        <v>528</v>
      </c>
      <c r="M604" s="2" t="s">
        <v>75</v>
      </c>
      <c r="N604" s="2" t="s">
        <v>237</v>
      </c>
    </row>
    <row r="605" spans="1:14" x14ac:dyDescent="0.25">
      <c r="A605" s="2">
        <v>229</v>
      </c>
      <c r="B605" s="2">
        <v>7601</v>
      </c>
      <c r="C605" s="2" t="s">
        <v>226</v>
      </c>
      <c r="D605" s="2">
        <v>504</v>
      </c>
      <c r="E605" s="2" t="s">
        <v>73</v>
      </c>
      <c r="F605" s="2">
        <v>11298</v>
      </c>
      <c r="G605" s="2">
        <v>0.4</v>
      </c>
      <c r="H605" s="2">
        <v>4223</v>
      </c>
      <c r="I605" s="2" t="s">
        <v>227</v>
      </c>
      <c r="J605" s="2"/>
      <c r="K605" s="2"/>
      <c r="L605" s="2">
        <v>528</v>
      </c>
      <c r="M605" s="2" t="s">
        <v>75</v>
      </c>
      <c r="N605" s="2" t="s">
        <v>237</v>
      </c>
    </row>
    <row r="606" spans="1:14" x14ac:dyDescent="0.25">
      <c r="A606" s="2">
        <v>230</v>
      </c>
      <c r="B606" s="2">
        <v>7601</v>
      </c>
      <c r="C606" s="2" t="s">
        <v>226</v>
      </c>
      <c r="D606" s="2">
        <v>703</v>
      </c>
      <c r="E606" s="2" t="s">
        <v>95</v>
      </c>
      <c r="F606" s="2">
        <v>9004</v>
      </c>
      <c r="G606" s="2">
        <v>0.4</v>
      </c>
      <c r="H606" s="2">
        <v>3181</v>
      </c>
      <c r="I606" s="2" t="s">
        <v>227</v>
      </c>
      <c r="J606" s="2"/>
      <c r="K606" s="2"/>
      <c r="L606" s="2">
        <v>528</v>
      </c>
      <c r="M606" s="2" t="s">
        <v>75</v>
      </c>
      <c r="N606" s="2" t="s">
        <v>237</v>
      </c>
    </row>
    <row r="607" spans="1:14" x14ac:dyDescent="0.25">
      <c r="A607" s="2">
        <v>231</v>
      </c>
      <c r="B607" s="2">
        <v>7601</v>
      </c>
      <c r="C607" s="2" t="s">
        <v>226</v>
      </c>
      <c r="D607" s="2">
        <v>840</v>
      </c>
      <c r="E607" s="2" t="s">
        <v>229</v>
      </c>
      <c r="F607" s="2">
        <v>8090</v>
      </c>
      <c r="G607" s="2">
        <v>0.3</v>
      </c>
      <c r="H607" s="2">
        <v>1777</v>
      </c>
      <c r="I607" s="2" t="s">
        <v>227</v>
      </c>
      <c r="J607" s="2"/>
      <c r="K607" s="2"/>
      <c r="L607" s="2">
        <v>528</v>
      </c>
      <c r="M607" s="2" t="s">
        <v>75</v>
      </c>
      <c r="N607" s="2" t="s">
        <v>237</v>
      </c>
    </row>
    <row r="608" spans="1:14" x14ac:dyDescent="0.25">
      <c r="A608" s="2">
        <v>232</v>
      </c>
      <c r="B608" s="2">
        <v>7601</v>
      </c>
      <c r="C608" s="2" t="s">
        <v>226</v>
      </c>
      <c r="D608" s="2">
        <v>100</v>
      </c>
      <c r="E608" s="2" t="s">
        <v>15</v>
      </c>
      <c r="F608" s="2">
        <v>5990</v>
      </c>
      <c r="G608" s="2">
        <v>0.2</v>
      </c>
      <c r="H608" s="2">
        <v>2061</v>
      </c>
      <c r="I608" s="2" t="s">
        <v>227</v>
      </c>
      <c r="J608" s="2"/>
      <c r="K608" s="2"/>
      <c r="L608" s="2">
        <v>528</v>
      </c>
      <c r="M608" s="2" t="s">
        <v>75</v>
      </c>
      <c r="N608" s="2" t="s">
        <v>237</v>
      </c>
    </row>
    <row r="609" spans="1:14" x14ac:dyDescent="0.25">
      <c r="A609" s="2">
        <v>233</v>
      </c>
      <c r="B609" s="2">
        <v>7601</v>
      </c>
      <c r="C609" s="2" t="s">
        <v>226</v>
      </c>
      <c r="D609" s="2">
        <v>208</v>
      </c>
      <c r="E609" s="2" t="s">
        <v>24</v>
      </c>
      <c r="F609" s="2">
        <v>5721</v>
      </c>
      <c r="G609" s="2">
        <v>0.2</v>
      </c>
      <c r="H609" s="2">
        <v>3559</v>
      </c>
      <c r="I609" s="2" t="s">
        <v>227</v>
      </c>
      <c r="J609" s="2"/>
      <c r="K609" s="2"/>
      <c r="L609" s="2">
        <v>528</v>
      </c>
      <c r="M609" s="2" t="s">
        <v>75</v>
      </c>
      <c r="N609" s="2" t="s">
        <v>237</v>
      </c>
    </row>
    <row r="610" spans="1:14" x14ac:dyDescent="0.25">
      <c r="A610" s="2">
        <v>234</v>
      </c>
      <c r="B610" s="2">
        <v>7601</v>
      </c>
      <c r="C610" s="2" t="s">
        <v>226</v>
      </c>
      <c r="D610" s="2">
        <v>372</v>
      </c>
      <c r="E610" s="2" t="s">
        <v>48</v>
      </c>
      <c r="F610" s="2">
        <v>5557</v>
      </c>
      <c r="G610" s="2">
        <v>0.2</v>
      </c>
      <c r="H610" s="2">
        <v>1857</v>
      </c>
      <c r="I610" s="2" t="s">
        <v>227</v>
      </c>
      <c r="J610" s="2"/>
      <c r="K610" s="2"/>
      <c r="L610" s="2">
        <v>528</v>
      </c>
      <c r="M610" s="2" t="s">
        <v>75</v>
      </c>
      <c r="N610" s="2" t="s">
        <v>237</v>
      </c>
    </row>
    <row r="611" spans="1:14" x14ac:dyDescent="0.25">
      <c r="A611" s="2">
        <v>235</v>
      </c>
      <c r="B611" s="2">
        <v>7601</v>
      </c>
      <c r="C611" s="2" t="s">
        <v>226</v>
      </c>
      <c r="D611" s="2">
        <v>620</v>
      </c>
      <c r="E611" s="2" t="s">
        <v>87</v>
      </c>
      <c r="F611" s="2">
        <v>5107</v>
      </c>
      <c r="G611" s="2">
        <v>0.2</v>
      </c>
      <c r="H611" s="2">
        <v>1640</v>
      </c>
      <c r="I611" s="2" t="s">
        <v>227</v>
      </c>
      <c r="J611" s="2"/>
      <c r="K611" s="2"/>
      <c r="L611" s="2">
        <v>528</v>
      </c>
      <c r="M611" s="2" t="s">
        <v>75</v>
      </c>
      <c r="N611" s="2" t="s">
        <v>237</v>
      </c>
    </row>
    <row r="612" spans="1:14" x14ac:dyDescent="0.25">
      <c r="A612" s="2">
        <v>236</v>
      </c>
      <c r="B612" s="2">
        <v>7601</v>
      </c>
      <c r="C612" s="2" t="s">
        <v>226</v>
      </c>
      <c r="D612" s="2">
        <v>826</v>
      </c>
      <c r="E612" s="2" t="s">
        <v>110</v>
      </c>
      <c r="F612" s="2">
        <v>4844</v>
      </c>
      <c r="G612" s="2">
        <v>0.2</v>
      </c>
      <c r="H612" s="2">
        <v>1646</v>
      </c>
      <c r="I612" s="2" t="s">
        <v>227</v>
      </c>
      <c r="J612" s="2"/>
      <c r="K612" s="2"/>
      <c r="L612" s="2">
        <v>528</v>
      </c>
      <c r="M612" s="2" t="s">
        <v>75</v>
      </c>
      <c r="N612" s="2" t="s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D45B7F-8BE5-427F-BE99-D87E3D3F7593}">
  <ds:schemaRefs>
    <ds:schemaRef ds:uri="http://www.w3.org/XML/1998/namespace"/>
    <ds:schemaRef ds:uri="http://purl.org/dc/terms/"/>
    <ds:schemaRef ds:uri="http://schemas.microsoft.com/office/2006/metadata/properties"/>
    <ds:schemaRef ds:uri="8a5b8b8d-337d-400e-bf33-e07634618a7c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ec268e60-9ba6-49a7-857a-07929746f2b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1FBDEC3-A53D-44A5-B686-728CA9C8C9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79EF45-DF25-4BA8-BB38-539FD135B8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ReadMe</vt:lpstr>
      <vt:lpstr>Résultats</vt:lpstr>
      <vt:lpstr>Données ArrièrePlan</vt:lpstr>
      <vt:lpstr>AutoConsommation</vt:lpstr>
      <vt:lpstr>Import</vt:lpstr>
      <vt:lpstr>Correspondances pays</vt:lpstr>
      <vt:lpstr>compens8-Prod</vt:lpstr>
      <vt:lpstr>compens8-Import</vt:lpstr>
      <vt:lpstr>compens8-Export</vt:lpstr>
    </vt:vector>
  </TitlesOfParts>
  <Company>Secrétariat Général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ZOLA Antoine</dc:creator>
  <cp:lastModifiedBy>Nicolas Planchenault</cp:lastModifiedBy>
  <dcterms:created xsi:type="dcterms:W3CDTF">2023-05-23T08:30:54Z</dcterms:created>
  <dcterms:modified xsi:type="dcterms:W3CDTF">2026-07-02T09:33:21Z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  <property fmtid="{D5CDD505-2E9C-101B-9397-08002B2CF9AE}" pid="4" name="MSIP_Label_98ce3bfb-fff1-481a-835b-0a342757958d_Enabled">
    <vt:lpwstr>true</vt:lpwstr>
  </property>
  <property fmtid="{D5CDD505-2E9C-101B-9397-08002B2CF9AE}" pid="5" name="MSIP_Label_98ce3bfb-fff1-481a-835b-0a342757958d_SetDate">
    <vt:lpwstr>2025-08-04T08:48:08Z</vt:lpwstr>
  </property>
  <property fmtid="{D5CDD505-2E9C-101B-9397-08002B2CF9AE}" pid="6" name="MSIP_Label_98ce3bfb-fff1-481a-835b-0a342757958d_Method">
    <vt:lpwstr>Standard</vt:lpwstr>
  </property>
  <property fmtid="{D5CDD505-2E9C-101B-9397-08002B2CF9AE}" pid="7" name="MSIP_Label_98ce3bfb-fff1-481a-835b-0a342757958d_Name">
    <vt:lpwstr>C0 - Public</vt:lpwstr>
  </property>
  <property fmtid="{D5CDD505-2E9C-101B-9397-08002B2CF9AE}" pid="8" name="MSIP_Label_98ce3bfb-fff1-481a-835b-0a342757958d_SiteId">
    <vt:lpwstr>cb6c2492-4a85-4b15-85a1-ed94d47e5849</vt:lpwstr>
  </property>
  <property fmtid="{D5CDD505-2E9C-101B-9397-08002B2CF9AE}" pid="9" name="MSIP_Label_98ce3bfb-fff1-481a-835b-0a342757958d_ActionId">
    <vt:lpwstr>07daead9-7893-4dbf-b51f-968e7c110248</vt:lpwstr>
  </property>
  <property fmtid="{D5CDD505-2E9C-101B-9397-08002B2CF9AE}" pid="10" name="MSIP_Label_98ce3bfb-fff1-481a-835b-0a342757958d_ContentBits">
    <vt:lpwstr>0</vt:lpwstr>
  </property>
  <property fmtid="{D5CDD505-2E9C-101B-9397-08002B2CF9AE}" pid="11" name="MSIP_Label_98ce3bfb-fff1-481a-835b-0a342757958d_Tag">
    <vt:lpwstr>10, 3, 0, 1</vt:lpwstr>
  </property>
</Properties>
</file>